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ER2026\dev-SWHC008-cpuc-review1\commercial measures\SWHC008-04 VSD Central Plant\"/>
    </mc:Choice>
  </mc:AlternateContent>
  <xr:revisionPtr revIDLastSave="0" documentId="13_ncr:1_{56E0050E-CED5-4C16-857F-447B5F594EB8}" xr6:coauthVersionLast="47" xr6:coauthVersionMax="47" xr10:uidLastSave="{00000000-0000-0000-0000-000000000000}"/>
  <bookViews>
    <workbookView xWindow="2325" yWindow="645" windowWidth="22470" windowHeight="13695" tabRatio="476" activeTab="2" xr2:uid="{5CB36433-D6AD-4573-8E69-1C81AA82549D}"/>
  </bookViews>
  <sheets>
    <sheet name="Design flow rate" sheetId="1" r:id="rId1"/>
    <sheet name="Min flow rate" sheetId="2" r:id="rId2"/>
    <sheet name="Combined Runs" sheetId="7" r:id="rId3"/>
    <sheet name="Central Plant_Ex" sheetId="3" r:id="rId4"/>
    <sheet name="Central Plant_New" sheetId="4" r:id="rId5"/>
    <sheet name="Central Plant_Htl_Ex" sheetId="5" r:id="rId6"/>
    <sheet name="Central Plant_Htl_New" sheetId="6" r:id="rId7"/>
  </sheets>
  <definedNames>
    <definedName name="_xlnm._FilterDatabase" localSheetId="2" hidden="1">'Combined Runs'!$B$6:$AS$582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2" i="7" l="1" a="1"/>
  <c r="C582" i="7" s="1"/>
  <c r="C581" i="7" a="1"/>
  <c r="C581" i="7" s="1"/>
  <c r="C580" i="7" a="1"/>
  <c r="C580" i="7" s="1"/>
  <c r="C579" i="7" a="1"/>
  <c r="C579" i="7" s="1"/>
  <c r="C578" i="7" a="1"/>
  <c r="C578" i="7" s="1"/>
  <c r="C577" i="7" a="1"/>
  <c r="C577" i="7" s="1"/>
  <c r="C576" i="7" a="1"/>
  <c r="C576" i="7" s="1"/>
  <c r="C575" i="7" a="1"/>
  <c r="C575" i="7" s="1"/>
  <c r="C574" i="7" a="1"/>
  <c r="C574" i="7" s="1"/>
  <c r="C573" i="7" a="1"/>
  <c r="C573" i="7" s="1"/>
  <c r="C572" i="7" a="1"/>
  <c r="C572" i="7" s="1"/>
  <c r="C571" i="7" a="1"/>
  <c r="C571" i="7" s="1"/>
  <c r="C570" i="7" a="1"/>
  <c r="C570" i="7" s="1"/>
  <c r="C569" i="7" a="1"/>
  <c r="C569" i="7" s="1"/>
  <c r="C568" i="7" a="1"/>
  <c r="C568" i="7" s="1"/>
  <c r="C567" i="7" a="1"/>
  <c r="C567" i="7" s="1"/>
  <c r="C566" i="7" a="1"/>
  <c r="C566" i="7" s="1"/>
  <c r="C565" i="7" a="1"/>
  <c r="C565" i="7" s="1"/>
  <c r="C564" i="7" a="1"/>
  <c r="C564" i="7" s="1"/>
  <c r="C563" i="7" a="1"/>
  <c r="C563" i="7" s="1"/>
  <c r="C562" i="7" a="1"/>
  <c r="C562" i="7" s="1"/>
  <c r="C561" i="7" a="1"/>
  <c r="C561" i="7" s="1"/>
  <c r="C560" i="7" a="1"/>
  <c r="C560" i="7" s="1"/>
  <c r="C559" i="7" a="1"/>
  <c r="C559" i="7" s="1"/>
  <c r="C558" i="7" a="1"/>
  <c r="C558" i="7" s="1"/>
  <c r="C557" i="7" a="1"/>
  <c r="C557" i="7" s="1"/>
  <c r="C556" i="7" a="1"/>
  <c r="C556" i="7" s="1"/>
  <c r="C555" i="7" a="1"/>
  <c r="C555" i="7" s="1"/>
  <c r="C554" i="7" a="1"/>
  <c r="C554" i="7" s="1"/>
  <c r="C553" i="7" a="1"/>
  <c r="C553" i="7" s="1"/>
  <c r="C552" i="7" a="1"/>
  <c r="C552" i="7" s="1"/>
  <c r="C551" i="7" a="1"/>
  <c r="C551" i="7" s="1"/>
  <c r="C550" i="7" a="1"/>
  <c r="C550" i="7" s="1"/>
  <c r="C549" i="7" a="1"/>
  <c r="C549" i="7" s="1"/>
  <c r="C548" i="7" a="1"/>
  <c r="C548" i="7" s="1"/>
  <c r="C547" i="7" a="1"/>
  <c r="C547" i="7" s="1"/>
  <c r="C546" i="7" a="1"/>
  <c r="C546" i="7" s="1"/>
  <c r="C545" i="7" a="1"/>
  <c r="C545" i="7" s="1"/>
  <c r="C544" i="7" a="1"/>
  <c r="C544" i="7" s="1"/>
  <c r="C543" i="7" a="1"/>
  <c r="C543" i="7" s="1"/>
  <c r="C542" i="7" a="1"/>
  <c r="C542" i="7" s="1"/>
  <c r="C541" i="7" a="1"/>
  <c r="C541" i="7" s="1"/>
  <c r="C540" i="7" a="1"/>
  <c r="C540" i="7" s="1"/>
  <c r="C539" i="7" a="1"/>
  <c r="C539" i="7" s="1"/>
  <c r="C538" i="7" a="1"/>
  <c r="C538" i="7" s="1"/>
  <c r="C537" i="7" a="1"/>
  <c r="C537" i="7" s="1"/>
  <c r="C536" i="7" a="1"/>
  <c r="C536" i="7" s="1"/>
  <c r="C535" i="7" a="1"/>
  <c r="C535" i="7" s="1"/>
  <c r="C534" i="7" a="1"/>
  <c r="C534" i="7" s="1"/>
  <c r="C533" i="7" a="1"/>
  <c r="C533" i="7" s="1"/>
  <c r="C532" i="7" a="1"/>
  <c r="C532" i="7" s="1"/>
  <c r="C531" i="7" a="1"/>
  <c r="C531" i="7" s="1"/>
  <c r="C530" i="7" a="1"/>
  <c r="C530" i="7" s="1"/>
  <c r="C529" i="7" a="1"/>
  <c r="C529" i="7" s="1"/>
  <c r="C528" i="7" a="1"/>
  <c r="C528" i="7" s="1"/>
  <c r="C527" i="7" a="1"/>
  <c r="C527" i="7" s="1"/>
  <c r="C526" i="7" a="1"/>
  <c r="C526" i="7" s="1"/>
  <c r="C525" i="7" a="1"/>
  <c r="C525" i="7" s="1"/>
  <c r="C524" i="7" a="1"/>
  <c r="C524" i="7" s="1"/>
  <c r="C523" i="7" a="1"/>
  <c r="C523" i="7" s="1"/>
  <c r="C522" i="7" a="1"/>
  <c r="C522" i="7" s="1"/>
  <c r="C521" i="7" a="1"/>
  <c r="C521" i="7" s="1"/>
  <c r="C520" i="7" a="1"/>
  <c r="C520" i="7" s="1"/>
  <c r="C519" i="7" a="1"/>
  <c r="C519" i="7" s="1"/>
  <c r="C518" i="7" a="1"/>
  <c r="C518" i="7" s="1"/>
  <c r="C517" i="7" a="1"/>
  <c r="C517" i="7" s="1"/>
  <c r="C516" i="7" a="1"/>
  <c r="C516" i="7" s="1"/>
  <c r="C515" i="7" a="1"/>
  <c r="C515" i="7" s="1"/>
  <c r="C514" i="7" a="1"/>
  <c r="C514" i="7" s="1"/>
  <c r="C513" i="7" a="1"/>
  <c r="C513" i="7" s="1"/>
  <c r="C512" i="7" a="1"/>
  <c r="C512" i="7" s="1"/>
  <c r="C511" i="7" a="1"/>
  <c r="C511" i="7" s="1"/>
  <c r="C510" i="7" a="1"/>
  <c r="C510" i="7" s="1"/>
  <c r="C509" i="7" a="1"/>
  <c r="C509" i="7" s="1"/>
  <c r="C508" i="7" a="1"/>
  <c r="C508" i="7" s="1"/>
  <c r="C507" i="7" a="1"/>
  <c r="C507" i="7" s="1"/>
  <c r="C506" i="7" a="1"/>
  <c r="C506" i="7" s="1"/>
  <c r="C505" i="7" a="1"/>
  <c r="C505" i="7" s="1"/>
  <c r="C504" i="7" a="1"/>
  <c r="C504" i="7" s="1"/>
  <c r="C503" i="7" a="1"/>
  <c r="C503" i="7" s="1"/>
  <c r="C502" i="7" a="1"/>
  <c r="C502" i="7" s="1"/>
  <c r="C501" i="7" a="1"/>
  <c r="C501" i="7" s="1"/>
  <c r="C500" i="7" a="1"/>
  <c r="C500" i="7" s="1"/>
  <c r="C499" i="7" a="1"/>
  <c r="C499" i="7" s="1"/>
  <c r="C498" i="7" a="1"/>
  <c r="C498" i="7" s="1"/>
  <c r="C497" i="7" a="1"/>
  <c r="C497" i="7" s="1"/>
  <c r="C496" i="7" a="1"/>
  <c r="C496" i="7" s="1"/>
  <c r="C495" i="7" a="1"/>
  <c r="C495" i="7" s="1"/>
  <c r="C494" i="7" a="1"/>
  <c r="C494" i="7" s="1"/>
  <c r="C493" i="7" a="1"/>
  <c r="C493" i="7" s="1"/>
  <c r="C492" i="7" a="1"/>
  <c r="C492" i="7" s="1"/>
  <c r="C491" i="7" a="1"/>
  <c r="C491" i="7" s="1"/>
  <c r="C490" i="7" a="1"/>
  <c r="C490" i="7" s="1"/>
  <c r="C489" i="7" a="1"/>
  <c r="C489" i="7" s="1"/>
  <c r="C488" i="7" a="1"/>
  <c r="C488" i="7" s="1"/>
  <c r="C487" i="7" a="1"/>
  <c r="C487" i="7" s="1"/>
  <c r="C486" i="7" a="1"/>
  <c r="C486" i="7" s="1"/>
  <c r="C485" i="7" a="1"/>
  <c r="C485" i="7" s="1"/>
  <c r="C484" i="7" a="1"/>
  <c r="C484" i="7" s="1"/>
  <c r="C483" i="7" a="1"/>
  <c r="C483" i="7" s="1"/>
  <c r="C482" i="7" a="1"/>
  <c r="C482" i="7" s="1"/>
  <c r="C481" i="7" a="1"/>
  <c r="C481" i="7" s="1"/>
  <c r="C480" i="7" a="1"/>
  <c r="C480" i="7" s="1"/>
  <c r="C479" i="7" a="1"/>
  <c r="C479" i="7" s="1"/>
  <c r="C478" i="7" a="1"/>
  <c r="C478" i="7" s="1"/>
  <c r="C477" i="7" a="1"/>
  <c r="C477" i="7" s="1"/>
  <c r="C476" i="7" a="1"/>
  <c r="C476" i="7" s="1"/>
  <c r="C475" i="7" a="1"/>
  <c r="C475" i="7" s="1"/>
  <c r="C474" i="7" a="1"/>
  <c r="C474" i="7" s="1"/>
  <c r="C473" i="7" a="1"/>
  <c r="C473" i="7" s="1"/>
  <c r="C472" i="7" a="1"/>
  <c r="C472" i="7" s="1"/>
  <c r="C471" i="7" a="1"/>
  <c r="C471" i="7" s="1"/>
  <c r="C470" i="7" a="1"/>
  <c r="C470" i="7" s="1"/>
  <c r="C469" i="7" a="1"/>
  <c r="C469" i="7" s="1"/>
  <c r="C468" i="7" a="1"/>
  <c r="C468" i="7" s="1"/>
  <c r="C467" i="7" a="1"/>
  <c r="C467" i="7" s="1"/>
  <c r="C466" i="7" a="1"/>
  <c r="C466" i="7" s="1"/>
  <c r="C465" i="7" a="1"/>
  <c r="C465" i="7" s="1"/>
  <c r="C464" i="7" a="1"/>
  <c r="C464" i="7" s="1"/>
  <c r="C463" i="7" a="1"/>
  <c r="C463" i="7" s="1"/>
  <c r="C462" i="7" a="1"/>
  <c r="C462" i="7" s="1"/>
  <c r="C461" i="7" a="1"/>
  <c r="C461" i="7" s="1"/>
  <c r="C460" i="7" a="1"/>
  <c r="C460" i="7" s="1"/>
  <c r="C459" i="7" a="1"/>
  <c r="C459" i="7" s="1"/>
  <c r="C458" i="7" a="1"/>
  <c r="C458" i="7" s="1"/>
  <c r="C457" i="7" a="1"/>
  <c r="C457" i="7" s="1"/>
  <c r="C456" i="7" a="1"/>
  <c r="C456" i="7" s="1"/>
  <c r="C455" i="7" a="1"/>
  <c r="C455" i="7" s="1"/>
  <c r="C454" i="7" a="1"/>
  <c r="C454" i="7" s="1"/>
  <c r="C453" i="7" a="1"/>
  <c r="C453" i="7" s="1"/>
  <c r="C452" i="7" a="1"/>
  <c r="C452" i="7" s="1"/>
  <c r="C451" i="7" a="1"/>
  <c r="C451" i="7" s="1"/>
  <c r="C450" i="7" a="1"/>
  <c r="C450" i="7" s="1"/>
  <c r="C449" i="7" a="1"/>
  <c r="C449" i="7" s="1"/>
  <c r="C448" i="7" a="1"/>
  <c r="C448" i="7" s="1"/>
  <c r="C447" i="7" a="1"/>
  <c r="C447" i="7" s="1"/>
  <c r="C446" i="7" a="1"/>
  <c r="C446" i="7" s="1"/>
  <c r="C445" i="7" a="1"/>
  <c r="C445" i="7" s="1"/>
  <c r="C444" i="7" a="1"/>
  <c r="C444" i="7" s="1"/>
  <c r="C443" i="7" a="1"/>
  <c r="C443" i="7" s="1"/>
  <c r="C442" i="7" a="1"/>
  <c r="C442" i="7" s="1"/>
  <c r="C441" i="7" a="1"/>
  <c r="C441" i="7" s="1"/>
  <c r="C440" i="7" a="1"/>
  <c r="C440" i="7" s="1"/>
  <c r="C439" i="7" a="1"/>
  <c r="C439" i="7" s="1"/>
  <c r="C438" i="7" a="1"/>
  <c r="C438" i="7" s="1"/>
  <c r="C437" i="7" a="1"/>
  <c r="C437" i="7" s="1"/>
  <c r="C436" i="7" a="1"/>
  <c r="C436" i="7" s="1"/>
  <c r="C435" i="7" a="1"/>
  <c r="C435" i="7" s="1"/>
  <c r="C434" i="7" a="1"/>
  <c r="C434" i="7" s="1"/>
  <c r="C433" i="7" a="1"/>
  <c r="C433" i="7" s="1"/>
  <c r="C432" i="7" a="1"/>
  <c r="C432" i="7" s="1"/>
  <c r="C431" i="7" a="1"/>
  <c r="C431" i="7" s="1"/>
  <c r="C430" i="7" a="1"/>
  <c r="C430" i="7" s="1"/>
  <c r="C429" i="7" a="1"/>
  <c r="C429" i="7" s="1"/>
  <c r="C428" i="7" a="1"/>
  <c r="C428" i="7" s="1"/>
  <c r="C427" i="7" a="1"/>
  <c r="C427" i="7" s="1"/>
  <c r="C426" i="7" a="1"/>
  <c r="C426" i="7" s="1"/>
  <c r="C425" i="7" a="1"/>
  <c r="C425" i="7" s="1"/>
  <c r="C424" i="7" a="1"/>
  <c r="C424" i="7" s="1"/>
  <c r="C423" i="7" a="1"/>
  <c r="C423" i="7" s="1"/>
  <c r="C422" i="7" a="1"/>
  <c r="C422" i="7" s="1"/>
  <c r="C421" i="7" a="1"/>
  <c r="C421" i="7" s="1"/>
  <c r="C420" i="7" a="1"/>
  <c r="C420" i="7" s="1"/>
  <c r="C419" i="7" a="1"/>
  <c r="C419" i="7" s="1"/>
  <c r="C418" i="7" a="1"/>
  <c r="C418" i="7" s="1"/>
  <c r="C417" i="7" a="1"/>
  <c r="C417" i="7" s="1"/>
  <c r="C416" i="7" a="1"/>
  <c r="C416" i="7" s="1"/>
  <c r="C415" i="7" a="1"/>
  <c r="C415" i="7" s="1"/>
  <c r="C414" i="7" a="1"/>
  <c r="C414" i="7" s="1"/>
  <c r="C413" i="7" a="1"/>
  <c r="C413" i="7" s="1"/>
  <c r="C412" i="7" a="1"/>
  <c r="C412" i="7" s="1"/>
  <c r="C411" i="7" a="1"/>
  <c r="C411" i="7" s="1"/>
  <c r="C410" i="7" a="1"/>
  <c r="C410" i="7" s="1"/>
  <c r="C409" i="7" a="1"/>
  <c r="C409" i="7" s="1"/>
  <c r="C408" i="7" a="1"/>
  <c r="C408" i="7" s="1"/>
  <c r="C407" i="7" a="1"/>
  <c r="C407" i="7" s="1"/>
  <c r="C406" i="7" a="1"/>
  <c r="C406" i="7" s="1"/>
  <c r="C405" i="7" a="1"/>
  <c r="C405" i="7" s="1"/>
  <c r="C404" i="7" a="1"/>
  <c r="C404" i="7" s="1"/>
  <c r="C403" i="7" a="1"/>
  <c r="C403" i="7" s="1"/>
  <c r="C402" i="7" a="1"/>
  <c r="C402" i="7" s="1"/>
  <c r="C401" i="7" a="1"/>
  <c r="C401" i="7" s="1"/>
  <c r="C400" i="7" a="1"/>
  <c r="C400" i="7" s="1"/>
  <c r="C399" i="7" a="1"/>
  <c r="C399" i="7" s="1"/>
  <c r="C398" i="7" a="1"/>
  <c r="C398" i="7" s="1"/>
  <c r="C397" i="7" a="1"/>
  <c r="C397" i="7" s="1"/>
  <c r="C396" i="7" a="1"/>
  <c r="C396" i="7" s="1"/>
  <c r="C395" i="7" a="1"/>
  <c r="C395" i="7" s="1"/>
  <c r="C394" i="7" a="1"/>
  <c r="C394" i="7" s="1"/>
  <c r="C393" i="7" a="1"/>
  <c r="C393" i="7" s="1"/>
  <c r="C392" i="7" a="1"/>
  <c r="C392" i="7" s="1"/>
  <c r="C391" i="7" a="1"/>
  <c r="C391" i="7" s="1"/>
  <c r="C390" i="7" a="1"/>
  <c r="C390" i="7" s="1"/>
  <c r="C389" i="7" a="1"/>
  <c r="C389" i="7" s="1"/>
  <c r="C388" i="7" a="1"/>
  <c r="C388" i="7" s="1"/>
  <c r="C387" i="7" a="1"/>
  <c r="C387" i="7" s="1"/>
  <c r="C386" i="7" a="1"/>
  <c r="C386" i="7" s="1"/>
  <c r="C385" i="7" a="1"/>
  <c r="C385" i="7" s="1"/>
  <c r="C384" i="7" a="1"/>
  <c r="C384" i="7" s="1"/>
  <c r="C383" i="7" a="1"/>
  <c r="C383" i="7" s="1"/>
  <c r="C382" i="7" a="1"/>
  <c r="C382" i="7" s="1"/>
  <c r="C381" i="7" a="1"/>
  <c r="C381" i="7" s="1"/>
  <c r="C380" i="7" a="1"/>
  <c r="C380" i="7" s="1"/>
  <c r="C379" i="7" a="1"/>
  <c r="C379" i="7" s="1"/>
  <c r="C378" i="7" a="1"/>
  <c r="C378" i="7" s="1"/>
  <c r="C377" i="7" a="1"/>
  <c r="C377" i="7" s="1"/>
  <c r="C376" i="7" a="1"/>
  <c r="C376" i="7" s="1"/>
  <c r="C375" i="7" a="1"/>
  <c r="C375" i="7" s="1"/>
  <c r="C374" i="7" a="1"/>
  <c r="C374" i="7" s="1"/>
  <c r="C373" i="7" a="1"/>
  <c r="C373" i="7" s="1"/>
  <c r="C372" i="7" a="1"/>
  <c r="C372" i="7" s="1"/>
  <c r="C371" i="7" a="1"/>
  <c r="C371" i="7" s="1"/>
  <c r="C370" i="7" a="1"/>
  <c r="C370" i="7" s="1"/>
  <c r="C369" i="7" a="1"/>
  <c r="C369" i="7" s="1"/>
  <c r="C368" i="7" a="1"/>
  <c r="C368" i="7" s="1"/>
  <c r="C367" i="7" a="1"/>
  <c r="C367" i="7" s="1"/>
  <c r="C366" i="7" a="1"/>
  <c r="C366" i="7" s="1"/>
  <c r="C365" i="7" a="1"/>
  <c r="C365" i="7" s="1"/>
  <c r="C364" i="7" a="1"/>
  <c r="C364" i="7" s="1"/>
  <c r="C363" i="7" a="1"/>
  <c r="C363" i="7" s="1"/>
  <c r="C362" i="7" a="1"/>
  <c r="C362" i="7" s="1"/>
  <c r="C361" i="7" a="1"/>
  <c r="C361" i="7" s="1"/>
  <c r="C360" i="7" a="1"/>
  <c r="C360" i="7" s="1"/>
  <c r="C359" i="7" a="1"/>
  <c r="C359" i="7" s="1"/>
  <c r="C358" i="7" a="1"/>
  <c r="C358" i="7" s="1"/>
  <c r="C357" i="7" a="1"/>
  <c r="C357" i="7" s="1"/>
  <c r="C356" i="7" a="1"/>
  <c r="C356" i="7" s="1"/>
  <c r="C355" i="7" a="1"/>
  <c r="C355" i="7" s="1"/>
  <c r="C354" i="7" a="1"/>
  <c r="C354" i="7" s="1"/>
  <c r="C353" i="7" a="1"/>
  <c r="C353" i="7" s="1"/>
  <c r="C352" i="7" a="1"/>
  <c r="C352" i="7" s="1"/>
  <c r="C351" i="7" a="1"/>
  <c r="C351" i="7" s="1"/>
  <c r="C350" i="7" a="1"/>
  <c r="C350" i="7" s="1"/>
  <c r="C349" i="7" a="1"/>
  <c r="C349" i="7" s="1"/>
  <c r="C348" i="7" a="1"/>
  <c r="C348" i="7" s="1"/>
  <c r="C347" i="7" a="1"/>
  <c r="C347" i="7" s="1"/>
  <c r="C346" i="7" a="1"/>
  <c r="C346" i="7" s="1"/>
  <c r="C345" i="7" a="1"/>
  <c r="C345" i="7" s="1"/>
  <c r="C344" i="7" a="1"/>
  <c r="C344" i="7" s="1"/>
  <c r="C343" i="7" a="1"/>
  <c r="C343" i="7" s="1"/>
  <c r="C342" i="7" a="1"/>
  <c r="C342" i="7" s="1"/>
  <c r="C341" i="7" a="1"/>
  <c r="C341" i="7" s="1"/>
  <c r="C340" i="7" a="1"/>
  <c r="C340" i="7" s="1"/>
  <c r="C339" i="7" a="1"/>
  <c r="C339" i="7" s="1"/>
  <c r="C338" i="7" a="1"/>
  <c r="C338" i="7" s="1"/>
  <c r="C337" i="7" a="1"/>
  <c r="C337" i="7" s="1"/>
  <c r="C336" i="7" a="1"/>
  <c r="C336" i="7" s="1"/>
  <c r="C335" i="7" a="1"/>
  <c r="C335" i="7" s="1"/>
  <c r="C334" i="7" a="1"/>
  <c r="C334" i="7" s="1"/>
  <c r="C333" i="7" a="1"/>
  <c r="C333" i="7" s="1"/>
  <c r="C332" i="7" a="1"/>
  <c r="C332" i="7" s="1"/>
  <c r="C331" i="7" a="1"/>
  <c r="C331" i="7" s="1"/>
  <c r="C330" i="7" a="1"/>
  <c r="C330" i="7" s="1"/>
  <c r="C329" i="7" a="1"/>
  <c r="C329" i="7" s="1"/>
  <c r="C328" i="7" a="1"/>
  <c r="C328" i="7" s="1"/>
  <c r="C327" i="7" a="1"/>
  <c r="C327" i="7" s="1"/>
  <c r="C326" i="7" a="1"/>
  <c r="C326" i="7" s="1"/>
  <c r="C325" i="7" a="1"/>
  <c r="C325" i="7" s="1"/>
  <c r="C324" i="7" a="1"/>
  <c r="C324" i="7" s="1"/>
  <c r="C323" i="7" a="1"/>
  <c r="C323" i="7" s="1"/>
  <c r="C322" i="7" a="1"/>
  <c r="C322" i="7" s="1"/>
  <c r="C321" i="7" a="1"/>
  <c r="C321" i="7" s="1"/>
  <c r="C320" i="7" a="1"/>
  <c r="C320" i="7" s="1"/>
  <c r="C319" i="7" a="1"/>
  <c r="C319" i="7" s="1"/>
  <c r="C318" i="7" a="1"/>
  <c r="C318" i="7" s="1"/>
  <c r="C317" i="7" a="1"/>
  <c r="C317" i="7" s="1"/>
  <c r="C316" i="7" a="1"/>
  <c r="C316" i="7" s="1"/>
  <c r="C315" i="7" a="1"/>
  <c r="C315" i="7" s="1"/>
  <c r="C314" i="7" a="1"/>
  <c r="C314" i="7" s="1"/>
  <c r="C313" i="7" a="1"/>
  <c r="C313" i="7" s="1"/>
  <c r="C312" i="7" a="1"/>
  <c r="C312" i="7" s="1"/>
  <c r="C311" i="7" a="1"/>
  <c r="C311" i="7" s="1"/>
  <c r="C310" i="7" a="1"/>
  <c r="C310" i="7" s="1"/>
  <c r="C309" i="7" a="1"/>
  <c r="C309" i="7" s="1"/>
  <c r="C308" i="7" a="1"/>
  <c r="C308" i="7" s="1"/>
  <c r="C307" i="7" a="1"/>
  <c r="C307" i="7" s="1"/>
  <c r="C306" i="7" a="1"/>
  <c r="C306" i="7" s="1"/>
  <c r="C305" i="7" a="1"/>
  <c r="C305" i="7" s="1"/>
  <c r="C304" i="7" a="1"/>
  <c r="C304" i="7" s="1"/>
  <c r="C303" i="7" a="1"/>
  <c r="C303" i="7" s="1"/>
  <c r="C302" i="7" a="1"/>
  <c r="C302" i="7" s="1"/>
  <c r="C301" i="7" a="1"/>
  <c r="C301" i="7" s="1"/>
  <c r="C300" i="7" a="1"/>
  <c r="C300" i="7" s="1"/>
  <c r="C299" i="7" a="1"/>
  <c r="C299" i="7" s="1"/>
  <c r="C298" i="7" a="1"/>
  <c r="C298" i="7" s="1"/>
  <c r="C297" i="7" a="1"/>
  <c r="C297" i="7" s="1"/>
  <c r="C296" i="7" a="1"/>
  <c r="C296" i="7" s="1"/>
  <c r="C295" i="7" a="1"/>
  <c r="C295" i="7" s="1"/>
  <c r="C294" i="7" a="1"/>
  <c r="C294" i="7" s="1"/>
  <c r="C293" i="7" a="1"/>
  <c r="C293" i="7" s="1"/>
  <c r="C292" i="7" a="1"/>
  <c r="C292" i="7" s="1"/>
  <c r="C291" i="7" a="1"/>
  <c r="C291" i="7" s="1"/>
  <c r="C290" i="7" a="1"/>
  <c r="C290" i="7" s="1"/>
  <c r="C289" i="7" a="1"/>
  <c r="C289" i="7" s="1"/>
  <c r="C288" i="7" a="1"/>
  <c r="C288" i="7" s="1"/>
  <c r="C287" i="7" a="1"/>
  <c r="C287" i="7" s="1"/>
  <c r="C286" i="7" a="1"/>
  <c r="C286" i="7" s="1"/>
  <c r="C285" i="7" a="1"/>
  <c r="C285" i="7" s="1"/>
  <c r="C284" i="7" a="1"/>
  <c r="C284" i="7" s="1"/>
  <c r="C283" i="7" a="1"/>
  <c r="C283" i="7" s="1"/>
  <c r="C282" i="7" a="1"/>
  <c r="C282" i="7" s="1"/>
  <c r="C281" i="7" a="1"/>
  <c r="C281" i="7" s="1"/>
  <c r="C280" i="7" a="1"/>
  <c r="C280" i="7" s="1"/>
  <c r="C279" i="7" a="1"/>
  <c r="C279" i="7" s="1"/>
  <c r="C278" i="7" a="1"/>
  <c r="C278" i="7" s="1"/>
  <c r="C277" i="7" a="1"/>
  <c r="C277" i="7" s="1"/>
  <c r="C276" i="7" a="1"/>
  <c r="C276" i="7" s="1"/>
  <c r="C275" i="7" a="1"/>
  <c r="C275" i="7" s="1"/>
  <c r="C274" i="7" a="1"/>
  <c r="C274" i="7" s="1"/>
  <c r="C273" i="7" a="1"/>
  <c r="C273" i="7" s="1"/>
  <c r="C272" i="7" a="1"/>
  <c r="C272" i="7" s="1"/>
  <c r="C271" i="7" a="1"/>
  <c r="C271" i="7" s="1"/>
  <c r="C270" i="7" a="1"/>
  <c r="C270" i="7" s="1"/>
  <c r="C269" i="7" a="1"/>
  <c r="C269" i="7" s="1"/>
  <c r="C268" i="7" a="1"/>
  <c r="C268" i="7" s="1"/>
  <c r="C267" i="7" a="1"/>
  <c r="C267" i="7" s="1"/>
  <c r="C266" i="7" a="1"/>
  <c r="C266" i="7" s="1"/>
  <c r="C265" i="7" a="1"/>
  <c r="C265" i="7" s="1"/>
  <c r="C264" i="7" a="1"/>
  <c r="C264" i="7" s="1"/>
  <c r="C263" i="7" a="1"/>
  <c r="C263" i="7" s="1"/>
  <c r="C262" i="7" a="1"/>
  <c r="C262" i="7" s="1"/>
  <c r="C261" i="7" a="1"/>
  <c r="C261" i="7" s="1"/>
  <c r="C260" i="7" a="1"/>
  <c r="C260" i="7" s="1"/>
  <c r="C259" i="7" a="1"/>
  <c r="C259" i="7" s="1"/>
  <c r="C258" i="7" a="1"/>
  <c r="C258" i="7" s="1"/>
  <c r="C257" i="7" a="1"/>
  <c r="C257" i="7" s="1"/>
  <c r="C256" i="7" a="1"/>
  <c r="C256" i="7" s="1"/>
  <c r="C255" i="7" a="1"/>
  <c r="C255" i="7" s="1"/>
  <c r="C254" i="7" a="1"/>
  <c r="C254" i="7" s="1"/>
  <c r="C253" i="7" a="1"/>
  <c r="C253" i="7" s="1"/>
  <c r="C252" i="7" a="1"/>
  <c r="C252" i="7" s="1"/>
  <c r="C251" i="7" a="1"/>
  <c r="C251" i="7" s="1"/>
  <c r="C250" i="7" a="1"/>
  <c r="C250" i="7" s="1"/>
  <c r="C249" i="7" a="1"/>
  <c r="C249" i="7" s="1"/>
  <c r="C248" i="7" a="1"/>
  <c r="C248" i="7" s="1"/>
  <c r="C247" i="7" a="1"/>
  <c r="C247" i="7" s="1"/>
  <c r="C246" i="7" a="1"/>
  <c r="C246" i="7" s="1"/>
  <c r="C245" i="7" a="1"/>
  <c r="C245" i="7" s="1"/>
  <c r="C244" i="7" a="1"/>
  <c r="C244" i="7" s="1"/>
  <c r="C243" i="7" a="1"/>
  <c r="C243" i="7" s="1"/>
  <c r="C242" i="7" a="1"/>
  <c r="C242" i="7" s="1"/>
  <c r="C241" i="7" a="1"/>
  <c r="C241" i="7" s="1"/>
  <c r="C240" i="7" a="1"/>
  <c r="C240" i="7" s="1"/>
  <c r="C239" i="7" a="1"/>
  <c r="C239" i="7" s="1"/>
  <c r="C238" i="7" a="1"/>
  <c r="C238" i="7" s="1"/>
  <c r="C237" i="7" a="1"/>
  <c r="C237" i="7" s="1"/>
  <c r="C236" i="7" a="1"/>
  <c r="C236" i="7" s="1"/>
  <c r="C235" i="7" a="1"/>
  <c r="C235" i="7" s="1"/>
  <c r="C234" i="7" a="1"/>
  <c r="C234" i="7" s="1"/>
  <c r="C233" i="7" a="1"/>
  <c r="C233" i="7" s="1"/>
  <c r="C232" i="7" a="1"/>
  <c r="C232" i="7" s="1"/>
  <c r="C231" i="7" a="1"/>
  <c r="C231" i="7" s="1"/>
  <c r="C230" i="7" a="1"/>
  <c r="C230" i="7" s="1"/>
  <c r="C229" i="7" a="1"/>
  <c r="C229" i="7" s="1"/>
  <c r="C228" i="7" a="1"/>
  <c r="C228" i="7" s="1"/>
  <c r="C227" i="7" a="1"/>
  <c r="C227" i="7" s="1"/>
  <c r="C226" i="7" a="1"/>
  <c r="C226" i="7" s="1"/>
  <c r="C225" i="7" a="1"/>
  <c r="C225" i="7" s="1"/>
  <c r="C224" i="7" a="1"/>
  <c r="C224" i="7" s="1"/>
  <c r="C223" i="7" a="1"/>
  <c r="C223" i="7" s="1"/>
  <c r="C222" i="7" a="1"/>
  <c r="C222" i="7" s="1"/>
  <c r="C221" i="7" a="1"/>
  <c r="C221" i="7" s="1"/>
  <c r="C220" i="7" a="1"/>
  <c r="C220" i="7" s="1"/>
  <c r="C219" i="7" a="1"/>
  <c r="C219" i="7" s="1"/>
  <c r="C218" i="7" a="1"/>
  <c r="C218" i="7" s="1"/>
  <c r="C217" i="7" a="1"/>
  <c r="C217" i="7" s="1"/>
  <c r="C216" i="7" a="1"/>
  <c r="C216" i="7" s="1"/>
  <c r="C215" i="7" a="1"/>
  <c r="C215" i="7" s="1"/>
  <c r="C214" i="7" a="1"/>
  <c r="C214" i="7" s="1"/>
  <c r="C213" i="7" a="1"/>
  <c r="C213" i="7" s="1"/>
  <c r="C212" i="7" a="1"/>
  <c r="C212" i="7" s="1"/>
  <c r="C211" i="7" a="1"/>
  <c r="C211" i="7" s="1"/>
  <c r="C210" i="7" a="1"/>
  <c r="C210" i="7" s="1"/>
  <c r="C209" i="7" a="1"/>
  <c r="C209" i="7" s="1"/>
  <c r="C208" i="7" a="1"/>
  <c r="C208" i="7" s="1"/>
  <c r="C207" i="7" a="1"/>
  <c r="C207" i="7" s="1"/>
  <c r="C206" i="7" a="1"/>
  <c r="C206" i="7" s="1"/>
  <c r="C205" i="7" a="1"/>
  <c r="C205" i="7" s="1"/>
  <c r="C204" i="7" a="1"/>
  <c r="C204" i="7" s="1"/>
  <c r="C203" i="7" a="1"/>
  <c r="C203" i="7" s="1"/>
  <c r="C202" i="7" a="1"/>
  <c r="C202" i="7" s="1"/>
  <c r="C201" i="7" a="1"/>
  <c r="C201" i="7" s="1"/>
  <c r="C200" i="7" a="1"/>
  <c r="C200" i="7" s="1"/>
  <c r="C199" i="7" a="1"/>
  <c r="C199" i="7" s="1"/>
  <c r="C198" i="7" a="1"/>
  <c r="C198" i="7" s="1"/>
  <c r="C197" i="7" a="1"/>
  <c r="C197" i="7" s="1"/>
  <c r="C196" i="7" a="1"/>
  <c r="C196" i="7" s="1"/>
  <c r="C195" i="7" a="1"/>
  <c r="C195" i="7" s="1"/>
  <c r="C194" i="7" a="1"/>
  <c r="C194" i="7" s="1"/>
  <c r="C193" i="7" a="1"/>
  <c r="C193" i="7" s="1"/>
  <c r="C192" i="7" a="1"/>
  <c r="C192" i="7" s="1"/>
  <c r="C191" i="7" a="1"/>
  <c r="C191" i="7" s="1"/>
  <c r="C190" i="7" a="1"/>
  <c r="C190" i="7" s="1"/>
  <c r="C189" i="7" a="1"/>
  <c r="C189" i="7" s="1"/>
  <c r="C188" i="7" a="1"/>
  <c r="C188" i="7" s="1"/>
  <c r="C187" i="7" a="1"/>
  <c r="C187" i="7" s="1"/>
  <c r="C186" i="7" a="1"/>
  <c r="C186" i="7" s="1"/>
  <c r="C185" i="7" a="1"/>
  <c r="C185" i="7" s="1"/>
  <c r="C184" i="7" a="1"/>
  <c r="C184" i="7" s="1"/>
  <c r="C183" i="7" a="1"/>
  <c r="C183" i="7" s="1"/>
  <c r="C182" i="7" a="1"/>
  <c r="C182" i="7" s="1"/>
  <c r="C181" i="7" a="1"/>
  <c r="C181" i="7" s="1"/>
  <c r="C180" i="7" a="1"/>
  <c r="C180" i="7" s="1"/>
  <c r="C179" i="7" a="1"/>
  <c r="C179" i="7" s="1"/>
  <c r="C178" i="7" a="1"/>
  <c r="C178" i="7" s="1"/>
  <c r="C177" i="7" a="1"/>
  <c r="C177" i="7" s="1"/>
  <c r="C176" i="7" a="1"/>
  <c r="C176" i="7" s="1"/>
  <c r="C175" i="7" a="1"/>
  <c r="C175" i="7" s="1"/>
  <c r="C174" i="7" a="1"/>
  <c r="C174" i="7" s="1"/>
  <c r="C173" i="7" a="1"/>
  <c r="C173" i="7" s="1"/>
  <c r="C172" i="7" a="1"/>
  <c r="C172" i="7" s="1"/>
  <c r="C171" i="7" a="1"/>
  <c r="C171" i="7" s="1"/>
  <c r="C170" i="7" a="1"/>
  <c r="C170" i="7" s="1"/>
  <c r="C169" i="7" a="1"/>
  <c r="C169" i="7" s="1"/>
  <c r="C168" i="7" a="1"/>
  <c r="C168" i="7" s="1"/>
  <c r="C167" i="7" a="1"/>
  <c r="C167" i="7" s="1"/>
  <c r="C166" i="7" a="1"/>
  <c r="C166" i="7" s="1"/>
  <c r="C165" i="7" a="1"/>
  <c r="C165" i="7" s="1"/>
  <c r="C164" i="7" a="1"/>
  <c r="C164" i="7" s="1"/>
  <c r="C163" i="7" a="1"/>
  <c r="C163" i="7" s="1"/>
  <c r="C162" i="7" a="1"/>
  <c r="C162" i="7" s="1"/>
  <c r="C161" i="7" a="1"/>
  <c r="C161" i="7" s="1"/>
  <c r="C160" i="7" a="1"/>
  <c r="C160" i="7" s="1"/>
  <c r="C159" i="7" a="1"/>
  <c r="C159" i="7" s="1"/>
  <c r="C158" i="7" a="1"/>
  <c r="C158" i="7" s="1"/>
  <c r="C157" i="7" a="1"/>
  <c r="C157" i="7" s="1"/>
  <c r="C156" i="7" a="1"/>
  <c r="C156" i="7" s="1"/>
  <c r="C155" i="7" a="1"/>
  <c r="C155" i="7" s="1"/>
  <c r="C154" i="7" a="1"/>
  <c r="C154" i="7" s="1"/>
  <c r="C153" i="7" a="1"/>
  <c r="C153" i="7" s="1"/>
  <c r="C152" i="7" a="1"/>
  <c r="C152" i="7" s="1"/>
  <c r="C151" i="7" a="1"/>
  <c r="C151" i="7" s="1"/>
  <c r="C150" i="7" a="1"/>
  <c r="C150" i="7" s="1"/>
  <c r="C149" i="7" a="1"/>
  <c r="C149" i="7" s="1"/>
  <c r="C148" i="7" a="1"/>
  <c r="C148" i="7" s="1"/>
  <c r="C147" i="7" a="1"/>
  <c r="C147" i="7" s="1"/>
  <c r="C146" i="7" a="1"/>
  <c r="C146" i="7" s="1"/>
  <c r="C145" i="7" a="1"/>
  <c r="C145" i="7" s="1"/>
  <c r="C144" i="7" a="1"/>
  <c r="C144" i="7" s="1"/>
  <c r="C143" i="7" a="1"/>
  <c r="C143" i="7" s="1"/>
  <c r="C142" i="7" a="1"/>
  <c r="C142" i="7" s="1"/>
  <c r="C141" i="7" a="1"/>
  <c r="C141" i="7" s="1"/>
  <c r="C140" i="7" a="1"/>
  <c r="C140" i="7" s="1"/>
  <c r="C139" i="7" a="1"/>
  <c r="C139" i="7" s="1"/>
  <c r="C138" i="7" a="1"/>
  <c r="C138" i="7" s="1"/>
  <c r="C137" i="7" a="1"/>
  <c r="C137" i="7" s="1"/>
  <c r="C136" i="7" a="1"/>
  <c r="C136" i="7" s="1"/>
  <c r="C135" i="7" a="1"/>
  <c r="C135" i="7" s="1"/>
  <c r="C134" i="7" a="1"/>
  <c r="C134" i="7" s="1"/>
  <c r="C133" i="7" a="1"/>
  <c r="C133" i="7" s="1"/>
  <c r="C132" i="7" a="1"/>
  <c r="C132" i="7" s="1"/>
  <c r="C131" i="7" a="1"/>
  <c r="C131" i="7" s="1"/>
  <c r="C130" i="7" a="1"/>
  <c r="C130" i="7" s="1"/>
  <c r="C129" i="7" a="1"/>
  <c r="C129" i="7" s="1"/>
  <c r="C128" i="7" a="1"/>
  <c r="C128" i="7" s="1"/>
  <c r="C127" i="7" a="1"/>
  <c r="C127" i="7" s="1"/>
  <c r="C126" i="7" a="1"/>
  <c r="C126" i="7" s="1"/>
  <c r="C125" i="7" a="1"/>
  <c r="C125" i="7" s="1"/>
  <c r="C124" i="7" a="1"/>
  <c r="C124" i="7" s="1"/>
  <c r="C123" i="7" a="1"/>
  <c r="C123" i="7" s="1"/>
  <c r="C122" i="7" a="1"/>
  <c r="C122" i="7" s="1"/>
  <c r="C121" i="7" a="1"/>
  <c r="C121" i="7" s="1"/>
  <c r="C120" i="7" a="1"/>
  <c r="C120" i="7" s="1"/>
  <c r="C119" i="7" a="1"/>
  <c r="C119" i="7" s="1"/>
  <c r="C118" i="7" a="1"/>
  <c r="C118" i="7" s="1"/>
  <c r="C117" i="7" a="1"/>
  <c r="C117" i="7" s="1"/>
  <c r="C116" i="7" a="1"/>
  <c r="C116" i="7" s="1"/>
  <c r="C115" i="7" a="1"/>
  <c r="C115" i="7" s="1"/>
  <c r="C114" i="7" a="1"/>
  <c r="C114" i="7" s="1"/>
  <c r="C113" i="7" a="1"/>
  <c r="C113" i="7" s="1"/>
  <c r="C112" i="7" a="1"/>
  <c r="C112" i="7" s="1"/>
  <c r="C111" i="7" a="1"/>
  <c r="C111" i="7" s="1"/>
  <c r="C110" i="7" a="1"/>
  <c r="C110" i="7" s="1"/>
  <c r="C109" i="7" a="1"/>
  <c r="C109" i="7" s="1"/>
  <c r="C108" i="7" a="1"/>
  <c r="C108" i="7" s="1"/>
  <c r="C107" i="7" a="1"/>
  <c r="C107" i="7" s="1"/>
  <c r="C106" i="7" a="1"/>
  <c r="C106" i="7" s="1"/>
  <c r="C105" i="7" a="1"/>
  <c r="C105" i="7" s="1"/>
  <c r="C104" i="7" a="1"/>
  <c r="C104" i="7" s="1"/>
  <c r="C103" i="7" a="1"/>
  <c r="C103" i="7" s="1"/>
  <c r="C102" i="7" a="1"/>
  <c r="C102" i="7" s="1"/>
  <c r="C101" i="7" a="1"/>
  <c r="C101" i="7" s="1"/>
  <c r="C100" i="7" a="1"/>
  <c r="C100" i="7" s="1"/>
  <c r="C99" i="7" a="1"/>
  <c r="C99" i="7" s="1"/>
  <c r="C98" i="7" a="1"/>
  <c r="C98" i="7" s="1"/>
  <c r="C97" i="7" a="1"/>
  <c r="C97" i="7" s="1"/>
  <c r="C96" i="7" a="1"/>
  <c r="C96" i="7" s="1"/>
  <c r="C95" i="7" a="1"/>
  <c r="C95" i="7" s="1"/>
  <c r="C94" i="7" a="1"/>
  <c r="C94" i="7" s="1"/>
  <c r="C93" i="7" a="1"/>
  <c r="C93" i="7" s="1"/>
  <c r="C92" i="7" a="1"/>
  <c r="C92" i="7" s="1"/>
  <c r="C91" i="7" a="1"/>
  <c r="C91" i="7" s="1"/>
  <c r="C90" i="7" a="1"/>
  <c r="C90" i="7" s="1"/>
  <c r="C89" i="7" a="1"/>
  <c r="C89" i="7" s="1"/>
  <c r="C88" i="7" a="1"/>
  <c r="C88" i="7" s="1"/>
  <c r="C87" i="7" a="1"/>
  <c r="C87" i="7" s="1"/>
  <c r="C86" i="7" a="1"/>
  <c r="C86" i="7" s="1"/>
  <c r="C85" i="7" a="1"/>
  <c r="C85" i="7" s="1"/>
  <c r="C84" i="7" a="1"/>
  <c r="C84" i="7" s="1"/>
  <c r="C83" i="7" a="1"/>
  <c r="C83" i="7" s="1"/>
  <c r="C82" i="7" a="1"/>
  <c r="C82" i="7" s="1"/>
  <c r="C81" i="7" a="1"/>
  <c r="C81" i="7" s="1"/>
  <c r="C80" i="7" a="1"/>
  <c r="C80" i="7" s="1"/>
  <c r="C79" i="7" a="1"/>
  <c r="C79" i="7" s="1"/>
  <c r="C78" i="7" a="1"/>
  <c r="C78" i="7" s="1"/>
  <c r="C77" i="7" a="1"/>
  <c r="C77" i="7" s="1"/>
  <c r="C76" i="7" a="1"/>
  <c r="C76" i="7" s="1"/>
  <c r="C75" i="7" a="1"/>
  <c r="C75" i="7" s="1"/>
  <c r="C74" i="7" a="1"/>
  <c r="C74" i="7" s="1"/>
  <c r="C73" i="7" a="1"/>
  <c r="C73" i="7" s="1"/>
  <c r="C72" i="7" a="1"/>
  <c r="C72" i="7" s="1"/>
  <c r="C71" i="7" a="1"/>
  <c r="C71" i="7" s="1"/>
  <c r="C70" i="7" a="1"/>
  <c r="C70" i="7" s="1"/>
  <c r="C69" i="7" a="1"/>
  <c r="C69" i="7" s="1"/>
  <c r="C68" i="7" a="1"/>
  <c r="C68" i="7" s="1"/>
  <c r="C67" i="7" a="1"/>
  <c r="C67" i="7" s="1"/>
  <c r="C66" i="7" a="1"/>
  <c r="C66" i="7" s="1"/>
  <c r="C65" i="7" a="1"/>
  <c r="C65" i="7" s="1"/>
  <c r="C64" i="7" a="1"/>
  <c r="C64" i="7" s="1"/>
  <c r="C63" i="7" a="1"/>
  <c r="C63" i="7" s="1"/>
  <c r="C62" i="7" a="1"/>
  <c r="C62" i="7" s="1"/>
  <c r="C61" i="7" a="1"/>
  <c r="C61" i="7" s="1"/>
  <c r="C60" i="7" a="1"/>
  <c r="C60" i="7" s="1"/>
  <c r="C59" i="7" a="1"/>
  <c r="C59" i="7" s="1"/>
  <c r="C58" i="7" a="1"/>
  <c r="C58" i="7" s="1"/>
  <c r="C57" i="7" a="1"/>
  <c r="C57" i="7" s="1"/>
  <c r="C56" i="7" a="1"/>
  <c r="C56" i="7" s="1"/>
  <c r="C55" i="7" a="1"/>
  <c r="C55" i="7" s="1"/>
  <c r="C54" i="7" a="1"/>
  <c r="C54" i="7" s="1"/>
  <c r="C53" i="7" a="1"/>
  <c r="C53" i="7" s="1"/>
  <c r="C52" i="7" a="1"/>
  <c r="C52" i="7" s="1"/>
  <c r="C51" i="7" a="1"/>
  <c r="C51" i="7" s="1"/>
  <c r="C50" i="7" a="1"/>
  <c r="C50" i="7" s="1"/>
  <c r="C49" i="7" a="1"/>
  <c r="C49" i="7" s="1"/>
  <c r="C48" i="7" a="1"/>
  <c r="C48" i="7" s="1"/>
  <c r="C47" i="7" a="1"/>
  <c r="C47" i="7" s="1"/>
  <c r="C46" i="7" a="1"/>
  <c r="C46" i="7" s="1"/>
  <c r="C45" i="7" a="1"/>
  <c r="C45" i="7" s="1"/>
  <c r="C44" i="7" a="1"/>
  <c r="C44" i="7" s="1"/>
  <c r="C43" i="7" a="1"/>
  <c r="C43" i="7" s="1"/>
  <c r="C42" i="7" a="1"/>
  <c r="C42" i="7" s="1"/>
  <c r="C41" i="7" a="1"/>
  <c r="C41" i="7" s="1"/>
  <c r="C40" i="7" a="1"/>
  <c r="C40" i="7" s="1"/>
  <c r="C39" i="7" a="1"/>
  <c r="C39" i="7" s="1"/>
  <c r="C38" i="7" a="1"/>
  <c r="C38" i="7" s="1"/>
  <c r="C37" i="7" a="1"/>
  <c r="C37" i="7" s="1"/>
  <c r="C36" i="7" a="1"/>
  <c r="C36" i="7" s="1"/>
  <c r="C35" i="7" a="1"/>
  <c r="C35" i="7" s="1"/>
  <c r="C34" i="7" a="1"/>
  <c r="C34" i="7" s="1"/>
  <c r="C33" i="7" a="1"/>
  <c r="C33" i="7" s="1"/>
  <c r="C32" i="7" a="1"/>
  <c r="C32" i="7" s="1"/>
  <c r="C31" i="7" a="1"/>
  <c r="C31" i="7" s="1"/>
  <c r="C30" i="7" a="1"/>
  <c r="C30" i="7" s="1"/>
  <c r="C29" i="7" a="1"/>
  <c r="C29" i="7" s="1"/>
  <c r="C28" i="7" a="1"/>
  <c r="C28" i="7" s="1"/>
  <c r="C27" i="7" a="1"/>
  <c r="C27" i="7" s="1"/>
  <c r="C26" i="7" a="1"/>
  <c r="C26" i="7" s="1"/>
  <c r="C25" i="7" a="1"/>
  <c r="C25" i="7" s="1"/>
  <c r="C24" i="7" a="1"/>
  <c r="C24" i="7" s="1"/>
  <c r="C23" i="7" a="1"/>
  <c r="C23" i="7" s="1"/>
  <c r="C22" i="7" a="1"/>
  <c r="C22" i="7" s="1"/>
  <c r="C21" i="7" a="1"/>
  <c r="C21" i="7" s="1"/>
  <c r="C20" i="7" a="1"/>
  <c r="C20" i="7" s="1"/>
  <c r="C19" i="7" a="1"/>
  <c r="C19" i="7" s="1"/>
  <c r="C18" i="7" a="1"/>
  <c r="C18" i="7" s="1"/>
  <c r="C17" i="7" a="1"/>
  <c r="C17" i="7" s="1"/>
  <c r="C16" i="7" a="1"/>
  <c r="C16" i="7" s="1"/>
  <c r="C15" i="7" a="1"/>
  <c r="C15" i="7" s="1"/>
  <c r="C14" i="7" a="1"/>
  <c r="C14" i="7" s="1"/>
  <c r="C13" i="7" a="1"/>
  <c r="C13" i="7" s="1"/>
  <c r="C12" i="7" a="1"/>
  <c r="C12" i="7" s="1"/>
  <c r="C11" i="7" a="1"/>
  <c r="C11" i="7" s="1"/>
  <c r="C10" i="7" a="1"/>
  <c r="C10" i="7" s="1"/>
  <c r="C9" i="7" a="1"/>
  <c r="C9" i="7" s="1"/>
  <c r="C8" i="7" a="1"/>
  <c r="C8" i="7" s="1"/>
  <c r="C7" i="7" a="1"/>
  <c r="C7" i="7" s="1"/>
  <c r="G454" i="7"/>
  <c r="H454" i="7" s="1"/>
  <c r="D454" i="7" s="1"/>
  <c r="G166" i="7"/>
  <c r="H166" i="7" s="1"/>
  <c r="D166" i="7" s="1"/>
  <c r="G150" i="7"/>
  <c r="H150" i="7" s="1"/>
  <c r="D150" i="7" s="1"/>
  <c r="G438" i="7"/>
  <c r="H438" i="7" s="1"/>
  <c r="D438" i="7" s="1"/>
  <c r="G326" i="7"/>
  <c r="H326" i="7" s="1"/>
  <c r="D326" i="7" s="1"/>
  <c r="G38" i="7"/>
  <c r="H38" i="7" s="1"/>
  <c r="D38" i="7" s="1"/>
  <c r="G70" i="7"/>
  <c r="H70" i="7" s="1"/>
  <c r="D70" i="7" s="1"/>
  <c r="G358" i="7"/>
  <c r="H358" i="7" s="1"/>
  <c r="D358" i="7" s="1"/>
  <c r="G390" i="7"/>
  <c r="H390" i="7" s="1"/>
  <c r="D390" i="7" s="1"/>
  <c r="G102" i="7"/>
  <c r="H102" i="7" s="1"/>
  <c r="D102" i="7" s="1"/>
  <c r="G134" i="7"/>
  <c r="H134" i="7" s="1"/>
  <c r="D134" i="7" s="1"/>
  <c r="G422" i="7"/>
  <c r="H422" i="7" s="1"/>
  <c r="D422" i="7" s="1"/>
  <c r="G486" i="7"/>
  <c r="H486" i="7" s="1"/>
  <c r="D486" i="7" s="1"/>
  <c r="G230" i="7"/>
  <c r="H230" i="7" s="1"/>
  <c r="D230" i="7" s="1"/>
  <c r="G518" i="7"/>
  <c r="H518" i="7" s="1"/>
  <c r="D518" i="7" s="1"/>
  <c r="G198" i="7"/>
  <c r="H198" i="7" s="1"/>
  <c r="D198" i="7" s="1"/>
  <c r="G550" i="7"/>
  <c r="H550" i="7" s="1"/>
  <c r="D550" i="7" s="1"/>
  <c r="G262" i="7"/>
  <c r="H262" i="7" s="1"/>
  <c r="D262" i="7" s="1"/>
  <c r="G582" i="7"/>
  <c r="H582" i="7" s="1"/>
  <c r="D582" i="7" s="1"/>
  <c r="G294" i="7"/>
  <c r="H294" i="7" s="1"/>
  <c r="D294" i="7" s="1"/>
  <c r="G310" i="7"/>
  <c r="H310" i="7" s="1"/>
  <c r="D310" i="7" s="1"/>
  <c r="G374" i="7"/>
  <c r="H374" i="7" s="1"/>
  <c r="D374" i="7" s="1"/>
  <c r="G22" i="7"/>
  <c r="H22" i="7" s="1"/>
  <c r="D22" i="7" s="1"/>
  <c r="G342" i="7"/>
  <c r="H342" i="7" s="1"/>
  <c r="D342" i="7" s="1"/>
  <c r="G54" i="7"/>
  <c r="H54" i="7" s="1"/>
  <c r="D54" i="7" s="1"/>
  <c r="G86" i="7"/>
  <c r="H86" i="7" s="1"/>
  <c r="D86" i="7" s="1"/>
  <c r="G118" i="7"/>
  <c r="H118" i="7" s="1"/>
  <c r="D118" i="7" s="1"/>
  <c r="G406" i="7"/>
  <c r="H406" i="7" s="1"/>
  <c r="D406" i="7" s="1"/>
  <c r="G470" i="7"/>
  <c r="H470" i="7" s="1"/>
  <c r="D470" i="7" s="1"/>
  <c r="G502" i="7"/>
  <c r="H502" i="7" s="1"/>
  <c r="D502" i="7" s="1"/>
  <c r="G534" i="7"/>
  <c r="H534" i="7" s="1"/>
  <c r="D534" i="7" s="1"/>
  <c r="G214" i="7"/>
  <c r="H214" i="7" s="1"/>
  <c r="D214" i="7" s="1"/>
  <c r="G182" i="7"/>
  <c r="H182" i="7" s="1"/>
  <c r="D182" i="7" s="1"/>
  <c r="G246" i="7"/>
  <c r="H246" i="7" s="1"/>
  <c r="D246" i="7" s="1"/>
  <c r="G278" i="7"/>
  <c r="H278" i="7" s="1"/>
  <c r="D278" i="7" s="1"/>
  <c r="G566" i="7"/>
  <c r="H566" i="7" s="1"/>
  <c r="D566" i="7" s="1"/>
  <c r="G453" i="7"/>
  <c r="H453" i="7" s="1"/>
  <c r="D453" i="7" s="1"/>
  <c r="G165" i="7"/>
  <c r="H165" i="7" s="1"/>
  <c r="D165" i="7" s="1"/>
  <c r="G149" i="7"/>
  <c r="H149" i="7" s="1"/>
  <c r="D149" i="7" s="1"/>
  <c r="G437" i="7"/>
  <c r="H437" i="7" s="1"/>
  <c r="D437" i="7" s="1"/>
  <c r="G389" i="7"/>
  <c r="H389" i="7" s="1"/>
  <c r="D389" i="7" s="1"/>
  <c r="G325" i="7"/>
  <c r="H325" i="7" s="1"/>
  <c r="D325" i="7" s="1"/>
  <c r="G37" i="7"/>
  <c r="H37" i="7" s="1"/>
  <c r="D37" i="7" s="1"/>
  <c r="G101" i="7"/>
  <c r="H101" i="7" s="1"/>
  <c r="D101" i="7" s="1"/>
  <c r="G357" i="7"/>
  <c r="H357" i="7" s="1"/>
  <c r="D357" i="7" s="1"/>
  <c r="G69" i="7"/>
  <c r="H69" i="7" s="1"/>
  <c r="D69" i="7" s="1"/>
  <c r="G421" i="7"/>
  <c r="H421" i="7" s="1"/>
  <c r="D421" i="7" s="1"/>
  <c r="G133" i="7"/>
  <c r="H133" i="7" s="1"/>
  <c r="D133" i="7" s="1"/>
  <c r="G485" i="7"/>
  <c r="H485" i="7" s="1"/>
  <c r="D485" i="7" s="1"/>
  <c r="G197" i="7"/>
  <c r="H197" i="7" s="1"/>
  <c r="D197" i="7" s="1"/>
  <c r="G229" i="7"/>
  <c r="H229" i="7" s="1"/>
  <c r="D229" i="7" s="1"/>
  <c r="G517" i="7"/>
  <c r="H517" i="7" s="1"/>
  <c r="D517" i="7" s="1"/>
  <c r="G261" i="7"/>
  <c r="H261" i="7" s="1"/>
  <c r="D261" i="7" s="1"/>
  <c r="G549" i="7"/>
  <c r="H549" i="7" s="1"/>
  <c r="D549" i="7" s="1"/>
  <c r="G581" i="7"/>
  <c r="H581" i="7" s="1"/>
  <c r="D581" i="7" s="1"/>
  <c r="G293" i="7"/>
  <c r="H293" i="7" s="1"/>
  <c r="D293" i="7" s="1"/>
  <c r="G373" i="7"/>
  <c r="H373" i="7" s="1"/>
  <c r="D373" i="7" s="1"/>
  <c r="G85" i="7"/>
  <c r="H85" i="7" s="1"/>
  <c r="D85" i="7" s="1"/>
  <c r="G309" i="7"/>
  <c r="H309" i="7" s="1"/>
  <c r="D309" i="7" s="1"/>
  <c r="G21" i="7"/>
  <c r="H21" i="7" s="1"/>
  <c r="D21" i="7" s="1"/>
  <c r="G117" i="7"/>
  <c r="H117" i="7" s="1"/>
  <c r="D117" i="7" s="1"/>
  <c r="G53" i="7"/>
  <c r="H53" i="7" s="1"/>
  <c r="D53" i="7" s="1"/>
  <c r="G341" i="7"/>
  <c r="H341" i="7" s="1"/>
  <c r="D341" i="7" s="1"/>
  <c r="G405" i="7"/>
  <c r="H405" i="7" s="1"/>
  <c r="D405" i="7" s="1"/>
  <c r="G469" i="7"/>
  <c r="H469" i="7" s="1"/>
  <c r="D469" i="7" s="1"/>
  <c r="G181" i="7"/>
  <c r="H181" i="7" s="1"/>
  <c r="D181" i="7" s="1"/>
  <c r="G501" i="7"/>
  <c r="H501" i="7" s="1"/>
  <c r="D501" i="7" s="1"/>
  <c r="G533" i="7"/>
  <c r="H533" i="7" s="1"/>
  <c r="D533" i="7" s="1"/>
  <c r="G213" i="7"/>
  <c r="H213" i="7" s="1"/>
  <c r="D213" i="7" s="1"/>
  <c r="G277" i="7"/>
  <c r="H277" i="7" s="1"/>
  <c r="D277" i="7" s="1"/>
  <c r="G245" i="7"/>
  <c r="H245" i="7" s="1"/>
  <c r="D245" i="7" s="1"/>
  <c r="G565" i="7"/>
  <c r="H565" i="7" s="1"/>
  <c r="D565" i="7" s="1"/>
  <c r="G452" i="7"/>
  <c r="H452" i="7" s="1"/>
  <c r="D452" i="7" s="1"/>
  <c r="G164" i="7"/>
  <c r="H164" i="7" s="1"/>
  <c r="D164" i="7" s="1"/>
  <c r="G148" i="7"/>
  <c r="H148" i="7" s="1"/>
  <c r="D148" i="7" s="1"/>
  <c r="G436" i="7"/>
  <c r="H436" i="7" s="1"/>
  <c r="D436" i="7" s="1"/>
  <c r="G356" i="7"/>
  <c r="H356" i="7" s="1"/>
  <c r="D356" i="7" s="1"/>
  <c r="G36" i="7"/>
  <c r="H36" i="7" s="1"/>
  <c r="D36" i="7" s="1"/>
  <c r="G388" i="7"/>
  <c r="H388" i="7" s="1"/>
  <c r="D388" i="7" s="1"/>
  <c r="G324" i="7"/>
  <c r="H324" i="7" s="1"/>
  <c r="D324" i="7" s="1"/>
  <c r="G100" i="7"/>
  <c r="H100" i="7" s="1"/>
  <c r="D100" i="7" s="1"/>
  <c r="G68" i="7"/>
  <c r="H68" i="7" s="1"/>
  <c r="D68" i="7" s="1"/>
  <c r="G420" i="7"/>
  <c r="H420" i="7" s="1"/>
  <c r="D420" i="7" s="1"/>
  <c r="G132" i="7"/>
  <c r="H132" i="7" s="1"/>
  <c r="D132" i="7" s="1"/>
  <c r="G484" i="7"/>
  <c r="H484" i="7" s="1"/>
  <c r="D484" i="7" s="1"/>
  <c r="G196" i="7"/>
  <c r="H196" i="7" s="1"/>
  <c r="D196" i="7" s="1"/>
  <c r="G516" i="7"/>
  <c r="H516" i="7" s="1"/>
  <c r="D516" i="7" s="1"/>
  <c r="G228" i="7"/>
  <c r="H228" i="7" s="1"/>
  <c r="D228" i="7" s="1"/>
  <c r="G260" i="7"/>
  <c r="H260" i="7" s="1"/>
  <c r="D260" i="7" s="1"/>
  <c r="G548" i="7"/>
  <c r="H548" i="7" s="1"/>
  <c r="D548" i="7" s="1"/>
  <c r="G292" i="7"/>
  <c r="H292" i="7" s="1"/>
  <c r="D292" i="7" s="1"/>
  <c r="G580" i="7"/>
  <c r="H580" i="7" s="1"/>
  <c r="D580" i="7" s="1"/>
  <c r="G308" i="7"/>
  <c r="H308" i="7" s="1"/>
  <c r="D308" i="7" s="1"/>
  <c r="G84" i="7"/>
  <c r="H84" i="7" s="1"/>
  <c r="D84" i="7" s="1"/>
  <c r="G340" i="7"/>
  <c r="H340" i="7" s="1"/>
  <c r="D340" i="7" s="1"/>
  <c r="G116" i="7"/>
  <c r="H116" i="7" s="1"/>
  <c r="D116" i="7" s="1"/>
  <c r="G52" i="7"/>
  <c r="H52" i="7" s="1"/>
  <c r="D52" i="7" s="1"/>
  <c r="G372" i="7"/>
  <c r="H372" i="7" s="1"/>
  <c r="D372" i="7" s="1"/>
  <c r="G20" i="7"/>
  <c r="H20" i="7" s="1"/>
  <c r="D20" i="7" s="1"/>
  <c r="G404" i="7"/>
  <c r="H404" i="7" s="1"/>
  <c r="D404" i="7" s="1"/>
  <c r="G500" i="7"/>
  <c r="H500" i="7" s="1"/>
  <c r="D500" i="7" s="1"/>
  <c r="G468" i="7"/>
  <c r="H468" i="7" s="1"/>
  <c r="D468" i="7" s="1"/>
  <c r="G180" i="7"/>
  <c r="H180" i="7" s="1"/>
  <c r="D180" i="7" s="1"/>
  <c r="G532" i="7"/>
  <c r="H532" i="7" s="1"/>
  <c r="D532" i="7" s="1"/>
  <c r="G212" i="7"/>
  <c r="H212" i="7" s="1"/>
  <c r="D212" i="7" s="1"/>
  <c r="G244" i="7"/>
  <c r="H244" i="7" s="1"/>
  <c r="D244" i="7" s="1"/>
  <c r="G564" i="7"/>
  <c r="H564" i="7" s="1"/>
  <c r="D564" i="7" s="1"/>
  <c r="G276" i="7"/>
  <c r="H276" i="7" s="1"/>
  <c r="D276" i="7" s="1"/>
  <c r="G451" i="7"/>
  <c r="H451" i="7" s="1"/>
  <c r="D451" i="7" s="1"/>
  <c r="G163" i="7"/>
  <c r="H163" i="7" s="1"/>
  <c r="D163" i="7" s="1"/>
  <c r="G435" i="7"/>
  <c r="H435" i="7" s="1"/>
  <c r="D435" i="7" s="1"/>
  <c r="G147" i="7"/>
  <c r="H147" i="7" s="1"/>
  <c r="D147" i="7" s="1"/>
  <c r="G323" i="7"/>
  <c r="H323" i="7" s="1"/>
  <c r="D323" i="7" s="1"/>
  <c r="G35" i="7"/>
  <c r="H35" i="7" s="1"/>
  <c r="D35" i="7" s="1"/>
  <c r="G387" i="7"/>
  <c r="H387" i="7" s="1"/>
  <c r="D387" i="7" s="1"/>
  <c r="G355" i="7"/>
  <c r="H355" i="7" s="1"/>
  <c r="D355" i="7" s="1"/>
  <c r="G99" i="7"/>
  <c r="H99" i="7" s="1"/>
  <c r="D99" i="7" s="1"/>
  <c r="G67" i="7"/>
  <c r="H67" i="7" s="1"/>
  <c r="D67" i="7" s="1"/>
  <c r="G419" i="7"/>
  <c r="H419" i="7" s="1"/>
  <c r="D419" i="7" s="1"/>
  <c r="G131" i="7"/>
  <c r="H131" i="7" s="1"/>
  <c r="D131" i="7" s="1"/>
  <c r="G483" i="7"/>
  <c r="H483" i="7" s="1"/>
  <c r="D483" i="7" s="1"/>
  <c r="G195" i="7"/>
  <c r="H195" i="7" s="1"/>
  <c r="D195" i="7" s="1"/>
  <c r="G515" i="7"/>
  <c r="H515" i="7" s="1"/>
  <c r="D515" i="7" s="1"/>
  <c r="G227" i="7"/>
  <c r="H227" i="7" s="1"/>
  <c r="D227" i="7" s="1"/>
  <c r="G547" i="7"/>
  <c r="H547" i="7" s="1"/>
  <c r="D547" i="7" s="1"/>
  <c r="G579" i="7"/>
  <c r="H579" i="7" s="1"/>
  <c r="D579" i="7" s="1"/>
  <c r="G259" i="7"/>
  <c r="H259" i="7" s="1"/>
  <c r="D259" i="7" s="1"/>
  <c r="G291" i="7"/>
  <c r="H291" i="7" s="1"/>
  <c r="D291" i="7" s="1"/>
  <c r="G19" i="7"/>
  <c r="H19" i="7" s="1"/>
  <c r="D19" i="7" s="1"/>
  <c r="G339" i="7"/>
  <c r="H339" i="7" s="1"/>
  <c r="D339" i="7" s="1"/>
  <c r="G307" i="7"/>
  <c r="H307" i="7" s="1"/>
  <c r="D307" i="7" s="1"/>
  <c r="G371" i="7"/>
  <c r="H371" i="7" s="1"/>
  <c r="D371" i="7" s="1"/>
  <c r="G51" i="7"/>
  <c r="H51" i="7" s="1"/>
  <c r="D51" i="7" s="1"/>
  <c r="G83" i="7"/>
  <c r="H83" i="7" s="1"/>
  <c r="D83" i="7" s="1"/>
  <c r="G115" i="7"/>
  <c r="H115" i="7" s="1"/>
  <c r="D115" i="7" s="1"/>
  <c r="G403" i="7"/>
  <c r="H403" i="7" s="1"/>
  <c r="D403" i="7" s="1"/>
  <c r="G467" i="7"/>
  <c r="H467" i="7" s="1"/>
  <c r="D467" i="7" s="1"/>
  <c r="G499" i="7"/>
  <c r="H499" i="7" s="1"/>
  <c r="D499" i="7" s="1"/>
  <c r="G211" i="7"/>
  <c r="H211" i="7" s="1"/>
  <c r="D211" i="7" s="1"/>
  <c r="G563" i="7"/>
  <c r="H563" i="7" s="1"/>
  <c r="D563" i="7" s="1"/>
  <c r="G179" i="7"/>
  <c r="H179" i="7" s="1"/>
  <c r="D179" i="7" s="1"/>
  <c r="G243" i="7"/>
  <c r="H243" i="7" s="1"/>
  <c r="D243" i="7" s="1"/>
  <c r="G531" i="7"/>
  <c r="H531" i="7" s="1"/>
  <c r="D531" i="7" s="1"/>
  <c r="G275" i="7"/>
  <c r="H275" i="7" s="1"/>
  <c r="D275" i="7" s="1"/>
  <c r="G450" i="7"/>
  <c r="H450" i="7" s="1"/>
  <c r="D450" i="7" s="1"/>
  <c r="G162" i="7"/>
  <c r="H162" i="7" s="1"/>
  <c r="D162" i="7" s="1"/>
  <c r="G146" i="7"/>
  <c r="H146" i="7" s="1"/>
  <c r="D146" i="7" s="1"/>
  <c r="G434" i="7"/>
  <c r="H434" i="7" s="1"/>
  <c r="D434" i="7" s="1"/>
  <c r="G34" i="7"/>
  <c r="H34" i="7" s="1"/>
  <c r="D34" i="7" s="1"/>
  <c r="G322" i="7"/>
  <c r="H322" i="7" s="1"/>
  <c r="D322" i="7" s="1"/>
  <c r="G386" i="7"/>
  <c r="H386" i="7" s="1"/>
  <c r="D386" i="7" s="1"/>
  <c r="G98" i="7"/>
  <c r="H98" i="7" s="1"/>
  <c r="D98" i="7" s="1"/>
  <c r="G66" i="7"/>
  <c r="H66" i="7" s="1"/>
  <c r="D66" i="7" s="1"/>
  <c r="G354" i="7"/>
  <c r="H354" i="7" s="1"/>
  <c r="D354" i="7" s="1"/>
  <c r="G418" i="7"/>
  <c r="H418" i="7" s="1"/>
  <c r="D418" i="7" s="1"/>
  <c r="G130" i="7"/>
  <c r="H130" i="7" s="1"/>
  <c r="D130" i="7" s="1"/>
  <c r="G226" i="7"/>
  <c r="H226" i="7" s="1"/>
  <c r="D226" i="7" s="1"/>
  <c r="G194" i="7"/>
  <c r="H194" i="7" s="1"/>
  <c r="D194" i="7" s="1"/>
  <c r="G482" i="7"/>
  <c r="H482" i="7" s="1"/>
  <c r="D482" i="7" s="1"/>
  <c r="G514" i="7"/>
  <c r="H514" i="7" s="1"/>
  <c r="D514" i="7" s="1"/>
  <c r="G258" i="7"/>
  <c r="H258" i="7" s="1"/>
  <c r="D258" i="7" s="1"/>
  <c r="G546" i="7"/>
  <c r="H546" i="7" s="1"/>
  <c r="D546" i="7" s="1"/>
  <c r="G578" i="7"/>
  <c r="H578" i="7" s="1"/>
  <c r="D578" i="7" s="1"/>
  <c r="G290" i="7"/>
  <c r="H290" i="7" s="1"/>
  <c r="D290" i="7" s="1"/>
  <c r="G306" i="7"/>
  <c r="H306" i="7" s="1"/>
  <c r="D306" i="7" s="1"/>
  <c r="G18" i="7"/>
  <c r="H18" i="7" s="1"/>
  <c r="D18" i="7" s="1"/>
  <c r="G370" i="7"/>
  <c r="H370" i="7" s="1"/>
  <c r="D370" i="7" s="1"/>
  <c r="G82" i="7"/>
  <c r="H82" i="7" s="1"/>
  <c r="D82" i="7" s="1"/>
  <c r="G338" i="7"/>
  <c r="H338" i="7" s="1"/>
  <c r="D338" i="7" s="1"/>
  <c r="G50" i="7"/>
  <c r="H50" i="7" s="1"/>
  <c r="D50" i="7" s="1"/>
  <c r="G402" i="7"/>
  <c r="H402" i="7" s="1"/>
  <c r="D402" i="7" s="1"/>
  <c r="G114" i="7"/>
  <c r="H114" i="7" s="1"/>
  <c r="D114" i="7" s="1"/>
  <c r="G466" i="7"/>
  <c r="H466" i="7" s="1"/>
  <c r="D466" i="7" s="1"/>
  <c r="G178" i="7"/>
  <c r="H178" i="7" s="1"/>
  <c r="D178" i="7" s="1"/>
  <c r="G210" i="7"/>
  <c r="H210" i="7" s="1"/>
  <c r="D210" i="7" s="1"/>
  <c r="G498" i="7"/>
  <c r="H498" i="7" s="1"/>
  <c r="D498" i="7" s="1"/>
  <c r="G530" i="7"/>
  <c r="H530" i="7" s="1"/>
  <c r="D530" i="7" s="1"/>
  <c r="G274" i="7"/>
  <c r="H274" i="7" s="1"/>
  <c r="D274" i="7" s="1"/>
  <c r="G242" i="7"/>
  <c r="H242" i="7" s="1"/>
  <c r="D242" i="7" s="1"/>
  <c r="G562" i="7"/>
  <c r="H562" i="7" s="1"/>
  <c r="D562" i="7" s="1"/>
  <c r="G449" i="7"/>
  <c r="H449" i="7" s="1"/>
  <c r="D449" i="7" s="1"/>
  <c r="G161" i="7"/>
  <c r="H161" i="7" s="1"/>
  <c r="D161" i="7" s="1"/>
  <c r="G433" i="7"/>
  <c r="H433" i="7" s="1"/>
  <c r="D433" i="7" s="1"/>
  <c r="G145" i="7"/>
  <c r="H145" i="7" s="1"/>
  <c r="D145" i="7" s="1"/>
  <c r="G321" i="7"/>
  <c r="H321" i="7" s="1"/>
  <c r="D321" i="7" s="1"/>
  <c r="G33" i="7"/>
  <c r="H33" i="7" s="1"/>
  <c r="D33" i="7" s="1"/>
  <c r="G97" i="7"/>
  <c r="H97" i="7" s="1"/>
  <c r="D97" i="7" s="1"/>
  <c r="G353" i="7"/>
  <c r="H353" i="7" s="1"/>
  <c r="D353" i="7" s="1"/>
  <c r="G385" i="7"/>
  <c r="H385" i="7" s="1"/>
  <c r="D385" i="7" s="1"/>
  <c r="G65" i="7"/>
  <c r="H65" i="7" s="1"/>
  <c r="D65" i="7" s="1"/>
  <c r="G129" i="7"/>
  <c r="H129" i="7" s="1"/>
  <c r="D129" i="7" s="1"/>
  <c r="G417" i="7"/>
  <c r="H417" i="7" s="1"/>
  <c r="D417" i="7" s="1"/>
  <c r="G513" i="7"/>
  <c r="H513" i="7" s="1"/>
  <c r="D513" i="7" s="1"/>
  <c r="G225" i="7"/>
  <c r="H225" i="7" s="1"/>
  <c r="D225" i="7" s="1"/>
  <c r="G481" i="7"/>
  <c r="H481" i="7" s="1"/>
  <c r="D481" i="7" s="1"/>
  <c r="G193" i="7"/>
  <c r="H193" i="7" s="1"/>
  <c r="D193" i="7" s="1"/>
  <c r="G257" i="7"/>
  <c r="H257" i="7" s="1"/>
  <c r="D257" i="7" s="1"/>
  <c r="G545" i="7"/>
  <c r="H545" i="7" s="1"/>
  <c r="D545" i="7" s="1"/>
  <c r="G289" i="7"/>
  <c r="H289" i="7" s="1"/>
  <c r="D289" i="7" s="1"/>
  <c r="G577" i="7"/>
  <c r="H577" i="7" s="1"/>
  <c r="D577" i="7" s="1"/>
  <c r="G17" i="7"/>
  <c r="H17" i="7" s="1"/>
  <c r="D17" i="7" s="1"/>
  <c r="G369" i="7"/>
  <c r="H369" i="7" s="1"/>
  <c r="D369" i="7" s="1"/>
  <c r="G305" i="7"/>
  <c r="H305" i="7" s="1"/>
  <c r="D305" i="7" s="1"/>
  <c r="G81" i="7"/>
  <c r="H81" i="7" s="1"/>
  <c r="D81" i="7" s="1"/>
  <c r="G337" i="7"/>
  <c r="H337" i="7" s="1"/>
  <c r="D337" i="7" s="1"/>
  <c r="G49" i="7"/>
  <c r="H49" i="7" s="1"/>
  <c r="D49" i="7" s="1"/>
  <c r="G401" i="7"/>
  <c r="H401" i="7" s="1"/>
  <c r="D401" i="7" s="1"/>
  <c r="G113" i="7"/>
  <c r="H113" i="7" s="1"/>
  <c r="D113" i="7" s="1"/>
  <c r="G465" i="7"/>
  <c r="H465" i="7" s="1"/>
  <c r="D465" i="7" s="1"/>
  <c r="G177" i="7"/>
  <c r="H177" i="7" s="1"/>
  <c r="D177" i="7" s="1"/>
  <c r="G497" i="7"/>
  <c r="H497" i="7" s="1"/>
  <c r="D497" i="7" s="1"/>
  <c r="G529" i="7"/>
  <c r="H529" i="7" s="1"/>
  <c r="D529" i="7" s="1"/>
  <c r="G209" i="7"/>
  <c r="H209" i="7" s="1"/>
  <c r="D209" i="7" s="1"/>
  <c r="G241" i="7"/>
  <c r="H241" i="7" s="1"/>
  <c r="D241" i="7" s="1"/>
  <c r="G273" i="7"/>
  <c r="H273" i="7" s="1"/>
  <c r="D273" i="7" s="1"/>
  <c r="G561" i="7"/>
  <c r="H561" i="7" s="1"/>
  <c r="D561" i="7" s="1"/>
  <c r="G448" i="7"/>
  <c r="H448" i="7" s="1"/>
  <c r="D448" i="7" s="1"/>
  <c r="G160" i="7"/>
  <c r="H160" i="7" s="1"/>
  <c r="D160" i="7" s="1"/>
  <c r="G144" i="7"/>
  <c r="H144" i="7" s="1"/>
  <c r="D144" i="7" s="1"/>
  <c r="G432" i="7"/>
  <c r="H432" i="7" s="1"/>
  <c r="D432" i="7" s="1"/>
  <c r="G320" i="7"/>
  <c r="H320" i="7" s="1"/>
  <c r="D320" i="7" s="1"/>
  <c r="G64" i="7"/>
  <c r="H64" i="7" s="1"/>
  <c r="D64" i="7" s="1"/>
  <c r="G32" i="7"/>
  <c r="H32" i="7" s="1"/>
  <c r="D32" i="7" s="1"/>
  <c r="G384" i="7"/>
  <c r="H384" i="7" s="1"/>
  <c r="D384" i="7" s="1"/>
  <c r="G96" i="7"/>
  <c r="H96" i="7" s="1"/>
  <c r="D96" i="7" s="1"/>
  <c r="G352" i="7"/>
  <c r="H352" i="7" s="1"/>
  <c r="D352" i="7" s="1"/>
  <c r="G416" i="7"/>
  <c r="H416" i="7" s="1"/>
  <c r="D416" i="7" s="1"/>
  <c r="G128" i="7"/>
  <c r="H128" i="7" s="1"/>
  <c r="D128" i="7" s="1"/>
  <c r="G480" i="7"/>
  <c r="H480" i="7" s="1"/>
  <c r="D480" i="7" s="1"/>
  <c r="G192" i="7"/>
  <c r="H192" i="7" s="1"/>
  <c r="D192" i="7" s="1"/>
  <c r="G512" i="7"/>
  <c r="H512" i="7" s="1"/>
  <c r="D512" i="7" s="1"/>
  <c r="G224" i="7"/>
  <c r="H224" i="7" s="1"/>
  <c r="D224" i="7" s="1"/>
  <c r="G288" i="7"/>
  <c r="H288" i="7" s="1"/>
  <c r="D288" i="7" s="1"/>
  <c r="G544" i="7"/>
  <c r="H544" i="7" s="1"/>
  <c r="D544" i="7" s="1"/>
  <c r="G256" i="7"/>
  <c r="H256" i="7" s="1"/>
  <c r="D256" i="7" s="1"/>
  <c r="G576" i="7"/>
  <c r="H576" i="7" s="1"/>
  <c r="D576" i="7" s="1"/>
  <c r="G304" i="7"/>
  <c r="H304" i="7" s="1"/>
  <c r="D304" i="7" s="1"/>
  <c r="G80" i="7"/>
  <c r="H80" i="7" s="1"/>
  <c r="D80" i="7" s="1"/>
  <c r="G16" i="7"/>
  <c r="H16" i="7" s="1"/>
  <c r="D16" i="7" s="1"/>
  <c r="G368" i="7"/>
  <c r="H368" i="7" s="1"/>
  <c r="D368" i="7" s="1"/>
  <c r="G336" i="7"/>
  <c r="H336" i="7" s="1"/>
  <c r="D336" i="7" s="1"/>
  <c r="G48" i="7"/>
  <c r="H48" i="7" s="1"/>
  <c r="D48" i="7" s="1"/>
  <c r="G112" i="7"/>
  <c r="H112" i="7" s="1"/>
  <c r="D112" i="7" s="1"/>
  <c r="G400" i="7"/>
  <c r="H400" i="7" s="1"/>
  <c r="D400" i="7" s="1"/>
  <c r="G464" i="7"/>
  <c r="H464" i="7" s="1"/>
  <c r="D464" i="7" s="1"/>
  <c r="G176" i="7"/>
  <c r="H176" i="7" s="1"/>
  <c r="D176" i="7" s="1"/>
  <c r="G528" i="7"/>
  <c r="H528" i="7" s="1"/>
  <c r="D528" i="7" s="1"/>
  <c r="G496" i="7"/>
  <c r="H496" i="7" s="1"/>
  <c r="D496" i="7" s="1"/>
  <c r="G240" i="7"/>
  <c r="H240" i="7" s="1"/>
  <c r="D240" i="7" s="1"/>
  <c r="G208" i="7"/>
  <c r="H208" i="7" s="1"/>
  <c r="D208" i="7" s="1"/>
  <c r="G272" i="7"/>
  <c r="H272" i="7" s="1"/>
  <c r="D272" i="7" s="1"/>
  <c r="G560" i="7"/>
  <c r="H560" i="7" s="1"/>
  <c r="D560" i="7" s="1"/>
  <c r="G447" i="7"/>
  <c r="H447" i="7" s="1"/>
  <c r="D447" i="7" s="1"/>
  <c r="G159" i="7"/>
  <c r="H159" i="7" s="1"/>
  <c r="D159" i="7" s="1"/>
  <c r="G431" i="7"/>
  <c r="H431" i="7" s="1"/>
  <c r="D431" i="7" s="1"/>
  <c r="G143" i="7"/>
  <c r="H143" i="7" s="1"/>
  <c r="D143" i="7" s="1"/>
  <c r="G319" i="7"/>
  <c r="H319" i="7" s="1"/>
  <c r="D319" i="7" s="1"/>
  <c r="G31" i="7"/>
  <c r="H31" i="7" s="1"/>
  <c r="D31" i="7" s="1"/>
  <c r="G383" i="7"/>
  <c r="H383" i="7" s="1"/>
  <c r="D383" i="7" s="1"/>
  <c r="G95" i="7"/>
  <c r="H95" i="7" s="1"/>
  <c r="D95" i="7" s="1"/>
  <c r="G63" i="7"/>
  <c r="H63" i="7" s="1"/>
  <c r="D63" i="7" s="1"/>
  <c r="G351" i="7"/>
  <c r="H351" i="7" s="1"/>
  <c r="D351" i="7" s="1"/>
  <c r="G127" i="7"/>
  <c r="H127" i="7" s="1"/>
  <c r="D127" i="7" s="1"/>
  <c r="G415" i="7"/>
  <c r="H415" i="7" s="1"/>
  <c r="D415" i="7" s="1"/>
  <c r="G479" i="7"/>
  <c r="H479" i="7" s="1"/>
  <c r="D479" i="7" s="1"/>
  <c r="G191" i="7"/>
  <c r="H191" i="7" s="1"/>
  <c r="D191" i="7" s="1"/>
  <c r="G511" i="7"/>
  <c r="H511" i="7" s="1"/>
  <c r="D511" i="7" s="1"/>
  <c r="G223" i="7"/>
  <c r="H223" i="7" s="1"/>
  <c r="D223" i="7" s="1"/>
  <c r="G543" i="7"/>
  <c r="H543" i="7" s="1"/>
  <c r="D543" i="7" s="1"/>
  <c r="G255" i="7"/>
  <c r="H255" i="7" s="1"/>
  <c r="D255" i="7" s="1"/>
  <c r="G575" i="7"/>
  <c r="H575" i="7" s="1"/>
  <c r="D575" i="7" s="1"/>
  <c r="G287" i="7"/>
  <c r="H287" i="7" s="1"/>
  <c r="D287" i="7" s="1"/>
  <c r="G303" i="7"/>
  <c r="H303" i="7" s="1"/>
  <c r="D303" i="7" s="1"/>
  <c r="G15" i="7"/>
  <c r="H15" i="7" s="1"/>
  <c r="D15" i="7" s="1"/>
  <c r="G367" i="7"/>
  <c r="H367" i="7" s="1"/>
  <c r="D367" i="7" s="1"/>
  <c r="G335" i="7"/>
  <c r="H335" i="7" s="1"/>
  <c r="D335" i="7" s="1"/>
  <c r="G47" i="7"/>
  <c r="H47" i="7" s="1"/>
  <c r="D47" i="7" s="1"/>
  <c r="G79" i="7"/>
  <c r="H79" i="7" s="1"/>
  <c r="D79" i="7" s="1"/>
  <c r="G399" i="7"/>
  <c r="H399" i="7" s="1"/>
  <c r="D399" i="7" s="1"/>
  <c r="G463" i="7"/>
  <c r="H463" i="7" s="1"/>
  <c r="D463" i="7" s="1"/>
  <c r="G175" i="7"/>
  <c r="H175" i="7" s="1"/>
  <c r="D175" i="7" s="1"/>
  <c r="G111" i="7"/>
  <c r="H111" i="7" s="1"/>
  <c r="D111" i="7" s="1"/>
  <c r="G495" i="7"/>
  <c r="H495" i="7" s="1"/>
  <c r="D495" i="7" s="1"/>
  <c r="G527" i="7"/>
  <c r="H527" i="7" s="1"/>
  <c r="D527" i="7" s="1"/>
  <c r="G239" i="7"/>
  <c r="H239" i="7" s="1"/>
  <c r="D239" i="7" s="1"/>
  <c r="G207" i="7"/>
  <c r="H207" i="7" s="1"/>
  <c r="D207" i="7" s="1"/>
  <c r="G559" i="7"/>
  <c r="H559" i="7" s="1"/>
  <c r="D559" i="7" s="1"/>
  <c r="G271" i="7"/>
  <c r="H271" i="7" s="1"/>
  <c r="D271" i="7" s="1"/>
  <c r="G446" i="7"/>
  <c r="H446" i="7" s="1"/>
  <c r="D446" i="7" s="1"/>
  <c r="G158" i="7"/>
  <c r="H158" i="7" s="1"/>
  <c r="D158" i="7" s="1"/>
  <c r="G430" i="7"/>
  <c r="H430" i="7" s="1"/>
  <c r="D430" i="7" s="1"/>
  <c r="G142" i="7"/>
  <c r="H142" i="7" s="1"/>
  <c r="D142" i="7" s="1"/>
  <c r="G30" i="7"/>
  <c r="H30" i="7" s="1"/>
  <c r="D30" i="7" s="1"/>
  <c r="G318" i="7"/>
  <c r="H318" i="7" s="1"/>
  <c r="D318" i="7" s="1"/>
  <c r="G382" i="7"/>
  <c r="H382" i="7" s="1"/>
  <c r="D382" i="7" s="1"/>
  <c r="G94" i="7"/>
  <c r="H94" i="7" s="1"/>
  <c r="D94" i="7" s="1"/>
  <c r="G350" i="7"/>
  <c r="H350" i="7" s="1"/>
  <c r="D350" i="7" s="1"/>
  <c r="G126" i="7"/>
  <c r="H126" i="7" s="1"/>
  <c r="D126" i="7" s="1"/>
  <c r="G62" i="7"/>
  <c r="H62" i="7" s="1"/>
  <c r="D62" i="7" s="1"/>
  <c r="G414" i="7"/>
  <c r="H414" i="7" s="1"/>
  <c r="D414" i="7" s="1"/>
  <c r="G478" i="7"/>
  <c r="H478" i="7" s="1"/>
  <c r="D478" i="7" s="1"/>
  <c r="G190" i="7"/>
  <c r="H190" i="7" s="1"/>
  <c r="D190" i="7" s="1"/>
  <c r="G510" i="7"/>
  <c r="H510" i="7" s="1"/>
  <c r="D510" i="7" s="1"/>
  <c r="G222" i="7"/>
  <c r="H222" i="7" s="1"/>
  <c r="D222" i="7" s="1"/>
  <c r="G542" i="7"/>
  <c r="H542" i="7" s="1"/>
  <c r="D542" i="7" s="1"/>
  <c r="G254" i="7"/>
  <c r="H254" i="7" s="1"/>
  <c r="D254" i="7" s="1"/>
  <c r="G286" i="7"/>
  <c r="H286" i="7" s="1"/>
  <c r="D286" i="7" s="1"/>
  <c r="G574" i="7"/>
  <c r="H574" i="7" s="1"/>
  <c r="D574" i="7" s="1"/>
  <c r="G302" i="7"/>
  <c r="H302" i="7" s="1"/>
  <c r="D302" i="7" s="1"/>
  <c r="G366" i="7"/>
  <c r="H366" i="7" s="1"/>
  <c r="D366" i="7" s="1"/>
  <c r="G14" i="7"/>
  <c r="H14" i="7" s="1"/>
  <c r="D14" i="7" s="1"/>
  <c r="G78" i="7"/>
  <c r="H78" i="7" s="1"/>
  <c r="D78" i="7" s="1"/>
  <c r="G334" i="7"/>
  <c r="H334" i="7" s="1"/>
  <c r="D334" i="7" s="1"/>
  <c r="G46" i="7"/>
  <c r="H46" i="7" s="1"/>
  <c r="D46" i="7" s="1"/>
  <c r="G398" i="7"/>
  <c r="H398" i="7" s="1"/>
  <c r="D398" i="7" s="1"/>
  <c r="G110" i="7"/>
  <c r="H110" i="7" s="1"/>
  <c r="D110" i="7" s="1"/>
  <c r="G462" i="7"/>
  <c r="H462" i="7" s="1"/>
  <c r="D462" i="7" s="1"/>
  <c r="G206" i="7"/>
  <c r="H206" i="7" s="1"/>
  <c r="D206" i="7" s="1"/>
  <c r="G174" i="7"/>
  <c r="H174" i="7" s="1"/>
  <c r="D174" i="7" s="1"/>
  <c r="G494" i="7"/>
  <c r="H494" i="7" s="1"/>
  <c r="D494" i="7" s="1"/>
  <c r="G558" i="7"/>
  <c r="H558" i="7" s="1"/>
  <c r="D558" i="7" s="1"/>
  <c r="G526" i="7"/>
  <c r="H526" i="7" s="1"/>
  <c r="D526" i="7" s="1"/>
  <c r="G238" i="7"/>
  <c r="H238" i="7" s="1"/>
  <c r="D238" i="7" s="1"/>
  <c r="G270" i="7"/>
  <c r="H270" i="7" s="1"/>
  <c r="D270" i="7" s="1"/>
  <c r="G445" i="7"/>
  <c r="H445" i="7" s="1"/>
  <c r="D445" i="7" s="1"/>
  <c r="G157" i="7"/>
  <c r="H157" i="7" s="1"/>
  <c r="D157" i="7" s="1"/>
  <c r="G429" i="7"/>
  <c r="H429" i="7" s="1"/>
  <c r="D429" i="7" s="1"/>
  <c r="G141" i="7"/>
  <c r="H141" i="7" s="1"/>
  <c r="D141" i="7" s="1"/>
  <c r="G317" i="7"/>
  <c r="H317" i="7" s="1"/>
  <c r="D317" i="7" s="1"/>
  <c r="G381" i="7"/>
  <c r="H381" i="7" s="1"/>
  <c r="D381" i="7" s="1"/>
  <c r="G29" i="7"/>
  <c r="H29" i="7" s="1"/>
  <c r="D29" i="7" s="1"/>
  <c r="G349" i="7"/>
  <c r="H349" i="7" s="1"/>
  <c r="D349" i="7" s="1"/>
  <c r="G125" i="7"/>
  <c r="H125" i="7" s="1"/>
  <c r="D125" i="7" s="1"/>
  <c r="G61" i="7"/>
  <c r="H61" i="7" s="1"/>
  <c r="D61" i="7" s="1"/>
  <c r="G93" i="7"/>
  <c r="H93" i="7" s="1"/>
  <c r="D93" i="7" s="1"/>
  <c r="G413" i="7"/>
  <c r="H413" i="7" s="1"/>
  <c r="D413" i="7" s="1"/>
  <c r="G477" i="7"/>
  <c r="H477" i="7" s="1"/>
  <c r="D477" i="7" s="1"/>
  <c r="G221" i="7"/>
  <c r="H221" i="7" s="1"/>
  <c r="D221" i="7" s="1"/>
  <c r="G509" i="7"/>
  <c r="H509" i="7" s="1"/>
  <c r="D509" i="7" s="1"/>
  <c r="G189" i="7"/>
  <c r="H189" i="7" s="1"/>
  <c r="D189" i="7" s="1"/>
  <c r="G541" i="7"/>
  <c r="H541" i="7" s="1"/>
  <c r="D541" i="7" s="1"/>
  <c r="G253" i="7"/>
  <c r="H253" i="7" s="1"/>
  <c r="D253" i="7" s="1"/>
  <c r="G573" i="7"/>
  <c r="H573" i="7" s="1"/>
  <c r="D573" i="7" s="1"/>
  <c r="G285" i="7"/>
  <c r="H285" i="7" s="1"/>
  <c r="D285" i="7" s="1"/>
  <c r="G301" i="7"/>
  <c r="H301" i="7" s="1"/>
  <c r="D301" i="7" s="1"/>
  <c r="G77" i="7"/>
  <c r="H77" i="7" s="1"/>
  <c r="D77" i="7" s="1"/>
  <c r="G365" i="7"/>
  <c r="H365" i="7" s="1"/>
  <c r="D365" i="7" s="1"/>
  <c r="G13" i="7"/>
  <c r="H13" i="7" s="1"/>
  <c r="D13" i="7" s="1"/>
  <c r="G45" i="7"/>
  <c r="H45" i="7" s="1"/>
  <c r="D45" i="7" s="1"/>
  <c r="G397" i="7"/>
  <c r="H397" i="7" s="1"/>
  <c r="D397" i="7" s="1"/>
  <c r="G333" i="7"/>
  <c r="H333" i="7" s="1"/>
  <c r="D333" i="7" s="1"/>
  <c r="G109" i="7"/>
  <c r="H109" i="7" s="1"/>
  <c r="D109" i="7" s="1"/>
  <c r="G461" i="7"/>
  <c r="H461" i="7" s="1"/>
  <c r="D461" i="7" s="1"/>
  <c r="G173" i="7"/>
  <c r="H173" i="7" s="1"/>
  <c r="D173" i="7" s="1"/>
  <c r="G205" i="7"/>
  <c r="H205" i="7" s="1"/>
  <c r="D205" i="7" s="1"/>
  <c r="G493" i="7"/>
  <c r="H493" i="7" s="1"/>
  <c r="D493" i="7" s="1"/>
  <c r="G525" i="7"/>
  <c r="H525" i="7" s="1"/>
  <c r="D525" i="7" s="1"/>
  <c r="G237" i="7"/>
  <c r="H237" i="7" s="1"/>
  <c r="D237" i="7" s="1"/>
  <c r="G557" i="7"/>
  <c r="H557" i="7" s="1"/>
  <c r="D557" i="7" s="1"/>
  <c r="G269" i="7"/>
  <c r="H269" i="7" s="1"/>
  <c r="D269" i="7" s="1"/>
  <c r="G444" i="7"/>
  <c r="H444" i="7" s="1"/>
  <c r="D444" i="7" s="1"/>
  <c r="G156" i="7"/>
  <c r="H156" i="7" s="1"/>
  <c r="D156" i="7" s="1"/>
  <c r="G140" i="7"/>
  <c r="H140" i="7" s="1"/>
  <c r="D140" i="7" s="1"/>
  <c r="G428" i="7"/>
  <c r="H428" i="7" s="1"/>
  <c r="D428" i="7" s="1"/>
  <c r="G28" i="7"/>
  <c r="H28" i="7" s="1"/>
  <c r="D28" i="7" s="1"/>
  <c r="G380" i="7"/>
  <c r="H380" i="7" s="1"/>
  <c r="D380" i="7" s="1"/>
  <c r="G316" i="7"/>
  <c r="H316" i="7" s="1"/>
  <c r="D316" i="7" s="1"/>
  <c r="G348" i="7"/>
  <c r="H348" i="7" s="1"/>
  <c r="D348" i="7" s="1"/>
  <c r="G60" i="7"/>
  <c r="H60" i="7" s="1"/>
  <c r="D60" i="7" s="1"/>
  <c r="G92" i="7"/>
  <c r="H92" i="7" s="1"/>
  <c r="D92" i="7" s="1"/>
  <c r="G124" i="7"/>
  <c r="H124" i="7" s="1"/>
  <c r="D124" i="7" s="1"/>
  <c r="G412" i="7"/>
  <c r="H412" i="7" s="1"/>
  <c r="D412" i="7" s="1"/>
  <c r="G476" i="7"/>
  <c r="H476" i="7" s="1"/>
  <c r="D476" i="7" s="1"/>
  <c r="G220" i="7"/>
  <c r="H220" i="7" s="1"/>
  <c r="D220" i="7" s="1"/>
  <c r="G508" i="7"/>
  <c r="H508" i="7" s="1"/>
  <c r="D508" i="7" s="1"/>
  <c r="G188" i="7"/>
  <c r="H188" i="7" s="1"/>
  <c r="D188" i="7" s="1"/>
  <c r="G252" i="7"/>
  <c r="H252" i="7" s="1"/>
  <c r="D252" i="7" s="1"/>
  <c r="G540" i="7"/>
  <c r="H540" i="7" s="1"/>
  <c r="D540" i="7" s="1"/>
  <c r="G284" i="7"/>
  <c r="H284" i="7" s="1"/>
  <c r="D284" i="7" s="1"/>
  <c r="G572" i="7"/>
  <c r="H572" i="7" s="1"/>
  <c r="D572" i="7" s="1"/>
  <c r="G300" i="7"/>
  <c r="H300" i="7" s="1"/>
  <c r="D300" i="7" s="1"/>
  <c r="G364" i="7"/>
  <c r="H364" i="7" s="1"/>
  <c r="D364" i="7" s="1"/>
  <c r="G76" i="7"/>
  <c r="H76" i="7" s="1"/>
  <c r="D76" i="7" s="1"/>
  <c r="G396" i="7"/>
  <c r="H396" i="7" s="1"/>
  <c r="D396" i="7" s="1"/>
  <c r="G44" i="7"/>
  <c r="H44" i="7" s="1"/>
  <c r="D44" i="7" s="1"/>
  <c r="G12" i="7"/>
  <c r="H12" i="7" s="1"/>
  <c r="D12" i="7" s="1"/>
  <c r="G332" i="7"/>
  <c r="H332" i="7" s="1"/>
  <c r="D332" i="7" s="1"/>
  <c r="G108" i="7"/>
  <c r="H108" i="7" s="1"/>
  <c r="D108" i="7" s="1"/>
  <c r="G460" i="7"/>
  <c r="H460" i="7" s="1"/>
  <c r="D460" i="7" s="1"/>
  <c r="G492" i="7"/>
  <c r="H492" i="7" s="1"/>
  <c r="D492" i="7" s="1"/>
  <c r="G172" i="7"/>
  <c r="H172" i="7" s="1"/>
  <c r="D172" i="7" s="1"/>
  <c r="G204" i="7"/>
  <c r="H204" i="7" s="1"/>
  <c r="D204" i="7" s="1"/>
  <c r="G524" i="7"/>
  <c r="H524" i="7" s="1"/>
  <c r="D524" i="7" s="1"/>
  <c r="G556" i="7"/>
  <c r="H556" i="7" s="1"/>
  <c r="D556" i="7" s="1"/>
  <c r="G236" i="7"/>
  <c r="H236" i="7" s="1"/>
  <c r="D236" i="7" s="1"/>
  <c r="G268" i="7"/>
  <c r="H268" i="7" s="1"/>
  <c r="D268" i="7" s="1"/>
  <c r="G443" i="7"/>
  <c r="H443" i="7" s="1"/>
  <c r="D443" i="7" s="1"/>
  <c r="G155" i="7"/>
  <c r="H155" i="7" s="1"/>
  <c r="D155" i="7" s="1"/>
  <c r="G427" i="7"/>
  <c r="H427" i="7" s="1"/>
  <c r="D427" i="7" s="1"/>
  <c r="G139" i="7"/>
  <c r="H139" i="7" s="1"/>
  <c r="D139" i="7" s="1"/>
  <c r="G315" i="7"/>
  <c r="H315" i="7" s="1"/>
  <c r="D315" i="7" s="1"/>
  <c r="G347" i="7"/>
  <c r="H347" i="7" s="1"/>
  <c r="D347" i="7" s="1"/>
  <c r="G91" i="7"/>
  <c r="H91" i="7" s="1"/>
  <c r="D91" i="7" s="1"/>
  <c r="G27" i="7"/>
  <c r="H27" i="7" s="1"/>
  <c r="D27" i="7" s="1"/>
  <c r="G379" i="7"/>
  <c r="H379" i="7" s="1"/>
  <c r="D379" i="7" s="1"/>
  <c r="G59" i="7"/>
  <c r="H59" i="7" s="1"/>
  <c r="D59" i="7" s="1"/>
  <c r="G411" i="7"/>
  <c r="H411" i="7" s="1"/>
  <c r="D411" i="7" s="1"/>
  <c r="G123" i="7"/>
  <c r="H123" i="7" s="1"/>
  <c r="D123" i="7" s="1"/>
  <c r="G475" i="7"/>
  <c r="H475" i="7" s="1"/>
  <c r="D475" i="7" s="1"/>
  <c r="G187" i="7"/>
  <c r="H187" i="7" s="1"/>
  <c r="D187" i="7" s="1"/>
  <c r="G507" i="7"/>
  <c r="H507" i="7" s="1"/>
  <c r="D507" i="7" s="1"/>
  <c r="G219" i="7"/>
  <c r="H219" i="7" s="1"/>
  <c r="D219" i="7" s="1"/>
  <c r="G539" i="7"/>
  <c r="H539" i="7" s="1"/>
  <c r="D539" i="7" s="1"/>
  <c r="G251" i="7"/>
  <c r="H251" i="7" s="1"/>
  <c r="D251" i="7" s="1"/>
  <c r="G571" i="7"/>
  <c r="H571" i="7" s="1"/>
  <c r="D571" i="7" s="1"/>
  <c r="G283" i="7"/>
  <c r="H283" i="7" s="1"/>
  <c r="D283" i="7" s="1"/>
  <c r="G363" i="7"/>
  <c r="H363" i="7" s="1"/>
  <c r="D363" i="7" s="1"/>
  <c r="G11" i="7"/>
  <c r="H11" i="7" s="1"/>
  <c r="D11" i="7" s="1"/>
  <c r="G75" i="7"/>
  <c r="H75" i="7" s="1"/>
  <c r="D75" i="7" s="1"/>
  <c r="G331" i="7"/>
  <c r="H331" i="7" s="1"/>
  <c r="D331" i="7" s="1"/>
  <c r="G299" i="7"/>
  <c r="H299" i="7" s="1"/>
  <c r="D299" i="7" s="1"/>
  <c r="G43" i="7"/>
  <c r="H43" i="7" s="1"/>
  <c r="D43" i="7" s="1"/>
  <c r="G395" i="7"/>
  <c r="H395" i="7" s="1"/>
  <c r="D395" i="7" s="1"/>
  <c r="G107" i="7"/>
  <c r="H107" i="7" s="1"/>
  <c r="D107" i="7" s="1"/>
  <c r="G171" i="7"/>
  <c r="H171" i="7" s="1"/>
  <c r="D171" i="7" s="1"/>
  <c r="G459" i="7"/>
  <c r="H459" i="7" s="1"/>
  <c r="D459" i="7" s="1"/>
  <c r="G491" i="7"/>
  <c r="H491" i="7" s="1"/>
  <c r="D491" i="7" s="1"/>
  <c r="G203" i="7"/>
  <c r="H203" i="7" s="1"/>
  <c r="D203" i="7" s="1"/>
  <c r="G555" i="7"/>
  <c r="H555" i="7" s="1"/>
  <c r="D555" i="7" s="1"/>
  <c r="G523" i="7"/>
  <c r="H523" i="7" s="1"/>
  <c r="D523" i="7" s="1"/>
  <c r="G235" i="7"/>
  <c r="H235" i="7" s="1"/>
  <c r="D235" i="7" s="1"/>
  <c r="G267" i="7"/>
  <c r="H267" i="7" s="1"/>
  <c r="D267" i="7" s="1"/>
  <c r="G442" i="7"/>
  <c r="H442" i="7" s="1"/>
  <c r="D442" i="7" s="1"/>
  <c r="G154" i="7"/>
  <c r="H154" i="7" s="1"/>
  <c r="D154" i="7" s="1"/>
  <c r="G426" i="7"/>
  <c r="H426" i="7" s="1"/>
  <c r="D426" i="7" s="1"/>
  <c r="G138" i="7"/>
  <c r="H138" i="7" s="1"/>
  <c r="D138" i="7" s="1"/>
  <c r="G314" i="7"/>
  <c r="H314" i="7" s="1"/>
  <c r="D314" i="7" s="1"/>
  <c r="G26" i="7"/>
  <c r="H26" i="7" s="1"/>
  <c r="D26" i="7" s="1"/>
  <c r="G378" i="7"/>
  <c r="H378" i="7" s="1"/>
  <c r="D378" i="7" s="1"/>
  <c r="G346" i="7"/>
  <c r="H346" i="7" s="1"/>
  <c r="D346" i="7" s="1"/>
  <c r="G90" i="7"/>
  <c r="H90" i="7" s="1"/>
  <c r="D90" i="7" s="1"/>
  <c r="G410" i="7"/>
  <c r="H410" i="7" s="1"/>
  <c r="D410" i="7" s="1"/>
  <c r="G122" i="7"/>
  <c r="H122" i="7" s="1"/>
  <c r="D122" i="7" s="1"/>
  <c r="G58" i="7"/>
  <c r="H58" i="7" s="1"/>
  <c r="D58" i="7" s="1"/>
  <c r="G474" i="7"/>
  <c r="H474" i="7" s="1"/>
  <c r="D474" i="7" s="1"/>
  <c r="G186" i="7"/>
  <c r="H186" i="7" s="1"/>
  <c r="D186" i="7" s="1"/>
  <c r="G506" i="7"/>
  <c r="H506" i="7" s="1"/>
  <c r="D506" i="7" s="1"/>
  <c r="G218" i="7"/>
  <c r="H218" i="7" s="1"/>
  <c r="D218" i="7" s="1"/>
  <c r="G538" i="7"/>
  <c r="H538" i="7" s="1"/>
  <c r="D538" i="7" s="1"/>
  <c r="G250" i="7"/>
  <c r="H250" i="7" s="1"/>
  <c r="D250" i="7" s="1"/>
  <c r="G282" i="7"/>
  <c r="H282" i="7" s="1"/>
  <c r="D282" i="7" s="1"/>
  <c r="G570" i="7"/>
  <c r="H570" i="7" s="1"/>
  <c r="D570" i="7" s="1"/>
  <c r="G298" i="7"/>
  <c r="H298" i="7" s="1"/>
  <c r="D298" i="7" s="1"/>
  <c r="G10" i="7"/>
  <c r="H10" i="7" s="1"/>
  <c r="D10" i="7" s="1"/>
  <c r="G74" i="7"/>
  <c r="H74" i="7" s="1"/>
  <c r="D74" i="7" s="1"/>
  <c r="G362" i="7"/>
  <c r="H362" i="7" s="1"/>
  <c r="D362" i="7" s="1"/>
  <c r="G42" i="7"/>
  <c r="H42" i="7" s="1"/>
  <c r="D42" i="7" s="1"/>
  <c r="G330" i="7"/>
  <c r="H330" i="7" s="1"/>
  <c r="D330" i="7" s="1"/>
  <c r="G394" i="7"/>
  <c r="H394" i="7" s="1"/>
  <c r="D394" i="7" s="1"/>
  <c r="G106" i="7"/>
  <c r="H106" i="7" s="1"/>
  <c r="D106" i="7" s="1"/>
  <c r="G458" i="7"/>
  <c r="H458" i="7" s="1"/>
  <c r="D458" i="7" s="1"/>
  <c r="G490" i="7"/>
  <c r="H490" i="7" s="1"/>
  <c r="D490" i="7" s="1"/>
  <c r="G170" i="7"/>
  <c r="H170" i="7" s="1"/>
  <c r="D170" i="7" s="1"/>
  <c r="G522" i="7"/>
  <c r="H522" i="7" s="1"/>
  <c r="D522" i="7" s="1"/>
  <c r="G234" i="7"/>
  <c r="H234" i="7" s="1"/>
  <c r="D234" i="7" s="1"/>
  <c r="G202" i="7"/>
  <c r="H202" i="7" s="1"/>
  <c r="D202" i="7" s="1"/>
  <c r="G266" i="7"/>
  <c r="H266" i="7" s="1"/>
  <c r="D266" i="7" s="1"/>
  <c r="G554" i="7"/>
  <c r="H554" i="7" s="1"/>
  <c r="D554" i="7" s="1"/>
  <c r="G441" i="7"/>
  <c r="H441" i="7" s="1"/>
  <c r="D441" i="7" s="1"/>
  <c r="G153" i="7"/>
  <c r="H153" i="7" s="1"/>
  <c r="D153" i="7" s="1"/>
  <c r="G137" i="7"/>
  <c r="H137" i="7" s="1"/>
  <c r="D137" i="7" s="1"/>
  <c r="G425" i="7"/>
  <c r="H425" i="7" s="1"/>
  <c r="D425" i="7" s="1"/>
  <c r="G25" i="7"/>
  <c r="H25" i="7" s="1"/>
  <c r="D25" i="7" s="1"/>
  <c r="G313" i="7"/>
  <c r="H313" i="7" s="1"/>
  <c r="D313" i="7" s="1"/>
  <c r="G377" i="7"/>
  <c r="H377" i="7" s="1"/>
  <c r="D377" i="7" s="1"/>
  <c r="G345" i="7"/>
  <c r="H345" i="7" s="1"/>
  <c r="D345" i="7" s="1"/>
  <c r="G57" i="7"/>
  <c r="H57" i="7" s="1"/>
  <c r="D57" i="7" s="1"/>
  <c r="G89" i="7"/>
  <c r="H89" i="7" s="1"/>
  <c r="D89" i="7" s="1"/>
  <c r="G409" i="7"/>
  <c r="H409" i="7" s="1"/>
  <c r="D409" i="7" s="1"/>
  <c r="G121" i="7"/>
  <c r="H121" i="7" s="1"/>
  <c r="D121" i="7" s="1"/>
  <c r="G473" i="7"/>
  <c r="H473" i="7" s="1"/>
  <c r="D473" i="7" s="1"/>
  <c r="G185" i="7"/>
  <c r="H185" i="7" s="1"/>
  <c r="D185" i="7" s="1"/>
  <c r="G505" i="7"/>
  <c r="H505" i="7" s="1"/>
  <c r="D505" i="7" s="1"/>
  <c r="G217" i="7"/>
  <c r="H217" i="7" s="1"/>
  <c r="D217" i="7" s="1"/>
  <c r="G537" i="7"/>
  <c r="H537" i="7" s="1"/>
  <c r="D537" i="7" s="1"/>
  <c r="G249" i="7"/>
  <c r="H249" i="7" s="1"/>
  <c r="D249" i="7" s="1"/>
  <c r="G569" i="7"/>
  <c r="H569" i="7" s="1"/>
  <c r="D569" i="7" s="1"/>
  <c r="G281" i="7"/>
  <c r="H281" i="7" s="1"/>
  <c r="D281" i="7" s="1"/>
  <c r="G297" i="7"/>
  <c r="H297" i="7" s="1"/>
  <c r="D297" i="7" s="1"/>
  <c r="G361" i="7"/>
  <c r="H361" i="7" s="1"/>
  <c r="D361" i="7" s="1"/>
  <c r="G73" i="7"/>
  <c r="H73" i="7" s="1"/>
  <c r="D73" i="7" s="1"/>
  <c r="G9" i="7"/>
  <c r="H9" i="7" s="1"/>
  <c r="D9" i="7" s="1"/>
  <c r="G41" i="7"/>
  <c r="H41" i="7" s="1"/>
  <c r="D41" i="7" s="1"/>
  <c r="G329" i="7"/>
  <c r="H329" i="7" s="1"/>
  <c r="D329" i="7" s="1"/>
  <c r="G105" i="7"/>
  <c r="H105" i="7" s="1"/>
  <c r="D105" i="7" s="1"/>
  <c r="G393" i="7"/>
  <c r="H393" i="7" s="1"/>
  <c r="D393" i="7" s="1"/>
  <c r="G457" i="7"/>
  <c r="H457" i="7" s="1"/>
  <c r="D457" i="7" s="1"/>
  <c r="G201" i="7"/>
  <c r="H201" i="7" s="1"/>
  <c r="D201" i="7" s="1"/>
  <c r="G489" i="7"/>
  <c r="H489" i="7" s="1"/>
  <c r="D489" i="7" s="1"/>
  <c r="G169" i="7"/>
  <c r="H169" i="7" s="1"/>
  <c r="D169" i="7" s="1"/>
  <c r="G521" i="7"/>
  <c r="H521" i="7" s="1"/>
  <c r="D521" i="7" s="1"/>
  <c r="G233" i="7"/>
  <c r="H233" i="7" s="1"/>
  <c r="D233" i="7" s="1"/>
  <c r="G265" i="7"/>
  <c r="H265" i="7" s="1"/>
  <c r="D265" i="7" s="1"/>
  <c r="G553" i="7"/>
  <c r="H553" i="7" s="1"/>
  <c r="D553" i="7" s="1"/>
  <c r="G440" i="7"/>
  <c r="H440" i="7" s="1"/>
  <c r="D440" i="7" s="1"/>
  <c r="G152" i="7"/>
  <c r="H152" i="7" s="1"/>
  <c r="D152" i="7" s="1"/>
  <c r="G424" i="7"/>
  <c r="H424" i="7" s="1"/>
  <c r="D424" i="7" s="1"/>
  <c r="G136" i="7"/>
  <c r="H136" i="7" s="1"/>
  <c r="D136" i="7" s="1"/>
  <c r="G312" i="7"/>
  <c r="H312" i="7" s="1"/>
  <c r="D312" i="7" s="1"/>
  <c r="G88" i="7"/>
  <c r="H88" i="7" s="1"/>
  <c r="D88" i="7" s="1"/>
  <c r="G376" i="7"/>
  <c r="H376" i="7" s="1"/>
  <c r="D376" i="7" s="1"/>
  <c r="G24" i="7"/>
  <c r="H24" i="7" s="1"/>
  <c r="D24" i="7" s="1"/>
  <c r="G344" i="7"/>
  <c r="H344" i="7" s="1"/>
  <c r="D344" i="7" s="1"/>
  <c r="G408" i="7"/>
  <c r="H408" i="7" s="1"/>
  <c r="D408" i="7" s="1"/>
  <c r="G56" i="7"/>
  <c r="H56" i="7" s="1"/>
  <c r="D56" i="7" s="1"/>
  <c r="G120" i="7"/>
  <c r="H120" i="7" s="1"/>
  <c r="D120" i="7" s="1"/>
  <c r="G184" i="7"/>
  <c r="H184" i="7" s="1"/>
  <c r="D184" i="7" s="1"/>
  <c r="G472" i="7"/>
  <c r="H472" i="7" s="1"/>
  <c r="D472" i="7" s="1"/>
  <c r="G504" i="7"/>
  <c r="H504" i="7" s="1"/>
  <c r="D504" i="7" s="1"/>
  <c r="G216" i="7"/>
  <c r="H216" i="7" s="1"/>
  <c r="D216" i="7" s="1"/>
  <c r="G536" i="7"/>
  <c r="H536" i="7" s="1"/>
  <c r="D536" i="7" s="1"/>
  <c r="G280" i="7"/>
  <c r="H280" i="7" s="1"/>
  <c r="D280" i="7" s="1"/>
  <c r="G568" i="7"/>
  <c r="H568" i="7" s="1"/>
  <c r="D568" i="7" s="1"/>
  <c r="G248" i="7"/>
  <c r="H248" i="7" s="1"/>
  <c r="D248" i="7" s="1"/>
  <c r="G328" i="7"/>
  <c r="H328" i="7" s="1"/>
  <c r="D328" i="7" s="1"/>
  <c r="G296" i="7"/>
  <c r="H296" i="7" s="1"/>
  <c r="D296" i="7" s="1"/>
  <c r="G360" i="7"/>
  <c r="H360" i="7" s="1"/>
  <c r="D360" i="7" s="1"/>
  <c r="G8" i="7"/>
  <c r="H8" i="7" s="1"/>
  <c r="D8" i="7" s="1"/>
  <c r="G40" i="7"/>
  <c r="H40" i="7" s="1"/>
  <c r="D40" i="7" s="1"/>
  <c r="G72" i="7"/>
  <c r="H72" i="7" s="1"/>
  <c r="D72" i="7" s="1"/>
  <c r="G392" i="7"/>
  <c r="H392" i="7" s="1"/>
  <c r="D392" i="7" s="1"/>
  <c r="G104" i="7"/>
  <c r="H104" i="7" s="1"/>
  <c r="D104" i="7" s="1"/>
  <c r="G200" i="7"/>
  <c r="H200" i="7" s="1"/>
  <c r="D200" i="7" s="1"/>
  <c r="G488" i="7"/>
  <c r="H488" i="7" s="1"/>
  <c r="D488" i="7" s="1"/>
  <c r="G456" i="7"/>
  <c r="H456" i="7" s="1"/>
  <c r="D456" i="7" s="1"/>
  <c r="G168" i="7"/>
  <c r="H168" i="7" s="1"/>
  <c r="D168" i="7" s="1"/>
  <c r="G520" i="7"/>
  <c r="H520" i="7" s="1"/>
  <c r="D520" i="7" s="1"/>
  <c r="G552" i="7"/>
  <c r="H552" i="7" s="1"/>
  <c r="D552" i="7" s="1"/>
  <c r="G264" i="7"/>
  <c r="H264" i="7" s="1"/>
  <c r="D264" i="7" s="1"/>
  <c r="G232" i="7"/>
  <c r="H232" i="7" s="1"/>
  <c r="D232" i="7" s="1"/>
  <c r="G151" i="7"/>
  <c r="H151" i="7" s="1"/>
  <c r="D151" i="7" s="1"/>
  <c r="G439" i="7"/>
  <c r="H439" i="7" s="1"/>
  <c r="D439" i="7" s="1"/>
  <c r="G423" i="7"/>
  <c r="H423" i="7" s="1"/>
  <c r="D423" i="7" s="1"/>
  <c r="G135" i="7"/>
  <c r="H135" i="7" s="1"/>
  <c r="D135" i="7" s="1"/>
  <c r="G311" i="7"/>
  <c r="H311" i="7" s="1"/>
  <c r="D311" i="7" s="1"/>
  <c r="G375" i="7"/>
  <c r="H375" i="7" s="1"/>
  <c r="D375" i="7" s="1"/>
  <c r="G87" i="7"/>
  <c r="H87" i="7" s="1"/>
  <c r="D87" i="7" s="1"/>
  <c r="G23" i="7"/>
  <c r="H23" i="7" s="1"/>
  <c r="D23" i="7" s="1"/>
  <c r="G55" i="7"/>
  <c r="H55" i="7" s="1"/>
  <c r="D55" i="7" s="1"/>
  <c r="G343" i="7"/>
  <c r="H343" i="7" s="1"/>
  <c r="D343" i="7" s="1"/>
  <c r="G407" i="7"/>
  <c r="H407" i="7" s="1"/>
  <c r="D407" i="7" s="1"/>
  <c r="G119" i="7"/>
  <c r="H119" i="7" s="1"/>
  <c r="D119" i="7" s="1"/>
  <c r="G471" i="7"/>
  <c r="H471" i="7" s="1"/>
  <c r="D471" i="7" s="1"/>
  <c r="G183" i="7"/>
  <c r="H183" i="7" s="1"/>
  <c r="D183" i="7" s="1"/>
  <c r="G503" i="7"/>
  <c r="H503" i="7" s="1"/>
  <c r="D503" i="7" s="1"/>
  <c r="G215" i="7"/>
  <c r="H215" i="7" s="1"/>
  <c r="D215" i="7" s="1"/>
  <c r="G535" i="7"/>
  <c r="H535" i="7" s="1"/>
  <c r="D535" i="7" s="1"/>
  <c r="G247" i="7"/>
  <c r="H247" i="7" s="1"/>
  <c r="D247" i="7" s="1"/>
  <c r="G567" i="7"/>
  <c r="H567" i="7" s="1"/>
  <c r="D567" i="7" s="1"/>
  <c r="G279" i="7"/>
  <c r="H279" i="7" s="1"/>
  <c r="D279" i="7" s="1"/>
  <c r="G71" i="7"/>
  <c r="H71" i="7" s="1"/>
  <c r="D71" i="7" s="1"/>
  <c r="G7" i="7"/>
  <c r="H7" i="7" s="1"/>
  <c r="D7" i="7" s="1"/>
  <c r="G359" i="7"/>
  <c r="H359" i="7" s="1"/>
  <c r="D359" i="7" s="1"/>
  <c r="G295" i="7"/>
  <c r="H295" i="7" s="1"/>
  <c r="D295" i="7" s="1"/>
  <c r="G327" i="7"/>
  <c r="H327" i="7" s="1"/>
  <c r="D327" i="7" s="1"/>
  <c r="G39" i="7"/>
  <c r="H39" i="7" s="1"/>
  <c r="D39" i="7" s="1"/>
  <c r="G103" i="7"/>
  <c r="H103" i="7" s="1"/>
  <c r="D103" i="7" s="1"/>
  <c r="G391" i="7"/>
  <c r="H391" i="7" s="1"/>
  <c r="D391" i="7" s="1"/>
  <c r="G487" i="7"/>
  <c r="H487" i="7" s="1"/>
  <c r="D487" i="7" s="1"/>
  <c r="G199" i="7"/>
  <c r="H199" i="7" s="1"/>
  <c r="D199" i="7" s="1"/>
  <c r="G455" i="7"/>
  <c r="H455" i="7" s="1"/>
  <c r="D455" i="7" s="1"/>
  <c r="G167" i="7"/>
  <c r="H167" i="7" s="1"/>
  <c r="D167" i="7" s="1"/>
  <c r="G519" i="7"/>
  <c r="H519" i="7" s="1"/>
  <c r="D519" i="7" s="1"/>
  <c r="G231" i="7"/>
  <c r="H231" i="7" s="1"/>
  <c r="D231" i="7" s="1"/>
  <c r="G551" i="7"/>
  <c r="H551" i="7" s="1"/>
  <c r="D551" i="7" s="1"/>
  <c r="G263" i="7"/>
  <c r="H263" i="7" s="1"/>
  <c r="D263" i="7" s="1"/>
  <c r="F454" i="7" a="1"/>
  <c r="F454" i="7" s="1"/>
  <c r="B454" i="7" a="1"/>
  <c r="B454" i="7" s="1"/>
  <c r="F166" i="7" a="1"/>
  <c r="F166" i="7" s="1"/>
  <c r="B166" i="7" a="1"/>
  <c r="B166" i="7" s="1"/>
  <c r="F150" i="7" a="1"/>
  <c r="F150" i="7" s="1"/>
  <c r="B150" i="7" a="1"/>
  <c r="B150" i="7" s="1"/>
  <c r="F438" i="7" a="1"/>
  <c r="F438" i="7" s="1"/>
  <c r="B438" i="7" a="1"/>
  <c r="B438" i="7" s="1"/>
  <c r="F326" i="7" a="1"/>
  <c r="F326" i="7" s="1"/>
  <c r="B326" i="7" a="1"/>
  <c r="B326" i="7" s="1"/>
  <c r="F38" i="7" a="1"/>
  <c r="F38" i="7" s="1"/>
  <c r="B38" i="7" a="1"/>
  <c r="B38" i="7" s="1"/>
  <c r="F70" i="7" a="1"/>
  <c r="F70" i="7" s="1"/>
  <c r="B70" i="7" a="1"/>
  <c r="B70" i="7" s="1"/>
  <c r="F358" i="7" a="1"/>
  <c r="F358" i="7" s="1"/>
  <c r="B358" i="7" a="1"/>
  <c r="B358" i="7" s="1"/>
  <c r="F390" i="7" a="1"/>
  <c r="F390" i="7" s="1"/>
  <c r="B390" i="7" a="1"/>
  <c r="B390" i="7" s="1"/>
  <c r="F102" i="7" a="1"/>
  <c r="F102" i="7" s="1"/>
  <c r="B102" i="7" a="1"/>
  <c r="B102" i="7" s="1"/>
  <c r="F134" i="7" a="1"/>
  <c r="F134" i="7" s="1"/>
  <c r="B134" i="7" a="1"/>
  <c r="B134" i="7" s="1"/>
  <c r="F422" i="7" a="1"/>
  <c r="F422" i="7" s="1"/>
  <c r="B422" i="7" a="1"/>
  <c r="B422" i="7" s="1"/>
  <c r="F486" i="7" a="1"/>
  <c r="F486" i="7" s="1"/>
  <c r="B486" i="7" a="1"/>
  <c r="B486" i="7" s="1"/>
  <c r="F230" i="7" a="1"/>
  <c r="F230" i="7" s="1"/>
  <c r="B230" i="7" a="1"/>
  <c r="B230" i="7" s="1"/>
  <c r="F518" i="7" a="1"/>
  <c r="F518" i="7" s="1"/>
  <c r="B518" i="7" a="1"/>
  <c r="B518" i="7" s="1"/>
  <c r="F198" i="7" a="1"/>
  <c r="F198" i="7" s="1"/>
  <c r="B198" i="7" a="1"/>
  <c r="B198" i="7" s="1"/>
  <c r="F550" i="7" a="1"/>
  <c r="F550" i="7" s="1"/>
  <c r="B550" i="7" a="1"/>
  <c r="B550" i="7" s="1"/>
  <c r="F262" i="7" a="1"/>
  <c r="F262" i="7" s="1"/>
  <c r="B262" i="7" a="1"/>
  <c r="B262" i="7" s="1"/>
  <c r="F582" i="7" a="1"/>
  <c r="F582" i="7" s="1"/>
  <c r="B582" i="7" a="1"/>
  <c r="B582" i="7" s="1"/>
  <c r="F294" i="7" a="1"/>
  <c r="F294" i="7" s="1"/>
  <c r="B294" i="7" a="1"/>
  <c r="B294" i="7" s="1"/>
  <c r="F310" i="7" a="1"/>
  <c r="F310" i="7" s="1"/>
  <c r="B310" i="7" a="1"/>
  <c r="B310" i="7" s="1"/>
  <c r="F374" i="7" a="1"/>
  <c r="F374" i="7" s="1"/>
  <c r="B374" i="7" a="1"/>
  <c r="B374" i="7" s="1"/>
  <c r="F22" i="7" a="1"/>
  <c r="F22" i="7" s="1"/>
  <c r="B22" i="7" a="1"/>
  <c r="B22" i="7" s="1"/>
  <c r="F342" i="7" a="1"/>
  <c r="F342" i="7" s="1"/>
  <c r="B342" i="7" a="1"/>
  <c r="B342" i="7" s="1"/>
  <c r="F54" i="7" a="1"/>
  <c r="F54" i="7" s="1"/>
  <c r="B54" i="7" a="1"/>
  <c r="B54" i="7" s="1"/>
  <c r="F86" i="7" a="1"/>
  <c r="F86" i="7" s="1"/>
  <c r="B86" i="7" a="1"/>
  <c r="B86" i="7" s="1"/>
  <c r="F118" i="7" a="1"/>
  <c r="F118" i="7" s="1"/>
  <c r="B118" i="7" a="1"/>
  <c r="B118" i="7" s="1"/>
  <c r="F406" i="7" a="1"/>
  <c r="F406" i="7" s="1"/>
  <c r="B406" i="7" a="1"/>
  <c r="B406" i="7" s="1"/>
  <c r="F470" i="7" a="1"/>
  <c r="F470" i="7" s="1"/>
  <c r="B470" i="7" a="1"/>
  <c r="B470" i="7" s="1"/>
  <c r="F502" i="7" a="1"/>
  <c r="F502" i="7" s="1"/>
  <c r="B502" i="7" a="1"/>
  <c r="B502" i="7" s="1"/>
  <c r="F534" i="7" a="1"/>
  <c r="F534" i="7" s="1"/>
  <c r="B534" i="7" a="1"/>
  <c r="B534" i="7" s="1"/>
  <c r="F214" i="7" a="1"/>
  <c r="F214" i="7" s="1"/>
  <c r="B214" i="7" a="1"/>
  <c r="B214" i="7" s="1"/>
  <c r="F182" i="7" a="1"/>
  <c r="F182" i="7" s="1"/>
  <c r="B182" i="7" a="1"/>
  <c r="B182" i="7" s="1"/>
  <c r="F246" i="7" a="1"/>
  <c r="F246" i="7" s="1"/>
  <c r="B246" i="7" a="1"/>
  <c r="B246" i="7" s="1"/>
  <c r="F278" i="7" a="1"/>
  <c r="F278" i="7" s="1"/>
  <c r="B278" i="7" a="1"/>
  <c r="B278" i="7" s="1"/>
  <c r="F566" i="7" a="1"/>
  <c r="F566" i="7" s="1"/>
  <c r="B566" i="7" a="1"/>
  <c r="B566" i="7" s="1"/>
  <c r="F453" i="7" a="1"/>
  <c r="F453" i="7" s="1"/>
  <c r="B453" i="7" a="1"/>
  <c r="B453" i="7" s="1"/>
  <c r="F165" i="7" a="1"/>
  <c r="F165" i="7" s="1"/>
  <c r="B165" i="7" a="1"/>
  <c r="B165" i="7" s="1"/>
  <c r="F149" i="7" a="1"/>
  <c r="F149" i="7" s="1"/>
  <c r="B149" i="7" a="1"/>
  <c r="B149" i="7" s="1"/>
  <c r="F437" i="7" a="1"/>
  <c r="F437" i="7" s="1"/>
  <c r="B437" i="7" a="1"/>
  <c r="B437" i="7" s="1"/>
  <c r="F389" i="7" a="1"/>
  <c r="F389" i="7" s="1"/>
  <c r="B389" i="7" a="1"/>
  <c r="B389" i="7" s="1"/>
  <c r="F325" i="7" a="1"/>
  <c r="F325" i="7" s="1"/>
  <c r="B325" i="7" a="1"/>
  <c r="B325" i="7" s="1"/>
  <c r="F37" i="7" a="1"/>
  <c r="F37" i="7" s="1"/>
  <c r="B37" i="7" a="1"/>
  <c r="B37" i="7" s="1"/>
  <c r="F101" i="7" a="1"/>
  <c r="F101" i="7" s="1"/>
  <c r="B101" i="7" a="1"/>
  <c r="B101" i="7" s="1"/>
  <c r="F357" i="7" a="1"/>
  <c r="F357" i="7" s="1"/>
  <c r="B357" i="7" a="1"/>
  <c r="B357" i="7" s="1"/>
  <c r="F69" i="7" a="1"/>
  <c r="F69" i="7" s="1"/>
  <c r="B69" i="7" a="1"/>
  <c r="B69" i="7" s="1"/>
  <c r="F421" i="7" a="1"/>
  <c r="F421" i="7" s="1"/>
  <c r="B421" i="7" a="1"/>
  <c r="B421" i="7" s="1"/>
  <c r="F133" i="7" a="1"/>
  <c r="F133" i="7" s="1"/>
  <c r="B133" i="7" a="1"/>
  <c r="B133" i="7" s="1"/>
  <c r="F485" i="7" a="1"/>
  <c r="F485" i="7" s="1"/>
  <c r="B485" i="7" a="1"/>
  <c r="B485" i="7" s="1"/>
  <c r="F197" i="7" a="1"/>
  <c r="F197" i="7" s="1"/>
  <c r="B197" i="7" a="1"/>
  <c r="B197" i="7" s="1"/>
  <c r="F229" i="7" a="1"/>
  <c r="F229" i="7" s="1"/>
  <c r="B229" i="7" a="1"/>
  <c r="B229" i="7" s="1"/>
  <c r="F517" i="7" a="1"/>
  <c r="F517" i="7" s="1"/>
  <c r="B517" i="7" a="1"/>
  <c r="B517" i="7" s="1"/>
  <c r="F261" i="7" a="1"/>
  <c r="F261" i="7" s="1"/>
  <c r="B261" i="7" a="1"/>
  <c r="B261" i="7" s="1"/>
  <c r="F549" i="7" a="1"/>
  <c r="F549" i="7" s="1"/>
  <c r="B549" i="7" a="1"/>
  <c r="B549" i="7" s="1"/>
  <c r="F581" i="7" a="1"/>
  <c r="F581" i="7" s="1"/>
  <c r="B581" i="7" a="1"/>
  <c r="B581" i="7" s="1"/>
  <c r="F293" i="7" a="1"/>
  <c r="F293" i="7" s="1"/>
  <c r="B293" i="7" a="1"/>
  <c r="B293" i="7" s="1"/>
  <c r="F373" i="7" a="1"/>
  <c r="F373" i="7" s="1"/>
  <c r="B373" i="7" a="1"/>
  <c r="B373" i="7" s="1"/>
  <c r="F85" i="7" a="1"/>
  <c r="F85" i="7" s="1"/>
  <c r="B85" i="7" a="1"/>
  <c r="B85" i="7" s="1"/>
  <c r="F309" i="7" a="1"/>
  <c r="F309" i="7" s="1"/>
  <c r="B309" i="7" a="1"/>
  <c r="B309" i="7" s="1"/>
  <c r="F21" i="7" a="1"/>
  <c r="F21" i="7" s="1"/>
  <c r="B21" i="7" a="1"/>
  <c r="B21" i="7" s="1"/>
  <c r="F117" i="7" a="1"/>
  <c r="F117" i="7" s="1"/>
  <c r="B117" i="7" a="1"/>
  <c r="B117" i="7" s="1"/>
  <c r="F53" i="7" a="1"/>
  <c r="F53" i="7" s="1"/>
  <c r="B53" i="7" a="1"/>
  <c r="B53" i="7" s="1"/>
  <c r="F341" i="7" a="1"/>
  <c r="F341" i="7" s="1"/>
  <c r="B341" i="7" a="1"/>
  <c r="B341" i="7" s="1"/>
  <c r="F405" i="7" a="1"/>
  <c r="F405" i="7" s="1"/>
  <c r="B405" i="7" a="1"/>
  <c r="B405" i="7" s="1"/>
  <c r="F469" i="7" a="1"/>
  <c r="F469" i="7" s="1"/>
  <c r="B469" i="7" a="1"/>
  <c r="B469" i="7" s="1"/>
  <c r="F181" i="7" a="1"/>
  <c r="F181" i="7" s="1"/>
  <c r="B181" i="7" a="1"/>
  <c r="B181" i="7" s="1"/>
  <c r="F501" i="7" a="1"/>
  <c r="F501" i="7" s="1"/>
  <c r="B501" i="7" a="1"/>
  <c r="B501" i="7" s="1"/>
  <c r="F533" i="7" a="1"/>
  <c r="F533" i="7" s="1"/>
  <c r="B533" i="7" a="1"/>
  <c r="B533" i="7" s="1"/>
  <c r="F213" i="7" a="1"/>
  <c r="F213" i="7" s="1"/>
  <c r="B213" i="7" a="1"/>
  <c r="B213" i="7" s="1"/>
  <c r="F277" i="7" a="1"/>
  <c r="F277" i="7" s="1"/>
  <c r="B277" i="7" a="1"/>
  <c r="B277" i="7" s="1"/>
  <c r="F245" i="7" a="1"/>
  <c r="F245" i="7" s="1"/>
  <c r="B245" i="7" a="1"/>
  <c r="B245" i="7" s="1"/>
  <c r="F565" i="7" a="1"/>
  <c r="F565" i="7" s="1"/>
  <c r="B565" i="7" a="1"/>
  <c r="B565" i="7" s="1"/>
  <c r="F452" i="7" a="1"/>
  <c r="F452" i="7" s="1"/>
  <c r="B452" i="7" a="1"/>
  <c r="B452" i="7" s="1"/>
  <c r="F164" i="7" a="1"/>
  <c r="F164" i="7" s="1"/>
  <c r="B164" i="7" a="1"/>
  <c r="B164" i="7" s="1"/>
  <c r="F148" i="7" a="1"/>
  <c r="F148" i="7" s="1"/>
  <c r="B148" i="7" a="1"/>
  <c r="B148" i="7" s="1"/>
  <c r="F436" i="7" a="1"/>
  <c r="F436" i="7" s="1"/>
  <c r="B436" i="7" a="1"/>
  <c r="B436" i="7" s="1"/>
  <c r="F356" i="7" a="1"/>
  <c r="F356" i="7" s="1"/>
  <c r="B356" i="7" a="1"/>
  <c r="B356" i="7" s="1"/>
  <c r="F36" i="7" a="1"/>
  <c r="F36" i="7" s="1"/>
  <c r="B36" i="7" a="1"/>
  <c r="B36" i="7" s="1"/>
  <c r="F388" i="7" a="1"/>
  <c r="F388" i="7" s="1"/>
  <c r="B388" i="7" a="1"/>
  <c r="B388" i="7" s="1"/>
  <c r="F324" i="7" a="1"/>
  <c r="F324" i="7" s="1"/>
  <c r="B324" i="7" a="1"/>
  <c r="B324" i="7" s="1"/>
  <c r="F100" i="7" a="1"/>
  <c r="F100" i="7" s="1"/>
  <c r="B100" i="7" a="1"/>
  <c r="B100" i="7" s="1"/>
  <c r="F68" i="7" a="1"/>
  <c r="F68" i="7" s="1"/>
  <c r="B68" i="7" a="1"/>
  <c r="B68" i="7" s="1"/>
  <c r="F420" i="7" a="1"/>
  <c r="F420" i="7" s="1"/>
  <c r="B420" i="7" a="1"/>
  <c r="B420" i="7" s="1"/>
  <c r="F132" i="7" a="1"/>
  <c r="F132" i="7" s="1"/>
  <c r="B132" i="7" a="1"/>
  <c r="B132" i="7" s="1"/>
  <c r="F484" i="7" a="1"/>
  <c r="F484" i="7" s="1"/>
  <c r="B484" i="7" a="1"/>
  <c r="B484" i="7" s="1"/>
  <c r="F196" i="7" a="1"/>
  <c r="F196" i="7" s="1"/>
  <c r="B196" i="7" a="1"/>
  <c r="B196" i="7" s="1"/>
  <c r="F516" i="7" a="1"/>
  <c r="F516" i="7" s="1"/>
  <c r="B516" i="7" a="1"/>
  <c r="B516" i="7" s="1"/>
  <c r="F228" i="7" a="1"/>
  <c r="F228" i="7" s="1"/>
  <c r="B228" i="7" a="1"/>
  <c r="B228" i="7" s="1"/>
  <c r="F260" i="7" a="1"/>
  <c r="F260" i="7" s="1"/>
  <c r="B260" i="7" a="1"/>
  <c r="B260" i="7" s="1"/>
  <c r="F548" i="7" a="1"/>
  <c r="F548" i="7" s="1"/>
  <c r="B548" i="7" a="1"/>
  <c r="B548" i="7" s="1"/>
  <c r="F292" i="7" a="1"/>
  <c r="F292" i="7" s="1"/>
  <c r="B292" i="7" a="1"/>
  <c r="B292" i="7" s="1"/>
  <c r="F580" i="7" a="1"/>
  <c r="F580" i="7" s="1"/>
  <c r="B580" i="7" a="1"/>
  <c r="B580" i="7" s="1"/>
  <c r="F308" i="7" a="1"/>
  <c r="F308" i="7" s="1"/>
  <c r="B308" i="7" a="1"/>
  <c r="B308" i="7" s="1"/>
  <c r="F84" i="7" a="1"/>
  <c r="F84" i="7" s="1"/>
  <c r="B84" i="7" a="1"/>
  <c r="B84" i="7" s="1"/>
  <c r="F340" i="7" a="1"/>
  <c r="F340" i="7" s="1"/>
  <c r="B340" i="7" a="1"/>
  <c r="B340" i="7" s="1"/>
  <c r="F116" i="7" a="1"/>
  <c r="F116" i="7" s="1"/>
  <c r="B116" i="7" a="1"/>
  <c r="B116" i="7" s="1"/>
  <c r="F52" i="7" a="1"/>
  <c r="F52" i="7" s="1"/>
  <c r="B52" i="7" a="1"/>
  <c r="B52" i="7" s="1"/>
  <c r="F372" i="7" a="1"/>
  <c r="F372" i="7" s="1"/>
  <c r="B372" i="7" a="1"/>
  <c r="B372" i="7" s="1"/>
  <c r="F20" i="7" a="1"/>
  <c r="F20" i="7" s="1"/>
  <c r="B20" i="7" a="1"/>
  <c r="B20" i="7" s="1"/>
  <c r="F404" i="7" a="1"/>
  <c r="F404" i="7" s="1"/>
  <c r="B404" i="7" a="1"/>
  <c r="B404" i="7" s="1"/>
  <c r="F500" i="7" a="1"/>
  <c r="F500" i="7" s="1"/>
  <c r="B500" i="7" a="1"/>
  <c r="B500" i="7" s="1"/>
  <c r="F468" i="7" a="1"/>
  <c r="F468" i="7" s="1"/>
  <c r="B468" i="7" a="1"/>
  <c r="B468" i="7" s="1"/>
  <c r="F180" i="7" a="1"/>
  <c r="F180" i="7" s="1"/>
  <c r="B180" i="7" a="1"/>
  <c r="B180" i="7" s="1"/>
  <c r="F532" i="7" a="1"/>
  <c r="F532" i="7" s="1"/>
  <c r="B532" i="7" a="1"/>
  <c r="B532" i="7" s="1"/>
  <c r="F212" i="7" a="1"/>
  <c r="F212" i="7" s="1"/>
  <c r="B212" i="7" a="1"/>
  <c r="B212" i="7" s="1"/>
  <c r="F244" i="7" a="1"/>
  <c r="F244" i="7" s="1"/>
  <c r="B244" i="7" a="1"/>
  <c r="B244" i="7" s="1"/>
  <c r="F564" i="7" a="1"/>
  <c r="F564" i="7" s="1"/>
  <c r="B564" i="7" a="1"/>
  <c r="B564" i="7" s="1"/>
  <c r="F276" i="7" a="1"/>
  <c r="F276" i="7" s="1"/>
  <c r="B276" i="7" a="1"/>
  <c r="B276" i="7" s="1"/>
  <c r="F451" i="7" a="1"/>
  <c r="F451" i="7" s="1"/>
  <c r="B451" i="7" a="1"/>
  <c r="B451" i="7" s="1"/>
  <c r="F163" i="7" a="1"/>
  <c r="F163" i="7" s="1"/>
  <c r="B163" i="7" a="1"/>
  <c r="B163" i="7" s="1"/>
  <c r="F435" i="7" a="1"/>
  <c r="F435" i="7" s="1"/>
  <c r="B435" i="7" a="1"/>
  <c r="B435" i="7" s="1"/>
  <c r="F147" i="7" a="1"/>
  <c r="F147" i="7" s="1"/>
  <c r="B147" i="7" a="1"/>
  <c r="B147" i="7" s="1"/>
  <c r="F323" i="7" a="1"/>
  <c r="F323" i="7" s="1"/>
  <c r="B323" i="7" a="1"/>
  <c r="B323" i="7" s="1"/>
  <c r="F35" i="7" a="1"/>
  <c r="F35" i="7" s="1"/>
  <c r="B35" i="7" a="1"/>
  <c r="B35" i="7" s="1"/>
  <c r="F387" i="7" a="1"/>
  <c r="F387" i="7" s="1"/>
  <c r="B387" i="7" a="1"/>
  <c r="B387" i="7" s="1"/>
  <c r="F355" i="7" a="1"/>
  <c r="F355" i="7" s="1"/>
  <c r="B355" i="7" a="1"/>
  <c r="B355" i="7" s="1"/>
  <c r="F99" i="7" a="1"/>
  <c r="F99" i="7" s="1"/>
  <c r="B99" i="7" a="1"/>
  <c r="B99" i="7" s="1"/>
  <c r="F67" i="7" a="1"/>
  <c r="F67" i="7" s="1"/>
  <c r="B67" i="7" a="1"/>
  <c r="B67" i="7" s="1"/>
  <c r="F419" i="7" a="1"/>
  <c r="F419" i="7" s="1"/>
  <c r="B419" i="7" a="1"/>
  <c r="B419" i="7" s="1"/>
  <c r="F131" i="7" a="1"/>
  <c r="F131" i="7" s="1"/>
  <c r="B131" i="7" a="1"/>
  <c r="B131" i="7" s="1"/>
  <c r="F483" i="7" a="1"/>
  <c r="F483" i="7" s="1"/>
  <c r="B483" i="7" a="1"/>
  <c r="B483" i="7" s="1"/>
  <c r="F195" i="7" a="1"/>
  <c r="F195" i="7" s="1"/>
  <c r="B195" i="7" a="1"/>
  <c r="B195" i="7" s="1"/>
  <c r="F515" i="7" a="1"/>
  <c r="F515" i="7" s="1"/>
  <c r="B515" i="7" a="1"/>
  <c r="B515" i="7" s="1"/>
  <c r="F227" i="7" a="1"/>
  <c r="F227" i="7" s="1"/>
  <c r="B227" i="7" a="1"/>
  <c r="B227" i="7" s="1"/>
  <c r="F547" i="7" a="1"/>
  <c r="F547" i="7" s="1"/>
  <c r="B547" i="7" a="1"/>
  <c r="B547" i="7" s="1"/>
  <c r="F579" i="7" a="1"/>
  <c r="F579" i="7" s="1"/>
  <c r="B579" i="7" a="1"/>
  <c r="B579" i="7" s="1"/>
  <c r="F259" i="7" a="1"/>
  <c r="F259" i="7" s="1"/>
  <c r="B259" i="7" a="1"/>
  <c r="B259" i="7" s="1"/>
  <c r="F291" i="7" a="1"/>
  <c r="F291" i="7" s="1"/>
  <c r="B291" i="7" a="1"/>
  <c r="B291" i="7" s="1"/>
  <c r="F19" i="7" a="1"/>
  <c r="F19" i="7" s="1"/>
  <c r="B19" i="7" a="1"/>
  <c r="B19" i="7" s="1"/>
  <c r="F339" i="7" a="1"/>
  <c r="F339" i="7" s="1"/>
  <c r="B339" i="7" a="1"/>
  <c r="B339" i="7" s="1"/>
  <c r="F307" i="7" a="1"/>
  <c r="F307" i="7" s="1"/>
  <c r="B307" i="7" a="1"/>
  <c r="B307" i="7" s="1"/>
  <c r="F371" i="7" a="1"/>
  <c r="F371" i="7" s="1"/>
  <c r="B371" i="7" a="1"/>
  <c r="B371" i="7" s="1"/>
  <c r="F51" i="7" a="1"/>
  <c r="F51" i="7" s="1"/>
  <c r="B51" i="7" a="1"/>
  <c r="B51" i="7" s="1"/>
  <c r="F83" i="7" a="1"/>
  <c r="F83" i="7" s="1"/>
  <c r="B83" i="7" a="1"/>
  <c r="B83" i="7" s="1"/>
  <c r="F115" i="7" a="1"/>
  <c r="F115" i="7" s="1"/>
  <c r="B115" i="7" a="1"/>
  <c r="B115" i="7" s="1"/>
  <c r="F403" i="7" a="1"/>
  <c r="F403" i="7" s="1"/>
  <c r="B403" i="7" a="1"/>
  <c r="B403" i="7" s="1"/>
  <c r="F467" i="7" a="1"/>
  <c r="F467" i="7" s="1"/>
  <c r="B467" i="7" a="1"/>
  <c r="B467" i="7" s="1"/>
  <c r="F499" i="7" a="1"/>
  <c r="F499" i="7" s="1"/>
  <c r="B499" i="7" a="1"/>
  <c r="B499" i="7" s="1"/>
  <c r="F211" i="7" a="1"/>
  <c r="F211" i="7" s="1"/>
  <c r="B211" i="7" a="1"/>
  <c r="B211" i="7" s="1"/>
  <c r="F563" i="7" a="1"/>
  <c r="F563" i="7" s="1"/>
  <c r="B563" i="7" a="1"/>
  <c r="B563" i="7" s="1"/>
  <c r="F179" i="7" a="1"/>
  <c r="F179" i="7" s="1"/>
  <c r="B179" i="7" a="1"/>
  <c r="B179" i="7" s="1"/>
  <c r="F243" i="7" a="1"/>
  <c r="F243" i="7" s="1"/>
  <c r="B243" i="7" a="1"/>
  <c r="B243" i="7" s="1"/>
  <c r="F531" i="7" a="1"/>
  <c r="F531" i="7" s="1"/>
  <c r="B531" i="7" a="1"/>
  <c r="B531" i="7" s="1"/>
  <c r="F275" i="7" a="1"/>
  <c r="F275" i="7" s="1"/>
  <c r="B275" i="7" a="1"/>
  <c r="B275" i="7" s="1"/>
  <c r="F450" i="7" a="1"/>
  <c r="F450" i="7" s="1"/>
  <c r="B450" i="7" a="1"/>
  <c r="B450" i="7" s="1"/>
  <c r="F162" i="7" a="1"/>
  <c r="F162" i="7" s="1"/>
  <c r="B162" i="7" a="1"/>
  <c r="B162" i="7" s="1"/>
  <c r="F146" i="7" a="1"/>
  <c r="F146" i="7" s="1"/>
  <c r="B146" i="7" a="1"/>
  <c r="B146" i="7" s="1"/>
  <c r="F434" i="7" a="1"/>
  <c r="F434" i="7" s="1"/>
  <c r="B434" i="7" a="1"/>
  <c r="B434" i="7" s="1"/>
  <c r="F34" i="7" a="1"/>
  <c r="F34" i="7" s="1"/>
  <c r="B34" i="7" a="1"/>
  <c r="B34" i="7" s="1"/>
  <c r="F322" i="7" a="1"/>
  <c r="F322" i="7" s="1"/>
  <c r="B322" i="7" a="1"/>
  <c r="B322" i="7" s="1"/>
  <c r="F386" i="7" a="1"/>
  <c r="F386" i="7" s="1"/>
  <c r="B386" i="7" a="1"/>
  <c r="B386" i="7" s="1"/>
  <c r="F98" i="7" a="1"/>
  <c r="F98" i="7" s="1"/>
  <c r="B98" i="7" a="1"/>
  <c r="B98" i="7" s="1"/>
  <c r="F66" i="7" a="1"/>
  <c r="F66" i="7" s="1"/>
  <c r="B66" i="7" a="1"/>
  <c r="B66" i="7" s="1"/>
  <c r="F354" i="7" a="1"/>
  <c r="F354" i="7" s="1"/>
  <c r="B354" i="7" a="1"/>
  <c r="B354" i="7" s="1"/>
  <c r="F418" i="7" a="1"/>
  <c r="F418" i="7" s="1"/>
  <c r="B418" i="7" a="1"/>
  <c r="B418" i="7" s="1"/>
  <c r="F130" i="7" a="1"/>
  <c r="F130" i="7" s="1"/>
  <c r="B130" i="7" a="1"/>
  <c r="B130" i="7" s="1"/>
  <c r="F226" i="7" a="1"/>
  <c r="F226" i="7" s="1"/>
  <c r="B226" i="7" a="1"/>
  <c r="B226" i="7" s="1"/>
  <c r="F194" i="7" a="1"/>
  <c r="F194" i="7" s="1"/>
  <c r="B194" i="7" a="1"/>
  <c r="B194" i="7" s="1"/>
  <c r="F482" i="7" a="1"/>
  <c r="F482" i="7" s="1"/>
  <c r="B482" i="7" a="1"/>
  <c r="B482" i="7" s="1"/>
  <c r="F514" i="7" a="1"/>
  <c r="F514" i="7" s="1"/>
  <c r="B514" i="7" a="1"/>
  <c r="B514" i="7" s="1"/>
  <c r="F258" i="7" a="1"/>
  <c r="F258" i="7" s="1"/>
  <c r="B258" i="7" a="1"/>
  <c r="B258" i="7" s="1"/>
  <c r="F546" i="7" a="1"/>
  <c r="F546" i="7" s="1"/>
  <c r="B546" i="7" a="1"/>
  <c r="B546" i="7" s="1"/>
  <c r="F578" i="7" a="1"/>
  <c r="F578" i="7" s="1"/>
  <c r="B578" i="7" a="1"/>
  <c r="B578" i="7" s="1"/>
  <c r="F290" i="7" a="1"/>
  <c r="F290" i="7" s="1"/>
  <c r="B290" i="7" a="1"/>
  <c r="B290" i="7" s="1"/>
  <c r="F306" i="7" a="1"/>
  <c r="F306" i="7" s="1"/>
  <c r="B306" i="7" a="1"/>
  <c r="B306" i="7" s="1"/>
  <c r="F18" i="7" a="1"/>
  <c r="F18" i="7" s="1"/>
  <c r="B18" i="7" a="1"/>
  <c r="B18" i="7" s="1"/>
  <c r="F370" i="7" a="1"/>
  <c r="F370" i="7" s="1"/>
  <c r="B370" i="7" a="1"/>
  <c r="B370" i="7" s="1"/>
  <c r="F82" i="7" a="1"/>
  <c r="F82" i="7" s="1"/>
  <c r="B82" i="7" a="1"/>
  <c r="B82" i="7" s="1"/>
  <c r="F338" i="7" a="1"/>
  <c r="F338" i="7" s="1"/>
  <c r="B338" i="7" a="1"/>
  <c r="B338" i="7" s="1"/>
  <c r="F50" i="7" a="1"/>
  <c r="F50" i="7" s="1"/>
  <c r="B50" i="7" a="1"/>
  <c r="B50" i="7" s="1"/>
  <c r="F402" i="7" a="1"/>
  <c r="F402" i="7" s="1"/>
  <c r="B402" i="7" a="1"/>
  <c r="B402" i="7" s="1"/>
  <c r="F114" i="7" a="1"/>
  <c r="F114" i="7" s="1"/>
  <c r="B114" i="7" a="1"/>
  <c r="B114" i="7" s="1"/>
  <c r="F466" i="7" a="1"/>
  <c r="F466" i="7" s="1"/>
  <c r="B466" i="7" a="1"/>
  <c r="B466" i="7" s="1"/>
  <c r="F178" i="7" a="1"/>
  <c r="F178" i="7" s="1"/>
  <c r="B178" i="7" a="1"/>
  <c r="B178" i="7" s="1"/>
  <c r="F210" i="7" a="1"/>
  <c r="F210" i="7" s="1"/>
  <c r="B210" i="7" a="1"/>
  <c r="B210" i="7" s="1"/>
  <c r="F498" i="7" a="1"/>
  <c r="F498" i="7" s="1"/>
  <c r="B498" i="7" a="1"/>
  <c r="B498" i="7" s="1"/>
  <c r="F530" i="7" a="1"/>
  <c r="F530" i="7" s="1"/>
  <c r="B530" i="7" a="1"/>
  <c r="B530" i="7" s="1"/>
  <c r="F274" i="7" a="1"/>
  <c r="F274" i="7" s="1"/>
  <c r="B274" i="7" a="1"/>
  <c r="B274" i="7" s="1"/>
  <c r="F242" i="7" a="1"/>
  <c r="F242" i="7" s="1"/>
  <c r="B242" i="7" a="1"/>
  <c r="B242" i="7" s="1"/>
  <c r="F562" i="7" a="1"/>
  <c r="F562" i="7" s="1"/>
  <c r="B562" i="7" a="1"/>
  <c r="B562" i="7" s="1"/>
  <c r="F449" i="7" a="1"/>
  <c r="F449" i="7" s="1"/>
  <c r="B449" i="7" a="1"/>
  <c r="B449" i="7" s="1"/>
  <c r="F161" i="7" a="1"/>
  <c r="F161" i="7" s="1"/>
  <c r="B161" i="7" a="1"/>
  <c r="B161" i="7" s="1"/>
  <c r="F433" i="7" a="1"/>
  <c r="F433" i="7" s="1"/>
  <c r="B433" i="7" a="1"/>
  <c r="B433" i="7" s="1"/>
  <c r="F145" i="7" a="1"/>
  <c r="F145" i="7" s="1"/>
  <c r="B145" i="7" a="1"/>
  <c r="B145" i="7" s="1"/>
  <c r="F321" i="7" a="1"/>
  <c r="F321" i="7" s="1"/>
  <c r="B321" i="7" a="1"/>
  <c r="B321" i="7" s="1"/>
  <c r="F33" i="7" a="1"/>
  <c r="F33" i="7" s="1"/>
  <c r="B33" i="7" a="1"/>
  <c r="B33" i="7" s="1"/>
  <c r="F97" i="7" a="1"/>
  <c r="F97" i="7" s="1"/>
  <c r="B97" i="7" a="1"/>
  <c r="B97" i="7" s="1"/>
  <c r="F353" i="7" a="1"/>
  <c r="F353" i="7" s="1"/>
  <c r="B353" i="7" a="1"/>
  <c r="B353" i="7" s="1"/>
  <c r="F385" i="7" a="1"/>
  <c r="F385" i="7" s="1"/>
  <c r="B385" i="7" a="1"/>
  <c r="B385" i="7" s="1"/>
  <c r="F65" i="7" a="1"/>
  <c r="F65" i="7" s="1"/>
  <c r="B65" i="7" a="1"/>
  <c r="B65" i="7" s="1"/>
  <c r="F129" i="7" a="1"/>
  <c r="F129" i="7" s="1"/>
  <c r="B129" i="7" a="1"/>
  <c r="B129" i="7" s="1"/>
  <c r="F417" i="7" a="1"/>
  <c r="F417" i="7" s="1"/>
  <c r="B417" i="7" a="1"/>
  <c r="B417" i="7" s="1"/>
  <c r="F513" i="7" a="1"/>
  <c r="F513" i="7" s="1"/>
  <c r="B513" i="7" a="1"/>
  <c r="B513" i="7" s="1"/>
  <c r="F225" i="7" a="1"/>
  <c r="F225" i="7" s="1"/>
  <c r="B225" i="7" a="1"/>
  <c r="B225" i="7" s="1"/>
  <c r="F481" i="7" a="1"/>
  <c r="F481" i="7" s="1"/>
  <c r="B481" i="7" a="1"/>
  <c r="B481" i="7" s="1"/>
  <c r="F193" i="7" a="1"/>
  <c r="F193" i="7" s="1"/>
  <c r="B193" i="7" a="1"/>
  <c r="B193" i="7" s="1"/>
  <c r="F257" i="7" a="1"/>
  <c r="F257" i="7" s="1"/>
  <c r="B257" i="7" a="1"/>
  <c r="B257" i="7" s="1"/>
  <c r="F545" i="7" a="1"/>
  <c r="F545" i="7" s="1"/>
  <c r="B545" i="7" a="1"/>
  <c r="B545" i="7" s="1"/>
  <c r="F289" i="7" a="1"/>
  <c r="F289" i="7" s="1"/>
  <c r="B289" i="7" a="1"/>
  <c r="B289" i="7" s="1"/>
  <c r="F577" i="7" a="1"/>
  <c r="F577" i="7" s="1"/>
  <c r="B577" i="7" a="1"/>
  <c r="B577" i="7" s="1"/>
  <c r="F17" i="7" a="1"/>
  <c r="F17" i="7" s="1"/>
  <c r="B17" i="7" a="1"/>
  <c r="B17" i="7" s="1"/>
  <c r="F369" i="7" a="1"/>
  <c r="F369" i="7" s="1"/>
  <c r="B369" i="7" a="1"/>
  <c r="B369" i="7" s="1"/>
  <c r="F305" i="7" a="1"/>
  <c r="F305" i="7" s="1"/>
  <c r="B305" i="7" a="1"/>
  <c r="B305" i="7" s="1"/>
  <c r="F81" i="7" a="1"/>
  <c r="F81" i="7" s="1"/>
  <c r="B81" i="7" a="1"/>
  <c r="B81" i="7" s="1"/>
  <c r="F337" i="7" a="1"/>
  <c r="F337" i="7" s="1"/>
  <c r="B337" i="7" a="1"/>
  <c r="B337" i="7" s="1"/>
  <c r="F49" i="7" a="1"/>
  <c r="F49" i="7" s="1"/>
  <c r="B49" i="7" a="1"/>
  <c r="B49" i="7" s="1"/>
  <c r="F401" i="7" a="1"/>
  <c r="F401" i="7" s="1"/>
  <c r="B401" i="7" a="1"/>
  <c r="B401" i="7" s="1"/>
  <c r="F113" i="7" a="1"/>
  <c r="F113" i="7" s="1"/>
  <c r="B113" i="7" a="1"/>
  <c r="B113" i="7" s="1"/>
  <c r="F465" i="7" a="1"/>
  <c r="F465" i="7" s="1"/>
  <c r="B465" i="7" a="1"/>
  <c r="B465" i="7" s="1"/>
  <c r="F177" i="7" a="1"/>
  <c r="F177" i="7" s="1"/>
  <c r="B177" i="7" a="1"/>
  <c r="B177" i="7" s="1"/>
  <c r="F497" i="7" a="1"/>
  <c r="F497" i="7" s="1"/>
  <c r="B497" i="7" a="1"/>
  <c r="B497" i="7" s="1"/>
  <c r="F529" i="7" a="1"/>
  <c r="F529" i="7" s="1"/>
  <c r="B529" i="7" a="1"/>
  <c r="B529" i="7" s="1"/>
  <c r="F209" i="7" a="1"/>
  <c r="F209" i="7" s="1"/>
  <c r="B209" i="7" a="1"/>
  <c r="B209" i="7" s="1"/>
  <c r="F241" i="7" a="1"/>
  <c r="F241" i="7" s="1"/>
  <c r="B241" i="7" a="1"/>
  <c r="B241" i="7" s="1"/>
  <c r="F273" i="7" a="1"/>
  <c r="F273" i="7" s="1"/>
  <c r="B273" i="7" a="1"/>
  <c r="B273" i="7" s="1"/>
  <c r="F561" i="7" a="1"/>
  <c r="F561" i="7" s="1"/>
  <c r="B561" i="7" a="1"/>
  <c r="B561" i="7" s="1"/>
  <c r="F448" i="7" a="1"/>
  <c r="F448" i="7" s="1"/>
  <c r="B448" i="7" a="1"/>
  <c r="B448" i="7" s="1"/>
  <c r="F160" i="7" a="1"/>
  <c r="F160" i="7" s="1"/>
  <c r="B160" i="7" a="1"/>
  <c r="B160" i="7" s="1"/>
  <c r="F144" i="7" a="1"/>
  <c r="F144" i="7" s="1"/>
  <c r="B144" i="7" a="1"/>
  <c r="B144" i="7" s="1"/>
  <c r="F432" i="7" a="1"/>
  <c r="F432" i="7" s="1"/>
  <c r="B432" i="7" a="1"/>
  <c r="B432" i="7" s="1"/>
  <c r="F320" i="7" a="1"/>
  <c r="F320" i="7" s="1"/>
  <c r="B320" i="7" a="1"/>
  <c r="B320" i="7" s="1"/>
  <c r="F64" i="7" a="1"/>
  <c r="F64" i="7" s="1"/>
  <c r="B64" i="7" a="1"/>
  <c r="B64" i="7" s="1"/>
  <c r="F32" i="7" a="1"/>
  <c r="F32" i="7" s="1"/>
  <c r="B32" i="7" a="1"/>
  <c r="B32" i="7" s="1"/>
  <c r="F384" i="7" a="1"/>
  <c r="F384" i="7" s="1"/>
  <c r="B384" i="7" a="1"/>
  <c r="B384" i="7" s="1"/>
  <c r="F96" i="7" a="1"/>
  <c r="F96" i="7" s="1"/>
  <c r="B96" i="7" a="1"/>
  <c r="B96" i="7" s="1"/>
  <c r="F352" i="7" a="1"/>
  <c r="F352" i="7" s="1"/>
  <c r="B352" i="7" a="1"/>
  <c r="B352" i="7" s="1"/>
  <c r="F416" i="7" a="1"/>
  <c r="F416" i="7" s="1"/>
  <c r="B416" i="7" a="1"/>
  <c r="B416" i="7" s="1"/>
  <c r="F128" i="7" a="1"/>
  <c r="F128" i="7" s="1"/>
  <c r="B128" i="7" a="1"/>
  <c r="B128" i="7" s="1"/>
  <c r="F480" i="7" a="1"/>
  <c r="F480" i="7" s="1"/>
  <c r="B480" i="7" a="1"/>
  <c r="B480" i="7" s="1"/>
  <c r="F192" i="7" a="1"/>
  <c r="F192" i="7" s="1"/>
  <c r="B192" i="7" a="1"/>
  <c r="B192" i="7" s="1"/>
  <c r="F512" i="7" a="1"/>
  <c r="F512" i="7" s="1"/>
  <c r="B512" i="7" a="1"/>
  <c r="B512" i="7" s="1"/>
  <c r="F224" i="7" a="1"/>
  <c r="F224" i="7" s="1"/>
  <c r="B224" i="7" a="1"/>
  <c r="B224" i="7" s="1"/>
  <c r="F288" i="7" a="1"/>
  <c r="F288" i="7" s="1"/>
  <c r="B288" i="7" a="1"/>
  <c r="B288" i="7" s="1"/>
  <c r="F544" i="7" a="1"/>
  <c r="F544" i="7" s="1"/>
  <c r="B544" i="7" a="1"/>
  <c r="B544" i="7" s="1"/>
  <c r="F256" i="7" a="1"/>
  <c r="F256" i="7" s="1"/>
  <c r="B256" i="7" a="1"/>
  <c r="B256" i="7" s="1"/>
  <c r="F576" i="7" a="1"/>
  <c r="F576" i="7" s="1"/>
  <c r="B576" i="7" a="1"/>
  <c r="B576" i="7" s="1"/>
  <c r="F304" i="7" a="1"/>
  <c r="F304" i="7" s="1"/>
  <c r="B304" i="7" a="1"/>
  <c r="B304" i="7" s="1"/>
  <c r="F80" i="7" a="1"/>
  <c r="F80" i="7" s="1"/>
  <c r="B80" i="7" a="1"/>
  <c r="B80" i="7" s="1"/>
  <c r="F16" i="7" a="1"/>
  <c r="F16" i="7" s="1"/>
  <c r="B16" i="7" a="1"/>
  <c r="B16" i="7" s="1"/>
  <c r="F368" i="7" a="1"/>
  <c r="F368" i="7" s="1"/>
  <c r="B368" i="7" a="1"/>
  <c r="B368" i="7" s="1"/>
  <c r="F336" i="7" a="1"/>
  <c r="F336" i="7" s="1"/>
  <c r="B336" i="7" a="1"/>
  <c r="B336" i="7" s="1"/>
  <c r="F48" i="7" a="1"/>
  <c r="F48" i="7" s="1"/>
  <c r="B48" i="7" a="1"/>
  <c r="B48" i="7" s="1"/>
  <c r="F112" i="7" a="1"/>
  <c r="F112" i="7" s="1"/>
  <c r="B112" i="7" a="1"/>
  <c r="B112" i="7" s="1"/>
  <c r="F400" i="7" a="1"/>
  <c r="F400" i="7" s="1"/>
  <c r="B400" i="7" a="1"/>
  <c r="B400" i="7" s="1"/>
  <c r="F464" i="7" a="1"/>
  <c r="F464" i="7" s="1"/>
  <c r="B464" i="7" a="1"/>
  <c r="B464" i="7" s="1"/>
  <c r="F176" i="7" a="1"/>
  <c r="F176" i="7" s="1"/>
  <c r="B176" i="7" a="1"/>
  <c r="B176" i="7" s="1"/>
  <c r="F528" i="7" a="1"/>
  <c r="F528" i="7" s="1"/>
  <c r="B528" i="7" a="1"/>
  <c r="B528" i="7" s="1"/>
  <c r="F496" i="7" a="1"/>
  <c r="F496" i="7" s="1"/>
  <c r="B496" i="7" a="1"/>
  <c r="B496" i="7" s="1"/>
  <c r="F240" i="7" a="1"/>
  <c r="F240" i="7" s="1"/>
  <c r="B240" i="7" a="1"/>
  <c r="B240" i="7" s="1"/>
  <c r="F208" i="7" a="1"/>
  <c r="F208" i="7" s="1"/>
  <c r="B208" i="7" a="1"/>
  <c r="B208" i="7" s="1"/>
  <c r="F272" i="7" a="1"/>
  <c r="F272" i="7" s="1"/>
  <c r="B272" i="7" a="1"/>
  <c r="B272" i="7" s="1"/>
  <c r="F560" i="7" a="1"/>
  <c r="F560" i="7" s="1"/>
  <c r="B560" i="7" a="1"/>
  <c r="B560" i="7" s="1"/>
  <c r="F447" i="7" a="1"/>
  <c r="F447" i="7" s="1"/>
  <c r="B447" i="7" a="1"/>
  <c r="B447" i="7" s="1"/>
  <c r="F159" i="7" a="1"/>
  <c r="F159" i="7" s="1"/>
  <c r="B159" i="7" a="1"/>
  <c r="B159" i="7" s="1"/>
  <c r="F431" i="7" a="1"/>
  <c r="F431" i="7" s="1"/>
  <c r="B431" i="7" a="1"/>
  <c r="B431" i="7" s="1"/>
  <c r="F143" i="7" a="1"/>
  <c r="F143" i="7" s="1"/>
  <c r="B143" i="7" a="1"/>
  <c r="B143" i="7" s="1"/>
  <c r="F319" i="7" a="1"/>
  <c r="F319" i="7" s="1"/>
  <c r="B319" i="7" a="1"/>
  <c r="B319" i="7" s="1"/>
  <c r="F31" i="7" a="1"/>
  <c r="F31" i="7" s="1"/>
  <c r="B31" i="7" a="1"/>
  <c r="B31" i="7" s="1"/>
  <c r="F383" i="7" a="1"/>
  <c r="F383" i="7" s="1"/>
  <c r="B383" i="7" a="1"/>
  <c r="B383" i="7" s="1"/>
  <c r="F95" i="7" a="1"/>
  <c r="F95" i="7" s="1"/>
  <c r="B95" i="7" a="1"/>
  <c r="B95" i="7" s="1"/>
  <c r="F63" i="7" a="1"/>
  <c r="F63" i="7" s="1"/>
  <c r="B63" i="7" a="1"/>
  <c r="B63" i="7" s="1"/>
  <c r="F351" i="7" a="1"/>
  <c r="F351" i="7" s="1"/>
  <c r="B351" i="7" a="1"/>
  <c r="B351" i="7" s="1"/>
  <c r="F127" i="7" a="1"/>
  <c r="F127" i="7" s="1"/>
  <c r="B127" i="7" a="1"/>
  <c r="B127" i="7" s="1"/>
  <c r="F415" i="7" a="1"/>
  <c r="F415" i="7" s="1"/>
  <c r="B415" i="7" a="1"/>
  <c r="B415" i="7" s="1"/>
  <c r="F479" i="7" a="1"/>
  <c r="F479" i="7" s="1"/>
  <c r="B479" i="7" a="1"/>
  <c r="B479" i="7" s="1"/>
  <c r="F191" i="7" a="1"/>
  <c r="F191" i="7" s="1"/>
  <c r="B191" i="7" a="1"/>
  <c r="B191" i="7" s="1"/>
  <c r="F511" i="7" a="1"/>
  <c r="F511" i="7" s="1"/>
  <c r="B511" i="7" a="1"/>
  <c r="B511" i="7" s="1"/>
  <c r="F223" i="7" a="1"/>
  <c r="F223" i="7" s="1"/>
  <c r="B223" i="7" a="1"/>
  <c r="B223" i="7" s="1"/>
  <c r="F543" i="7" a="1"/>
  <c r="F543" i="7" s="1"/>
  <c r="B543" i="7" a="1"/>
  <c r="B543" i="7" s="1"/>
  <c r="F255" i="7" a="1"/>
  <c r="F255" i="7" s="1"/>
  <c r="B255" i="7" a="1"/>
  <c r="B255" i="7" s="1"/>
  <c r="F575" i="7" a="1"/>
  <c r="F575" i="7" s="1"/>
  <c r="B575" i="7" a="1"/>
  <c r="B575" i="7" s="1"/>
  <c r="F287" i="7" a="1"/>
  <c r="F287" i="7" s="1"/>
  <c r="B287" i="7" a="1"/>
  <c r="B287" i="7" s="1"/>
  <c r="F303" i="7" a="1"/>
  <c r="F303" i="7" s="1"/>
  <c r="B303" i="7" a="1"/>
  <c r="B303" i="7" s="1"/>
  <c r="F15" i="7" a="1"/>
  <c r="F15" i="7" s="1"/>
  <c r="B15" i="7" a="1"/>
  <c r="B15" i="7" s="1"/>
  <c r="F367" i="7" a="1"/>
  <c r="F367" i="7" s="1"/>
  <c r="B367" i="7" a="1"/>
  <c r="B367" i="7" s="1"/>
  <c r="F335" i="7" a="1"/>
  <c r="F335" i="7" s="1"/>
  <c r="B335" i="7" a="1"/>
  <c r="B335" i="7" s="1"/>
  <c r="F47" i="7" a="1"/>
  <c r="F47" i="7" s="1"/>
  <c r="B47" i="7" a="1"/>
  <c r="B47" i="7" s="1"/>
  <c r="F79" i="7" a="1"/>
  <c r="F79" i="7" s="1"/>
  <c r="B79" i="7" a="1"/>
  <c r="B79" i="7" s="1"/>
  <c r="F399" i="7" a="1"/>
  <c r="F399" i="7" s="1"/>
  <c r="B399" i="7" a="1"/>
  <c r="B399" i="7" s="1"/>
  <c r="F463" i="7" a="1"/>
  <c r="F463" i="7" s="1"/>
  <c r="B463" i="7" a="1"/>
  <c r="B463" i="7" s="1"/>
  <c r="F175" i="7" a="1"/>
  <c r="F175" i="7" s="1"/>
  <c r="B175" i="7" a="1"/>
  <c r="B175" i="7" s="1"/>
  <c r="F111" i="7" a="1"/>
  <c r="F111" i="7" s="1"/>
  <c r="B111" i="7" a="1"/>
  <c r="B111" i="7" s="1"/>
  <c r="F495" i="7" a="1"/>
  <c r="F495" i="7" s="1"/>
  <c r="B495" i="7" a="1"/>
  <c r="B495" i="7" s="1"/>
  <c r="F527" i="7" a="1"/>
  <c r="F527" i="7" s="1"/>
  <c r="B527" i="7" a="1"/>
  <c r="B527" i="7" s="1"/>
  <c r="F239" i="7" a="1"/>
  <c r="F239" i="7" s="1"/>
  <c r="B239" i="7" a="1"/>
  <c r="B239" i="7" s="1"/>
  <c r="F207" i="7" a="1"/>
  <c r="F207" i="7" s="1"/>
  <c r="B207" i="7" a="1"/>
  <c r="B207" i="7" s="1"/>
  <c r="F559" i="7" a="1"/>
  <c r="F559" i="7" s="1"/>
  <c r="B559" i="7" a="1"/>
  <c r="B559" i="7" s="1"/>
  <c r="F271" i="7" a="1"/>
  <c r="F271" i="7" s="1"/>
  <c r="B271" i="7" a="1"/>
  <c r="B271" i="7" s="1"/>
  <c r="F446" i="7" a="1"/>
  <c r="F446" i="7" s="1"/>
  <c r="B446" i="7" a="1"/>
  <c r="B446" i="7" s="1"/>
  <c r="F158" i="7" a="1"/>
  <c r="F158" i="7" s="1"/>
  <c r="B158" i="7" a="1"/>
  <c r="B158" i="7" s="1"/>
  <c r="F430" i="7" a="1"/>
  <c r="F430" i="7" s="1"/>
  <c r="B430" i="7" a="1"/>
  <c r="B430" i="7" s="1"/>
  <c r="F142" i="7" a="1"/>
  <c r="F142" i="7" s="1"/>
  <c r="B142" i="7" a="1"/>
  <c r="B142" i="7" s="1"/>
  <c r="F30" i="7" a="1"/>
  <c r="F30" i="7" s="1"/>
  <c r="B30" i="7" a="1"/>
  <c r="B30" i="7" s="1"/>
  <c r="F318" i="7" a="1"/>
  <c r="F318" i="7" s="1"/>
  <c r="B318" i="7" a="1"/>
  <c r="B318" i="7" s="1"/>
  <c r="F382" i="7" a="1"/>
  <c r="F382" i="7" s="1"/>
  <c r="B382" i="7" a="1"/>
  <c r="B382" i="7" s="1"/>
  <c r="F94" i="7" a="1"/>
  <c r="F94" i="7" s="1"/>
  <c r="B94" i="7" a="1"/>
  <c r="B94" i="7" s="1"/>
  <c r="F350" i="7" a="1"/>
  <c r="F350" i="7" s="1"/>
  <c r="B350" i="7" a="1"/>
  <c r="B350" i="7" s="1"/>
  <c r="F126" i="7" a="1"/>
  <c r="F126" i="7" s="1"/>
  <c r="B126" i="7" a="1"/>
  <c r="B126" i="7" s="1"/>
  <c r="F62" i="7" a="1"/>
  <c r="F62" i="7" s="1"/>
  <c r="B62" i="7" a="1"/>
  <c r="B62" i="7" s="1"/>
  <c r="F414" i="7" a="1"/>
  <c r="F414" i="7" s="1"/>
  <c r="B414" i="7" a="1"/>
  <c r="B414" i="7" s="1"/>
  <c r="F478" i="7" a="1"/>
  <c r="F478" i="7" s="1"/>
  <c r="B478" i="7" a="1"/>
  <c r="B478" i="7" s="1"/>
  <c r="F190" i="7" a="1"/>
  <c r="F190" i="7" s="1"/>
  <c r="B190" i="7" a="1"/>
  <c r="B190" i="7" s="1"/>
  <c r="F510" i="7" a="1"/>
  <c r="F510" i="7" s="1"/>
  <c r="B510" i="7" a="1"/>
  <c r="B510" i="7" s="1"/>
  <c r="F222" i="7" a="1"/>
  <c r="F222" i="7" s="1"/>
  <c r="B222" i="7" a="1"/>
  <c r="B222" i="7" s="1"/>
  <c r="F542" i="7" a="1"/>
  <c r="F542" i="7" s="1"/>
  <c r="B542" i="7" a="1"/>
  <c r="B542" i="7" s="1"/>
  <c r="F254" i="7" a="1"/>
  <c r="F254" i="7" s="1"/>
  <c r="B254" i="7" a="1"/>
  <c r="B254" i="7" s="1"/>
  <c r="F286" i="7" a="1"/>
  <c r="F286" i="7" s="1"/>
  <c r="B286" i="7" a="1"/>
  <c r="B286" i="7" s="1"/>
  <c r="F574" i="7" a="1"/>
  <c r="F574" i="7" s="1"/>
  <c r="B574" i="7" a="1"/>
  <c r="B574" i="7" s="1"/>
  <c r="F302" i="7" a="1"/>
  <c r="F302" i="7" s="1"/>
  <c r="B302" i="7" a="1"/>
  <c r="B302" i="7" s="1"/>
  <c r="F366" i="7" a="1"/>
  <c r="F366" i="7" s="1"/>
  <c r="B366" i="7" a="1"/>
  <c r="B366" i="7" s="1"/>
  <c r="F14" i="7" a="1"/>
  <c r="F14" i="7" s="1"/>
  <c r="B14" i="7" a="1"/>
  <c r="B14" i="7" s="1"/>
  <c r="F78" i="7" a="1"/>
  <c r="F78" i="7" s="1"/>
  <c r="B78" i="7" a="1"/>
  <c r="B78" i="7" s="1"/>
  <c r="F334" i="7" a="1"/>
  <c r="F334" i="7" s="1"/>
  <c r="B334" i="7" a="1"/>
  <c r="B334" i="7" s="1"/>
  <c r="F46" i="7" a="1"/>
  <c r="F46" i="7" s="1"/>
  <c r="B46" i="7" a="1"/>
  <c r="B46" i="7" s="1"/>
  <c r="F398" i="7" a="1"/>
  <c r="F398" i="7" s="1"/>
  <c r="B398" i="7" a="1"/>
  <c r="B398" i="7" s="1"/>
  <c r="F110" i="7" a="1"/>
  <c r="F110" i="7" s="1"/>
  <c r="B110" i="7" a="1"/>
  <c r="B110" i="7" s="1"/>
  <c r="F462" i="7" a="1"/>
  <c r="F462" i="7" s="1"/>
  <c r="B462" i="7" a="1"/>
  <c r="B462" i="7" s="1"/>
  <c r="F206" i="7" a="1"/>
  <c r="F206" i="7" s="1"/>
  <c r="B206" i="7" a="1"/>
  <c r="B206" i="7" s="1"/>
  <c r="F174" i="7" a="1"/>
  <c r="F174" i="7" s="1"/>
  <c r="B174" i="7" a="1"/>
  <c r="B174" i="7" s="1"/>
  <c r="F494" i="7" a="1"/>
  <c r="F494" i="7" s="1"/>
  <c r="B494" i="7" a="1"/>
  <c r="B494" i="7" s="1"/>
  <c r="F558" i="7" a="1"/>
  <c r="F558" i="7" s="1"/>
  <c r="B558" i="7" a="1"/>
  <c r="B558" i="7" s="1"/>
  <c r="F526" i="7" a="1"/>
  <c r="F526" i="7" s="1"/>
  <c r="B526" i="7" a="1"/>
  <c r="B526" i="7" s="1"/>
  <c r="F238" i="7" a="1"/>
  <c r="F238" i="7" s="1"/>
  <c r="B238" i="7" a="1"/>
  <c r="B238" i="7" s="1"/>
  <c r="F270" i="7" a="1"/>
  <c r="F270" i="7" s="1"/>
  <c r="B270" i="7" a="1"/>
  <c r="B270" i="7" s="1"/>
  <c r="F445" i="7" a="1"/>
  <c r="F445" i="7" s="1"/>
  <c r="B445" i="7" a="1"/>
  <c r="B445" i="7" s="1"/>
  <c r="F157" i="7" a="1"/>
  <c r="F157" i="7" s="1"/>
  <c r="B157" i="7" a="1"/>
  <c r="B157" i="7" s="1"/>
  <c r="F429" i="7" a="1"/>
  <c r="F429" i="7" s="1"/>
  <c r="B429" i="7" a="1"/>
  <c r="B429" i="7" s="1"/>
  <c r="F141" i="7" a="1"/>
  <c r="F141" i="7" s="1"/>
  <c r="B141" i="7" a="1"/>
  <c r="B141" i="7" s="1"/>
  <c r="F317" i="7" a="1"/>
  <c r="F317" i="7" s="1"/>
  <c r="B317" i="7" a="1"/>
  <c r="B317" i="7" s="1"/>
  <c r="F381" i="7" a="1"/>
  <c r="F381" i="7" s="1"/>
  <c r="B381" i="7" a="1"/>
  <c r="B381" i="7" s="1"/>
  <c r="F29" i="7" a="1"/>
  <c r="F29" i="7" s="1"/>
  <c r="B29" i="7" a="1"/>
  <c r="B29" i="7" s="1"/>
  <c r="F349" i="7" a="1"/>
  <c r="F349" i="7" s="1"/>
  <c r="B349" i="7" a="1"/>
  <c r="B349" i="7" s="1"/>
  <c r="F125" i="7" a="1"/>
  <c r="F125" i="7" s="1"/>
  <c r="B125" i="7" a="1"/>
  <c r="B125" i="7" s="1"/>
  <c r="F61" i="7" a="1"/>
  <c r="F61" i="7" s="1"/>
  <c r="B61" i="7" a="1"/>
  <c r="B61" i="7" s="1"/>
  <c r="F93" i="7" a="1"/>
  <c r="F93" i="7" s="1"/>
  <c r="B93" i="7" a="1"/>
  <c r="B93" i="7" s="1"/>
  <c r="F413" i="7" a="1"/>
  <c r="F413" i="7" s="1"/>
  <c r="B413" i="7" a="1"/>
  <c r="B413" i="7" s="1"/>
  <c r="F477" i="7" a="1"/>
  <c r="F477" i="7" s="1"/>
  <c r="B477" i="7" a="1"/>
  <c r="B477" i="7" s="1"/>
  <c r="F221" i="7" a="1"/>
  <c r="F221" i="7" s="1"/>
  <c r="B221" i="7" a="1"/>
  <c r="B221" i="7" s="1"/>
  <c r="F509" i="7" a="1"/>
  <c r="F509" i="7" s="1"/>
  <c r="B509" i="7" a="1"/>
  <c r="B509" i="7" s="1"/>
  <c r="F189" i="7" a="1"/>
  <c r="F189" i="7" s="1"/>
  <c r="B189" i="7" a="1"/>
  <c r="B189" i="7" s="1"/>
  <c r="F541" i="7" a="1"/>
  <c r="F541" i="7" s="1"/>
  <c r="B541" i="7" a="1"/>
  <c r="B541" i="7" s="1"/>
  <c r="F253" i="7" a="1"/>
  <c r="F253" i="7" s="1"/>
  <c r="B253" i="7" a="1"/>
  <c r="B253" i="7" s="1"/>
  <c r="F573" i="7" a="1"/>
  <c r="F573" i="7" s="1"/>
  <c r="B573" i="7" a="1"/>
  <c r="B573" i="7" s="1"/>
  <c r="F285" i="7" a="1"/>
  <c r="F285" i="7" s="1"/>
  <c r="B285" i="7" a="1"/>
  <c r="B285" i="7" s="1"/>
  <c r="F301" i="7" a="1"/>
  <c r="F301" i="7" s="1"/>
  <c r="B301" i="7" a="1"/>
  <c r="B301" i="7" s="1"/>
  <c r="F77" i="7" a="1"/>
  <c r="F77" i="7" s="1"/>
  <c r="B77" i="7" a="1"/>
  <c r="B77" i="7" s="1"/>
  <c r="F365" i="7" a="1"/>
  <c r="F365" i="7" s="1"/>
  <c r="B365" i="7" a="1"/>
  <c r="B365" i="7" s="1"/>
  <c r="F13" i="7" a="1"/>
  <c r="F13" i="7" s="1"/>
  <c r="B13" i="7" a="1"/>
  <c r="B13" i="7" s="1"/>
  <c r="F45" i="7" a="1"/>
  <c r="F45" i="7" s="1"/>
  <c r="B45" i="7" a="1"/>
  <c r="B45" i="7" s="1"/>
  <c r="F397" i="7" a="1"/>
  <c r="F397" i="7" s="1"/>
  <c r="B397" i="7" a="1"/>
  <c r="B397" i="7" s="1"/>
  <c r="F333" i="7" a="1"/>
  <c r="F333" i="7" s="1"/>
  <c r="B333" i="7" a="1"/>
  <c r="B333" i="7" s="1"/>
  <c r="F109" i="7" a="1"/>
  <c r="F109" i="7" s="1"/>
  <c r="B109" i="7" a="1"/>
  <c r="B109" i="7" s="1"/>
  <c r="F461" i="7" a="1"/>
  <c r="F461" i="7" s="1"/>
  <c r="B461" i="7" a="1"/>
  <c r="B461" i="7" s="1"/>
  <c r="F173" i="7" a="1"/>
  <c r="F173" i="7" s="1"/>
  <c r="B173" i="7" a="1"/>
  <c r="B173" i="7" s="1"/>
  <c r="F205" i="7" a="1"/>
  <c r="F205" i="7" s="1"/>
  <c r="B205" i="7" a="1"/>
  <c r="B205" i="7" s="1"/>
  <c r="F493" i="7" a="1"/>
  <c r="F493" i="7" s="1"/>
  <c r="B493" i="7" a="1"/>
  <c r="B493" i="7" s="1"/>
  <c r="F525" i="7" a="1"/>
  <c r="F525" i="7" s="1"/>
  <c r="B525" i="7" a="1"/>
  <c r="B525" i="7" s="1"/>
  <c r="F237" i="7" a="1"/>
  <c r="F237" i="7" s="1"/>
  <c r="B237" i="7" a="1"/>
  <c r="B237" i="7" s="1"/>
  <c r="F557" i="7" a="1"/>
  <c r="F557" i="7" s="1"/>
  <c r="B557" i="7" a="1"/>
  <c r="B557" i="7" s="1"/>
  <c r="F269" i="7" a="1"/>
  <c r="F269" i="7" s="1"/>
  <c r="B269" i="7" a="1"/>
  <c r="B269" i="7" s="1"/>
  <c r="F444" i="7" a="1"/>
  <c r="F444" i="7" s="1"/>
  <c r="B444" i="7" a="1"/>
  <c r="B444" i="7" s="1"/>
  <c r="F156" i="7" a="1"/>
  <c r="F156" i="7" s="1"/>
  <c r="B156" i="7" a="1"/>
  <c r="B156" i="7" s="1"/>
  <c r="F140" i="7" a="1"/>
  <c r="F140" i="7" s="1"/>
  <c r="B140" i="7" a="1"/>
  <c r="B140" i="7" s="1"/>
  <c r="F428" i="7" a="1"/>
  <c r="F428" i="7" s="1"/>
  <c r="B428" i="7" a="1"/>
  <c r="B428" i="7" s="1"/>
  <c r="F28" i="7" a="1"/>
  <c r="F28" i="7" s="1"/>
  <c r="B28" i="7" a="1"/>
  <c r="B28" i="7" s="1"/>
  <c r="F380" i="7" a="1"/>
  <c r="F380" i="7" s="1"/>
  <c r="B380" i="7" a="1"/>
  <c r="B380" i="7" s="1"/>
  <c r="F316" i="7" a="1"/>
  <c r="F316" i="7" s="1"/>
  <c r="B316" i="7" a="1"/>
  <c r="B316" i="7" s="1"/>
  <c r="F348" i="7" a="1"/>
  <c r="F348" i="7" s="1"/>
  <c r="B348" i="7" a="1"/>
  <c r="B348" i="7" s="1"/>
  <c r="F60" i="7" a="1"/>
  <c r="F60" i="7" s="1"/>
  <c r="B60" i="7" a="1"/>
  <c r="B60" i="7" s="1"/>
  <c r="F92" i="7" a="1"/>
  <c r="F92" i="7" s="1"/>
  <c r="B92" i="7" a="1"/>
  <c r="B92" i="7" s="1"/>
  <c r="F124" i="7" a="1"/>
  <c r="F124" i="7" s="1"/>
  <c r="B124" i="7" a="1"/>
  <c r="B124" i="7" s="1"/>
  <c r="F412" i="7" a="1"/>
  <c r="F412" i="7" s="1"/>
  <c r="B412" i="7" a="1"/>
  <c r="B412" i="7" s="1"/>
  <c r="F476" i="7" a="1"/>
  <c r="F476" i="7" s="1"/>
  <c r="B476" i="7" a="1"/>
  <c r="B476" i="7" s="1"/>
  <c r="F220" i="7" a="1"/>
  <c r="F220" i="7" s="1"/>
  <c r="B220" i="7" a="1"/>
  <c r="B220" i="7" s="1"/>
  <c r="F508" i="7" a="1"/>
  <c r="F508" i="7" s="1"/>
  <c r="B508" i="7" a="1"/>
  <c r="B508" i="7" s="1"/>
  <c r="F188" i="7" a="1"/>
  <c r="F188" i="7" s="1"/>
  <c r="B188" i="7" a="1"/>
  <c r="B188" i="7" s="1"/>
  <c r="F252" i="7" a="1"/>
  <c r="F252" i="7" s="1"/>
  <c r="B252" i="7" a="1"/>
  <c r="B252" i="7" s="1"/>
  <c r="F540" i="7" a="1"/>
  <c r="F540" i="7" s="1"/>
  <c r="B540" i="7" a="1"/>
  <c r="B540" i="7" s="1"/>
  <c r="F284" i="7" a="1"/>
  <c r="F284" i="7" s="1"/>
  <c r="B284" i="7" a="1"/>
  <c r="B284" i="7" s="1"/>
  <c r="F572" i="7" a="1"/>
  <c r="F572" i="7" s="1"/>
  <c r="B572" i="7" a="1"/>
  <c r="B572" i="7" s="1"/>
  <c r="F300" i="7" a="1"/>
  <c r="F300" i="7" s="1"/>
  <c r="B300" i="7" a="1"/>
  <c r="B300" i="7" s="1"/>
  <c r="F364" i="7" a="1"/>
  <c r="F364" i="7" s="1"/>
  <c r="B364" i="7" a="1"/>
  <c r="B364" i="7" s="1"/>
  <c r="F76" i="7" a="1"/>
  <c r="F76" i="7" s="1"/>
  <c r="B76" i="7" a="1"/>
  <c r="B76" i="7" s="1"/>
  <c r="F396" i="7" a="1"/>
  <c r="F396" i="7" s="1"/>
  <c r="B396" i="7" a="1"/>
  <c r="B396" i="7" s="1"/>
  <c r="F44" i="7" a="1"/>
  <c r="F44" i="7" s="1"/>
  <c r="B44" i="7" a="1"/>
  <c r="B44" i="7" s="1"/>
  <c r="F12" i="7" a="1"/>
  <c r="F12" i="7" s="1"/>
  <c r="B12" i="7" a="1"/>
  <c r="B12" i="7" s="1"/>
  <c r="F332" i="7" a="1"/>
  <c r="F332" i="7" s="1"/>
  <c r="B332" i="7" a="1"/>
  <c r="B332" i="7" s="1"/>
  <c r="F108" i="7" a="1"/>
  <c r="F108" i="7" s="1"/>
  <c r="B108" i="7" a="1"/>
  <c r="B108" i="7" s="1"/>
  <c r="F460" i="7" a="1"/>
  <c r="F460" i="7" s="1"/>
  <c r="B460" i="7" a="1"/>
  <c r="B460" i="7" s="1"/>
  <c r="F492" i="7" a="1"/>
  <c r="F492" i="7" s="1"/>
  <c r="B492" i="7" a="1"/>
  <c r="B492" i="7" s="1"/>
  <c r="F172" i="7" a="1"/>
  <c r="F172" i="7" s="1"/>
  <c r="B172" i="7" a="1"/>
  <c r="B172" i="7" s="1"/>
  <c r="F204" i="7" a="1"/>
  <c r="F204" i="7" s="1"/>
  <c r="B204" i="7" a="1"/>
  <c r="B204" i="7" s="1"/>
  <c r="F524" i="7" a="1"/>
  <c r="F524" i="7" s="1"/>
  <c r="B524" i="7" a="1"/>
  <c r="B524" i="7" s="1"/>
  <c r="F556" i="7" a="1"/>
  <c r="F556" i="7" s="1"/>
  <c r="B556" i="7" a="1"/>
  <c r="B556" i="7" s="1"/>
  <c r="F236" i="7" a="1"/>
  <c r="F236" i="7" s="1"/>
  <c r="B236" i="7" a="1"/>
  <c r="B236" i="7" s="1"/>
  <c r="F268" i="7" a="1"/>
  <c r="F268" i="7" s="1"/>
  <c r="B268" i="7" a="1"/>
  <c r="B268" i="7" s="1"/>
  <c r="F443" i="7" a="1"/>
  <c r="F443" i="7" s="1"/>
  <c r="B443" i="7" a="1"/>
  <c r="B443" i="7" s="1"/>
  <c r="F155" i="7" a="1"/>
  <c r="F155" i="7" s="1"/>
  <c r="B155" i="7" a="1"/>
  <c r="B155" i="7" s="1"/>
  <c r="F427" i="7" a="1"/>
  <c r="F427" i="7" s="1"/>
  <c r="B427" i="7" a="1"/>
  <c r="B427" i="7" s="1"/>
  <c r="F139" i="7" a="1"/>
  <c r="F139" i="7" s="1"/>
  <c r="B139" i="7" a="1"/>
  <c r="B139" i="7" s="1"/>
  <c r="F315" i="7" a="1"/>
  <c r="F315" i="7" s="1"/>
  <c r="B315" i="7" a="1"/>
  <c r="B315" i="7" s="1"/>
  <c r="F347" i="7" a="1"/>
  <c r="F347" i="7" s="1"/>
  <c r="B347" i="7" a="1"/>
  <c r="B347" i="7" s="1"/>
  <c r="F91" i="7" a="1"/>
  <c r="F91" i="7" s="1"/>
  <c r="B91" i="7" a="1"/>
  <c r="B91" i="7" s="1"/>
  <c r="F27" i="7" a="1"/>
  <c r="F27" i="7" s="1"/>
  <c r="B27" i="7" a="1"/>
  <c r="B27" i="7" s="1"/>
  <c r="F379" i="7" a="1"/>
  <c r="F379" i="7" s="1"/>
  <c r="B379" i="7" a="1"/>
  <c r="B379" i="7" s="1"/>
  <c r="F59" i="7" a="1"/>
  <c r="F59" i="7" s="1"/>
  <c r="B59" i="7" a="1"/>
  <c r="B59" i="7" s="1"/>
  <c r="F411" i="7" a="1"/>
  <c r="F411" i="7" s="1"/>
  <c r="B411" i="7" a="1"/>
  <c r="B411" i="7" s="1"/>
  <c r="F123" i="7" a="1"/>
  <c r="F123" i="7" s="1"/>
  <c r="B123" i="7" a="1"/>
  <c r="B123" i="7" s="1"/>
  <c r="F475" i="7" a="1"/>
  <c r="F475" i="7" s="1"/>
  <c r="B475" i="7" a="1"/>
  <c r="B475" i="7" s="1"/>
  <c r="F187" i="7" a="1"/>
  <c r="F187" i="7" s="1"/>
  <c r="B187" i="7" a="1"/>
  <c r="B187" i="7" s="1"/>
  <c r="F507" i="7" a="1"/>
  <c r="F507" i="7" s="1"/>
  <c r="B507" i="7" a="1"/>
  <c r="B507" i="7" s="1"/>
  <c r="F219" i="7" a="1"/>
  <c r="F219" i="7" s="1"/>
  <c r="B219" i="7" a="1"/>
  <c r="B219" i="7" s="1"/>
  <c r="F539" i="7" a="1"/>
  <c r="F539" i="7" s="1"/>
  <c r="B539" i="7" a="1"/>
  <c r="B539" i="7" s="1"/>
  <c r="F251" i="7" a="1"/>
  <c r="F251" i="7" s="1"/>
  <c r="B251" i="7" a="1"/>
  <c r="B251" i="7" s="1"/>
  <c r="F571" i="7" a="1"/>
  <c r="F571" i="7" s="1"/>
  <c r="B571" i="7" a="1"/>
  <c r="B571" i="7" s="1"/>
  <c r="F283" i="7" a="1"/>
  <c r="F283" i="7" s="1"/>
  <c r="B283" i="7" a="1"/>
  <c r="B283" i="7" s="1"/>
  <c r="F363" i="7" a="1"/>
  <c r="F363" i="7" s="1"/>
  <c r="B363" i="7" a="1"/>
  <c r="B363" i="7" s="1"/>
  <c r="F11" i="7" a="1"/>
  <c r="F11" i="7" s="1"/>
  <c r="B11" i="7" a="1"/>
  <c r="B11" i="7" s="1"/>
  <c r="F75" i="7" a="1"/>
  <c r="F75" i="7" s="1"/>
  <c r="B75" i="7" a="1"/>
  <c r="B75" i="7" s="1"/>
  <c r="F331" i="7" a="1"/>
  <c r="F331" i="7" s="1"/>
  <c r="B331" i="7" a="1"/>
  <c r="B331" i="7" s="1"/>
  <c r="F299" i="7" a="1"/>
  <c r="F299" i="7" s="1"/>
  <c r="B299" i="7" a="1"/>
  <c r="B299" i="7" s="1"/>
  <c r="F43" i="7" a="1"/>
  <c r="F43" i="7" s="1"/>
  <c r="B43" i="7" a="1"/>
  <c r="B43" i="7" s="1"/>
  <c r="F395" i="7" a="1"/>
  <c r="F395" i="7" s="1"/>
  <c r="B395" i="7" a="1"/>
  <c r="B395" i="7" s="1"/>
  <c r="F107" i="7" a="1"/>
  <c r="F107" i="7" s="1"/>
  <c r="B107" i="7" a="1"/>
  <c r="B107" i="7" s="1"/>
  <c r="F171" i="7" a="1"/>
  <c r="F171" i="7" s="1"/>
  <c r="B171" i="7" a="1"/>
  <c r="B171" i="7" s="1"/>
  <c r="F459" i="7" a="1"/>
  <c r="F459" i="7" s="1"/>
  <c r="B459" i="7" a="1"/>
  <c r="B459" i="7" s="1"/>
  <c r="F491" i="7" a="1"/>
  <c r="F491" i="7" s="1"/>
  <c r="B491" i="7" a="1"/>
  <c r="B491" i="7" s="1"/>
  <c r="F203" i="7" a="1"/>
  <c r="F203" i="7" s="1"/>
  <c r="B203" i="7" a="1"/>
  <c r="B203" i="7" s="1"/>
  <c r="F555" i="7" a="1"/>
  <c r="F555" i="7" s="1"/>
  <c r="B555" i="7" a="1"/>
  <c r="B555" i="7" s="1"/>
  <c r="F523" i="7" a="1"/>
  <c r="F523" i="7" s="1"/>
  <c r="B523" i="7" a="1"/>
  <c r="B523" i="7" s="1"/>
  <c r="F235" i="7" a="1"/>
  <c r="F235" i="7" s="1"/>
  <c r="B235" i="7" a="1"/>
  <c r="B235" i="7" s="1"/>
  <c r="F267" i="7" a="1"/>
  <c r="F267" i="7" s="1"/>
  <c r="B267" i="7" a="1"/>
  <c r="B267" i="7" s="1"/>
  <c r="F442" i="7" a="1"/>
  <c r="F442" i="7" s="1"/>
  <c r="B442" i="7" a="1"/>
  <c r="B442" i="7" s="1"/>
  <c r="F154" i="7" a="1"/>
  <c r="F154" i="7" s="1"/>
  <c r="B154" i="7" a="1"/>
  <c r="B154" i="7" s="1"/>
  <c r="F426" i="7" a="1"/>
  <c r="F426" i="7" s="1"/>
  <c r="B426" i="7" a="1"/>
  <c r="B426" i="7" s="1"/>
  <c r="F138" i="7" a="1"/>
  <c r="F138" i="7" s="1"/>
  <c r="B138" i="7" a="1"/>
  <c r="B138" i="7" s="1"/>
  <c r="F314" i="7" a="1"/>
  <c r="F314" i="7" s="1"/>
  <c r="B314" i="7" a="1"/>
  <c r="B314" i="7" s="1"/>
  <c r="F26" i="7" a="1"/>
  <c r="F26" i="7" s="1"/>
  <c r="B26" i="7" a="1"/>
  <c r="B26" i="7" s="1"/>
  <c r="F378" i="7" a="1"/>
  <c r="F378" i="7" s="1"/>
  <c r="B378" i="7" a="1"/>
  <c r="B378" i="7" s="1"/>
  <c r="F346" i="7" a="1"/>
  <c r="F346" i="7" s="1"/>
  <c r="B346" i="7" a="1"/>
  <c r="B346" i="7" s="1"/>
  <c r="F90" i="7" a="1"/>
  <c r="F90" i="7" s="1"/>
  <c r="B90" i="7" a="1"/>
  <c r="B90" i="7" s="1"/>
  <c r="F410" i="7" a="1"/>
  <c r="F410" i="7" s="1"/>
  <c r="B410" i="7" a="1"/>
  <c r="B410" i="7" s="1"/>
  <c r="F122" i="7" a="1"/>
  <c r="F122" i="7" s="1"/>
  <c r="B122" i="7" a="1"/>
  <c r="B122" i="7" s="1"/>
  <c r="F58" i="7" a="1"/>
  <c r="F58" i="7" s="1"/>
  <c r="B58" i="7" a="1"/>
  <c r="B58" i="7" s="1"/>
  <c r="F474" i="7" a="1"/>
  <c r="F474" i="7" s="1"/>
  <c r="B474" i="7" a="1"/>
  <c r="B474" i="7" s="1"/>
  <c r="F186" i="7" a="1"/>
  <c r="F186" i="7" s="1"/>
  <c r="B186" i="7" a="1"/>
  <c r="B186" i="7" s="1"/>
  <c r="F506" i="7" a="1"/>
  <c r="F506" i="7" s="1"/>
  <c r="B506" i="7" a="1"/>
  <c r="B506" i="7" s="1"/>
  <c r="F218" i="7" a="1"/>
  <c r="F218" i="7" s="1"/>
  <c r="B218" i="7" a="1"/>
  <c r="B218" i="7" s="1"/>
  <c r="F538" i="7" a="1"/>
  <c r="F538" i="7" s="1"/>
  <c r="B538" i="7" a="1"/>
  <c r="B538" i="7" s="1"/>
  <c r="F250" i="7" a="1"/>
  <c r="F250" i="7" s="1"/>
  <c r="B250" i="7" a="1"/>
  <c r="B250" i="7" s="1"/>
  <c r="F282" i="7" a="1"/>
  <c r="F282" i="7" s="1"/>
  <c r="B282" i="7" a="1"/>
  <c r="B282" i="7" s="1"/>
  <c r="F570" i="7" a="1"/>
  <c r="F570" i="7" s="1"/>
  <c r="B570" i="7" a="1"/>
  <c r="B570" i="7" s="1"/>
  <c r="F298" i="7" a="1"/>
  <c r="F298" i="7" s="1"/>
  <c r="B298" i="7" a="1"/>
  <c r="B298" i="7" s="1"/>
  <c r="F10" i="7" a="1"/>
  <c r="F10" i="7" s="1"/>
  <c r="B10" i="7" a="1"/>
  <c r="B10" i="7" s="1"/>
  <c r="F74" i="7" a="1"/>
  <c r="F74" i="7" s="1"/>
  <c r="B74" i="7" a="1"/>
  <c r="B74" i="7" s="1"/>
  <c r="F362" i="7" a="1"/>
  <c r="F362" i="7" s="1"/>
  <c r="B362" i="7" a="1"/>
  <c r="B362" i="7" s="1"/>
  <c r="F42" i="7" a="1"/>
  <c r="F42" i="7" s="1"/>
  <c r="B42" i="7" a="1"/>
  <c r="B42" i="7" s="1"/>
  <c r="F330" i="7" a="1"/>
  <c r="F330" i="7" s="1"/>
  <c r="B330" i="7" a="1"/>
  <c r="B330" i="7" s="1"/>
  <c r="F394" i="7" a="1"/>
  <c r="F394" i="7" s="1"/>
  <c r="B394" i="7" a="1"/>
  <c r="B394" i="7" s="1"/>
  <c r="F106" i="7" a="1"/>
  <c r="F106" i="7" s="1"/>
  <c r="B106" i="7" a="1"/>
  <c r="B106" i="7" s="1"/>
  <c r="F458" i="7" a="1"/>
  <c r="F458" i="7" s="1"/>
  <c r="B458" i="7" a="1"/>
  <c r="B458" i="7" s="1"/>
  <c r="F490" i="7" a="1"/>
  <c r="F490" i="7" s="1"/>
  <c r="B490" i="7" a="1"/>
  <c r="B490" i="7" s="1"/>
  <c r="F170" i="7" a="1"/>
  <c r="F170" i="7" s="1"/>
  <c r="B170" i="7" a="1"/>
  <c r="B170" i="7" s="1"/>
  <c r="F522" i="7" a="1"/>
  <c r="F522" i="7" s="1"/>
  <c r="B522" i="7" a="1"/>
  <c r="B522" i="7" s="1"/>
  <c r="F234" i="7" a="1"/>
  <c r="F234" i="7" s="1"/>
  <c r="B234" i="7" a="1"/>
  <c r="B234" i="7" s="1"/>
  <c r="F202" i="7" a="1"/>
  <c r="F202" i="7" s="1"/>
  <c r="B202" i="7" a="1"/>
  <c r="B202" i="7" s="1"/>
  <c r="F266" i="7" a="1"/>
  <c r="F266" i="7" s="1"/>
  <c r="B266" i="7" a="1"/>
  <c r="B266" i="7" s="1"/>
  <c r="F554" i="7" a="1"/>
  <c r="F554" i="7" s="1"/>
  <c r="B554" i="7" a="1"/>
  <c r="B554" i="7" s="1"/>
  <c r="F441" i="7" a="1"/>
  <c r="F441" i="7" s="1"/>
  <c r="B441" i="7" a="1"/>
  <c r="B441" i="7" s="1"/>
  <c r="F153" i="7" a="1"/>
  <c r="F153" i="7" s="1"/>
  <c r="B153" i="7" a="1"/>
  <c r="B153" i="7" s="1"/>
  <c r="F137" i="7" a="1"/>
  <c r="F137" i="7" s="1"/>
  <c r="B137" i="7" a="1"/>
  <c r="B137" i="7" s="1"/>
  <c r="F425" i="7" a="1"/>
  <c r="F425" i="7" s="1"/>
  <c r="B425" i="7" a="1"/>
  <c r="B425" i="7" s="1"/>
  <c r="F25" i="7" a="1"/>
  <c r="F25" i="7" s="1"/>
  <c r="B25" i="7" a="1"/>
  <c r="B25" i="7" s="1"/>
  <c r="F313" i="7" a="1"/>
  <c r="F313" i="7" s="1"/>
  <c r="B313" i="7" a="1"/>
  <c r="B313" i="7" s="1"/>
  <c r="F377" i="7" a="1"/>
  <c r="F377" i="7" s="1"/>
  <c r="B377" i="7" a="1"/>
  <c r="B377" i="7" s="1"/>
  <c r="F345" i="7" a="1"/>
  <c r="F345" i="7" s="1"/>
  <c r="B345" i="7" a="1"/>
  <c r="B345" i="7" s="1"/>
  <c r="F57" i="7" a="1"/>
  <c r="F57" i="7" s="1"/>
  <c r="B57" i="7" a="1"/>
  <c r="B57" i="7" s="1"/>
  <c r="F89" i="7" a="1"/>
  <c r="F89" i="7" s="1"/>
  <c r="B89" i="7" a="1"/>
  <c r="B89" i="7" s="1"/>
  <c r="F409" i="7" a="1"/>
  <c r="F409" i="7" s="1"/>
  <c r="B409" i="7" a="1"/>
  <c r="B409" i="7" s="1"/>
  <c r="F121" i="7" a="1"/>
  <c r="F121" i="7" s="1"/>
  <c r="B121" i="7" a="1"/>
  <c r="B121" i="7" s="1"/>
  <c r="F473" i="7" a="1"/>
  <c r="F473" i="7" s="1"/>
  <c r="B473" i="7" a="1"/>
  <c r="B473" i="7" s="1"/>
  <c r="F185" i="7" a="1"/>
  <c r="F185" i="7" s="1"/>
  <c r="B185" i="7" a="1"/>
  <c r="B185" i="7" s="1"/>
  <c r="F505" i="7" a="1"/>
  <c r="F505" i="7" s="1"/>
  <c r="B505" i="7" a="1"/>
  <c r="B505" i="7" s="1"/>
  <c r="F217" i="7" a="1"/>
  <c r="F217" i="7" s="1"/>
  <c r="B217" i="7" a="1"/>
  <c r="B217" i="7" s="1"/>
  <c r="F537" i="7" a="1"/>
  <c r="F537" i="7" s="1"/>
  <c r="B537" i="7" a="1"/>
  <c r="B537" i="7" s="1"/>
  <c r="F249" i="7" a="1"/>
  <c r="F249" i="7" s="1"/>
  <c r="B249" i="7" a="1"/>
  <c r="B249" i="7" s="1"/>
  <c r="F569" i="7" a="1"/>
  <c r="F569" i="7" s="1"/>
  <c r="B569" i="7" a="1"/>
  <c r="B569" i="7" s="1"/>
  <c r="F281" i="7" a="1"/>
  <c r="F281" i="7" s="1"/>
  <c r="B281" i="7" a="1"/>
  <c r="B281" i="7" s="1"/>
  <c r="F297" i="7" a="1"/>
  <c r="F297" i="7" s="1"/>
  <c r="B297" i="7" a="1"/>
  <c r="B297" i="7" s="1"/>
  <c r="F361" i="7" a="1"/>
  <c r="F361" i="7" s="1"/>
  <c r="B361" i="7" a="1"/>
  <c r="B361" i="7" s="1"/>
  <c r="F73" i="7" a="1"/>
  <c r="F73" i="7" s="1"/>
  <c r="B73" i="7" a="1"/>
  <c r="B73" i="7" s="1"/>
  <c r="F9" i="7" a="1"/>
  <c r="F9" i="7" s="1"/>
  <c r="B9" i="7" a="1"/>
  <c r="B9" i="7" s="1"/>
  <c r="F41" i="7" a="1"/>
  <c r="F41" i="7" s="1"/>
  <c r="B41" i="7" a="1"/>
  <c r="B41" i="7" s="1"/>
  <c r="F329" i="7" a="1"/>
  <c r="F329" i="7" s="1"/>
  <c r="B329" i="7" a="1"/>
  <c r="B329" i="7" s="1"/>
  <c r="F105" i="7" a="1"/>
  <c r="F105" i="7" s="1"/>
  <c r="B105" i="7" a="1"/>
  <c r="B105" i="7" s="1"/>
  <c r="F393" i="7" a="1"/>
  <c r="F393" i="7" s="1"/>
  <c r="B393" i="7" a="1"/>
  <c r="B393" i="7" s="1"/>
  <c r="F457" i="7" a="1"/>
  <c r="F457" i="7" s="1"/>
  <c r="B457" i="7" a="1"/>
  <c r="B457" i="7" s="1"/>
  <c r="F201" i="7" a="1"/>
  <c r="F201" i="7" s="1"/>
  <c r="B201" i="7" a="1"/>
  <c r="B201" i="7" s="1"/>
  <c r="F489" i="7" a="1"/>
  <c r="F489" i="7" s="1"/>
  <c r="B489" i="7" a="1"/>
  <c r="B489" i="7" s="1"/>
  <c r="F169" i="7" a="1"/>
  <c r="F169" i="7" s="1"/>
  <c r="B169" i="7" a="1"/>
  <c r="B169" i="7" s="1"/>
  <c r="F521" i="7" a="1"/>
  <c r="F521" i="7" s="1"/>
  <c r="B521" i="7" a="1"/>
  <c r="B521" i="7" s="1"/>
  <c r="F233" i="7" a="1"/>
  <c r="F233" i="7" s="1"/>
  <c r="B233" i="7" a="1"/>
  <c r="B233" i="7" s="1"/>
  <c r="F265" i="7" a="1"/>
  <c r="F265" i="7" s="1"/>
  <c r="B265" i="7" a="1"/>
  <c r="B265" i="7" s="1"/>
  <c r="F553" i="7" a="1"/>
  <c r="F553" i="7" s="1"/>
  <c r="B553" i="7" a="1"/>
  <c r="B553" i="7" s="1"/>
  <c r="F440" i="7" a="1"/>
  <c r="F440" i="7" s="1"/>
  <c r="B440" i="7" a="1"/>
  <c r="B440" i="7" s="1"/>
  <c r="F152" i="7" a="1"/>
  <c r="F152" i="7" s="1"/>
  <c r="B152" i="7" a="1"/>
  <c r="B152" i="7" s="1"/>
  <c r="F424" i="7" a="1"/>
  <c r="F424" i="7" s="1"/>
  <c r="B424" i="7" a="1"/>
  <c r="B424" i="7" s="1"/>
  <c r="F136" i="7" a="1"/>
  <c r="F136" i="7" s="1"/>
  <c r="B136" i="7" a="1"/>
  <c r="B136" i="7" s="1"/>
  <c r="F312" i="7" a="1"/>
  <c r="F312" i="7" s="1"/>
  <c r="B312" i="7" a="1"/>
  <c r="B312" i="7" s="1"/>
  <c r="F88" i="7" a="1"/>
  <c r="F88" i="7" s="1"/>
  <c r="B88" i="7" a="1"/>
  <c r="B88" i="7" s="1"/>
  <c r="F376" i="7" a="1"/>
  <c r="F376" i="7" s="1"/>
  <c r="B376" i="7" a="1"/>
  <c r="B376" i="7" s="1"/>
  <c r="F24" i="7" a="1"/>
  <c r="F24" i="7" s="1"/>
  <c r="B24" i="7" a="1"/>
  <c r="B24" i="7" s="1"/>
  <c r="F344" i="7" a="1"/>
  <c r="F344" i="7" s="1"/>
  <c r="B344" i="7" a="1"/>
  <c r="B344" i="7" s="1"/>
  <c r="F408" i="7" a="1"/>
  <c r="F408" i="7" s="1"/>
  <c r="B408" i="7" a="1"/>
  <c r="B408" i="7" s="1"/>
  <c r="F56" i="7" a="1"/>
  <c r="F56" i="7" s="1"/>
  <c r="B56" i="7" a="1"/>
  <c r="B56" i="7" s="1"/>
  <c r="F120" i="7" a="1"/>
  <c r="F120" i="7" s="1"/>
  <c r="B120" i="7" a="1"/>
  <c r="B120" i="7" s="1"/>
  <c r="F184" i="7" a="1"/>
  <c r="F184" i="7" s="1"/>
  <c r="B184" i="7" a="1"/>
  <c r="B184" i="7" s="1"/>
  <c r="F472" i="7" a="1"/>
  <c r="F472" i="7" s="1"/>
  <c r="B472" i="7" a="1"/>
  <c r="B472" i="7" s="1"/>
  <c r="F504" i="7" a="1"/>
  <c r="F504" i="7" s="1"/>
  <c r="B504" i="7" a="1"/>
  <c r="B504" i="7" s="1"/>
  <c r="F216" i="7" a="1"/>
  <c r="F216" i="7" s="1"/>
  <c r="B216" i="7" a="1"/>
  <c r="B216" i="7" s="1"/>
  <c r="F536" i="7" a="1"/>
  <c r="F536" i="7" s="1"/>
  <c r="B536" i="7" a="1"/>
  <c r="B536" i="7" s="1"/>
  <c r="F280" i="7" a="1"/>
  <c r="F280" i="7" s="1"/>
  <c r="B280" i="7" a="1"/>
  <c r="B280" i="7" s="1"/>
  <c r="F568" i="7" a="1"/>
  <c r="F568" i="7" s="1"/>
  <c r="B568" i="7" a="1"/>
  <c r="B568" i="7" s="1"/>
  <c r="F248" i="7" a="1"/>
  <c r="F248" i="7" s="1"/>
  <c r="B248" i="7" a="1"/>
  <c r="B248" i="7" s="1"/>
  <c r="F328" i="7" a="1"/>
  <c r="F328" i="7" s="1"/>
  <c r="B328" i="7" a="1"/>
  <c r="B328" i="7" s="1"/>
  <c r="F296" i="7" a="1"/>
  <c r="F296" i="7" s="1"/>
  <c r="B296" i="7" a="1"/>
  <c r="B296" i="7" s="1"/>
  <c r="F360" i="7" a="1"/>
  <c r="F360" i="7" s="1"/>
  <c r="B360" i="7" a="1"/>
  <c r="B360" i="7" s="1"/>
  <c r="F8" i="7" a="1"/>
  <c r="F8" i="7" s="1"/>
  <c r="B8" i="7" a="1"/>
  <c r="B8" i="7" s="1"/>
  <c r="F40" i="7" a="1"/>
  <c r="F40" i="7" s="1"/>
  <c r="B40" i="7" a="1"/>
  <c r="B40" i="7" s="1"/>
  <c r="F72" i="7" a="1"/>
  <c r="F72" i="7" s="1"/>
  <c r="B72" i="7" a="1"/>
  <c r="B72" i="7" s="1"/>
  <c r="F392" i="7" a="1"/>
  <c r="F392" i="7" s="1"/>
  <c r="B392" i="7" a="1"/>
  <c r="B392" i="7" s="1"/>
  <c r="F104" i="7" a="1"/>
  <c r="F104" i="7" s="1"/>
  <c r="B104" i="7" a="1"/>
  <c r="B104" i="7" s="1"/>
  <c r="F200" i="7" a="1"/>
  <c r="F200" i="7" s="1"/>
  <c r="B200" i="7" a="1"/>
  <c r="B200" i="7" s="1"/>
  <c r="F488" i="7" a="1"/>
  <c r="F488" i="7" s="1"/>
  <c r="B488" i="7" a="1"/>
  <c r="B488" i="7" s="1"/>
  <c r="F456" i="7" a="1"/>
  <c r="F456" i="7" s="1"/>
  <c r="B456" i="7" a="1"/>
  <c r="B456" i="7" s="1"/>
  <c r="F168" i="7" a="1"/>
  <c r="F168" i="7" s="1"/>
  <c r="B168" i="7" a="1"/>
  <c r="B168" i="7" s="1"/>
  <c r="F520" i="7" a="1"/>
  <c r="F520" i="7" s="1"/>
  <c r="B520" i="7" a="1"/>
  <c r="B520" i="7" s="1"/>
  <c r="F552" i="7" a="1"/>
  <c r="F552" i="7" s="1"/>
  <c r="B552" i="7" a="1"/>
  <c r="B552" i="7" s="1"/>
  <c r="F264" i="7" a="1"/>
  <c r="F264" i="7" s="1"/>
  <c r="B264" i="7" a="1"/>
  <c r="B264" i="7" s="1"/>
  <c r="F232" i="7" a="1"/>
  <c r="F232" i="7" s="1"/>
  <c r="B232" i="7" a="1"/>
  <c r="B232" i="7" s="1"/>
  <c r="F151" i="7" a="1"/>
  <c r="F151" i="7" s="1"/>
  <c r="B151" i="7" a="1"/>
  <c r="B151" i="7" s="1"/>
  <c r="F439" i="7" a="1"/>
  <c r="F439" i="7" s="1"/>
  <c r="B439" i="7" a="1"/>
  <c r="B439" i="7" s="1"/>
  <c r="F423" i="7" a="1"/>
  <c r="F423" i="7" s="1"/>
  <c r="B423" i="7" a="1"/>
  <c r="B423" i="7" s="1"/>
  <c r="F135" i="7" a="1"/>
  <c r="F135" i="7" s="1"/>
  <c r="B135" i="7" a="1"/>
  <c r="B135" i="7" s="1"/>
  <c r="F311" i="7" a="1"/>
  <c r="F311" i="7" s="1"/>
  <c r="B311" i="7" a="1"/>
  <c r="B311" i="7" s="1"/>
  <c r="F375" i="7" a="1"/>
  <c r="F375" i="7" s="1"/>
  <c r="B375" i="7" a="1"/>
  <c r="B375" i="7" s="1"/>
  <c r="F87" i="7" a="1"/>
  <c r="F87" i="7" s="1"/>
  <c r="B87" i="7" a="1"/>
  <c r="B87" i="7" s="1"/>
  <c r="F23" i="7" a="1"/>
  <c r="F23" i="7" s="1"/>
  <c r="B23" i="7" a="1"/>
  <c r="B23" i="7" s="1"/>
  <c r="F55" i="7" a="1"/>
  <c r="F55" i="7" s="1"/>
  <c r="B55" i="7" a="1"/>
  <c r="B55" i="7" s="1"/>
  <c r="F343" i="7" a="1"/>
  <c r="F343" i="7" s="1"/>
  <c r="B343" i="7" a="1"/>
  <c r="B343" i="7" s="1"/>
  <c r="F407" i="7" a="1"/>
  <c r="F407" i="7" s="1"/>
  <c r="B407" i="7" a="1"/>
  <c r="B407" i="7" s="1"/>
  <c r="F119" i="7" a="1"/>
  <c r="F119" i="7" s="1"/>
  <c r="B119" i="7" a="1"/>
  <c r="B119" i="7" s="1"/>
  <c r="F471" i="7" a="1"/>
  <c r="F471" i="7" s="1"/>
  <c r="B471" i="7" a="1"/>
  <c r="B471" i="7" s="1"/>
  <c r="F183" i="7" a="1"/>
  <c r="F183" i="7" s="1"/>
  <c r="B183" i="7" a="1"/>
  <c r="B183" i="7" s="1"/>
  <c r="F503" i="7" a="1"/>
  <c r="F503" i="7" s="1"/>
  <c r="B503" i="7" a="1"/>
  <c r="B503" i="7" s="1"/>
  <c r="F215" i="7" a="1"/>
  <c r="F215" i="7" s="1"/>
  <c r="B215" i="7" a="1"/>
  <c r="B215" i="7" s="1"/>
  <c r="F535" i="7" a="1"/>
  <c r="F535" i="7" s="1"/>
  <c r="B535" i="7" a="1"/>
  <c r="B535" i="7" s="1"/>
  <c r="F247" i="7" a="1"/>
  <c r="F247" i="7" s="1"/>
  <c r="B247" i="7" a="1"/>
  <c r="B247" i="7" s="1"/>
  <c r="F567" i="7" a="1"/>
  <c r="F567" i="7" s="1"/>
  <c r="B567" i="7" a="1"/>
  <c r="B567" i="7" s="1"/>
  <c r="F279" i="7" a="1"/>
  <c r="F279" i="7" s="1"/>
  <c r="B279" i="7" a="1"/>
  <c r="B279" i="7" s="1"/>
  <c r="F71" i="7" a="1"/>
  <c r="F71" i="7" s="1"/>
  <c r="B71" i="7" a="1"/>
  <c r="B71" i="7" s="1"/>
  <c r="F7" i="7" a="1"/>
  <c r="F7" i="7" s="1"/>
  <c r="B7" i="7" a="1"/>
  <c r="B7" i="7" s="1"/>
  <c r="F359" i="7" a="1"/>
  <c r="F359" i="7" s="1"/>
  <c r="B359" i="7" a="1"/>
  <c r="B359" i="7" s="1"/>
  <c r="F295" i="7" a="1"/>
  <c r="F295" i="7" s="1"/>
  <c r="B295" i="7" a="1"/>
  <c r="B295" i="7" s="1"/>
  <c r="F327" i="7" a="1"/>
  <c r="F327" i="7" s="1"/>
  <c r="B327" i="7" a="1"/>
  <c r="B327" i="7" s="1"/>
  <c r="F39" i="7" a="1"/>
  <c r="F39" i="7" s="1"/>
  <c r="B39" i="7" a="1"/>
  <c r="B39" i="7" s="1"/>
  <c r="F103" i="7" a="1"/>
  <c r="F103" i="7" s="1"/>
  <c r="B103" i="7" a="1"/>
  <c r="B103" i="7" s="1"/>
  <c r="F391" i="7" a="1"/>
  <c r="F391" i="7" s="1"/>
  <c r="B391" i="7" a="1"/>
  <c r="B391" i="7" s="1"/>
  <c r="F487" i="7" a="1"/>
  <c r="F487" i="7" s="1"/>
  <c r="B487" i="7" a="1"/>
  <c r="B487" i="7" s="1"/>
  <c r="F199" i="7" a="1"/>
  <c r="F199" i="7" s="1"/>
  <c r="B199" i="7" a="1"/>
  <c r="B199" i="7" s="1"/>
  <c r="F455" i="7" a="1"/>
  <c r="F455" i="7" s="1"/>
  <c r="B455" i="7" a="1"/>
  <c r="B455" i="7" s="1"/>
  <c r="F167" i="7" a="1"/>
  <c r="F167" i="7" s="1"/>
  <c r="B167" i="7" a="1"/>
  <c r="B167" i="7" s="1"/>
  <c r="F519" i="7" a="1"/>
  <c r="F519" i="7" s="1"/>
  <c r="B519" i="7" a="1"/>
  <c r="B519" i="7" s="1"/>
  <c r="F231" i="7" a="1"/>
  <c r="F231" i="7" s="1"/>
  <c r="B231" i="7" a="1"/>
  <c r="B231" i="7" s="1"/>
  <c r="F551" i="7" a="1"/>
  <c r="F551" i="7" s="1"/>
  <c r="B551" i="7" a="1"/>
  <c r="B551" i="7" s="1"/>
  <c r="F263" i="7" a="1"/>
  <c r="F263" i="7" s="1"/>
  <c r="B263" i="7" a="1"/>
  <c r="B263" i="7" s="1"/>
  <c r="R18" i="1"/>
  <c r="R18" i="2" s="1"/>
  <c r="R43" i="2" s="1"/>
  <c r="R19" i="1"/>
  <c r="R19" i="2" s="1"/>
  <c r="R44" i="2" s="1"/>
  <c r="R20" i="1"/>
  <c r="R20" i="2" s="1"/>
  <c r="R45" i="2" s="1"/>
  <c r="R21" i="1"/>
  <c r="R21" i="2" s="1"/>
  <c r="R46" i="2" s="1"/>
  <c r="R22" i="1"/>
  <c r="R22" i="2" s="1"/>
  <c r="R47" i="2" s="1"/>
  <c r="R23" i="1"/>
  <c r="R23" i="2" s="1"/>
  <c r="R48" i="2" s="1"/>
  <c r="R24" i="1"/>
  <c r="R24" i="2" s="1"/>
  <c r="R49" i="2" s="1"/>
  <c r="R25" i="1"/>
  <c r="R25" i="2" s="1"/>
  <c r="R50" i="2" s="1"/>
  <c r="R26" i="1"/>
  <c r="R26" i="2" s="1"/>
  <c r="R51" i="2" s="1"/>
  <c r="Q18" i="1"/>
  <c r="Q18" i="2" s="1"/>
  <c r="Q43" i="2" s="1"/>
  <c r="Q19" i="1"/>
  <c r="Q19" i="2" s="1"/>
  <c r="Q44" i="2" s="1"/>
  <c r="Q20" i="1"/>
  <c r="Q20" i="2" s="1"/>
  <c r="Q45" i="2" s="1"/>
  <c r="Q21" i="1"/>
  <c r="Q21" i="2" s="1"/>
  <c r="Q46" i="2" s="1"/>
  <c r="Q22" i="1"/>
  <c r="Q22" i="2" s="1"/>
  <c r="Q47" i="2" s="1"/>
  <c r="Q23" i="1"/>
  <c r="Q23" i="2" s="1"/>
  <c r="Q48" i="2" s="1"/>
  <c r="Q24" i="1"/>
  <c r="Q24" i="2" s="1"/>
  <c r="Q49" i="2" s="1"/>
  <c r="Q25" i="1"/>
  <c r="Q25" i="2" s="1"/>
  <c r="Q50" i="2" s="1"/>
  <c r="Q26" i="1"/>
  <c r="Q26" i="2" s="1"/>
  <c r="Q51" i="2" s="1"/>
  <c r="P18" i="1"/>
  <c r="P18" i="2" s="1"/>
  <c r="P43" i="2" s="1"/>
  <c r="P19" i="1"/>
  <c r="P19" i="2" s="1"/>
  <c r="P44" i="2" s="1"/>
  <c r="P20" i="1"/>
  <c r="P20" i="2" s="1"/>
  <c r="P45" i="2" s="1"/>
  <c r="P21" i="1"/>
  <c r="P21" i="2" s="1"/>
  <c r="P46" i="2" s="1"/>
  <c r="P22" i="1"/>
  <c r="P22" i="2" s="1"/>
  <c r="P47" i="2" s="1"/>
  <c r="P23" i="1"/>
  <c r="P23" i="2" s="1"/>
  <c r="P48" i="2" s="1"/>
  <c r="P24" i="1"/>
  <c r="P24" i="2" s="1"/>
  <c r="P49" i="2" s="1"/>
  <c r="P25" i="1"/>
  <c r="P25" i="2" s="1"/>
  <c r="P50" i="2" s="1"/>
  <c r="P26" i="1"/>
  <c r="P26" i="2" s="1"/>
  <c r="P51" i="2" s="1"/>
  <c r="O18" i="1"/>
  <c r="O18" i="2" s="1"/>
  <c r="O43" i="2" s="1"/>
  <c r="O19" i="1"/>
  <c r="O19" i="2" s="1"/>
  <c r="O44" i="2" s="1"/>
  <c r="O20" i="1"/>
  <c r="O20" i="2" s="1"/>
  <c r="O45" i="2" s="1"/>
  <c r="O21" i="1"/>
  <c r="O21" i="2" s="1"/>
  <c r="O46" i="2" s="1"/>
  <c r="O22" i="1"/>
  <c r="O22" i="2" s="1"/>
  <c r="O47" i="2" s="1"/>
  <c r="O23" i="1"/>
  <c r="O23" i="2" s="1"/>
  <c r="O48" i="2" s="1"/>
  <c r="O24" i="1"/>
  <c r="O24" i="2" s="1"/>
  <c r="O49" i="2" s="1"/>
  <c r="O25" i="1"/>
  <c r="O25" i="2" s="1"/>
  <c r="O50" i="2" s="1"/>
  <c r="O26" i="1"/>
  <c r="O26" i="2" s="1"/>
  <c r="O51" i="2" s="1"/>
  <c r="N18" i="1"/>
  <c r="N18" i="2" s="1"/>
  <c r="N43" i="2" s="1"/>
  <c r="N19" i="1"/>
  <c r="N19" i="2" s="1"/>
  <c r="N44" i="2" s="1"/>
  <c r="N20" i="1"/>
  <c r="N20" i="2" s="1"/>
  <c r="N45" i="2" s="1"/>
  <c r="N21" i="1"/>
  <c r="N21" i="2" s="1"/>
  <c r="N46" i="2" s="1"/>
  <c r="N22" i="1"/>
  <c r="N22" i="2" s="1"/>
  <c r="N47" i="2" s="1"/>
  <c r="N23" i="1"/>
  <c r="N23" i="2" s="1"/>
  <c r="N48" i="2" s="1"/>
  <c r="N24" i="1"/>
  <c r="N24" i="2" s="1"/>
  <c r="N49" i="2" s="1"/>
  <c r="N25" i="1"/>
  <c r="N25" i="2" s="1"/>
  <c r="N50" i="2" s="1"/>
  <c r="N26" i="1"/>
  <c r="N26" i="2" s="1"/>
  <c r="N51" i="2" s="1"/>
  <c r="M18" i="1"/>
  <c r="M18" i="2" s="1"/>
  <c r="M43" i="2" s="1"/>
  <c r="M19" i="1"/>
  <c r="M19" i="2" s="1"/>
  <c r="M44" i="2" s="1"/>
  <c r="M20" i="1"/>
  <c r="M20" i="2" s="1"/>
  <c r="M45" i="2" s="1"/>
  <c r="M21" i="1"/>
  <c r="M21" i="2" s="1"/>
  <c r="M46" i="2" s="1"/>
  <c r="M22" i="1"/>
  <c r="M22" i="2" s="1"/>
  <c r="M47" i="2" s="1"/>
  <c r="M23" i="1"/>
  <c r="M23" i="2" s="1"/>
  <c r="M48" i="2" s="1"/>
  <c r="M24" i="1"/>
  <c r="M24" i="2" s="1"/>
  <c r="M49" i="2" s="1"/>
  <c r="M25" i="1"/>
  <c r="M25" i="2" s="1"/>
  <c r="M50" i="2" s="1"/>
  <c r="M26" i="1"/>
  <c r="M26" i="2" s="1"/>
  <c r="M51" i="2" s="1"/>
  <c r="L18" i="1"/>
  <c r="L19" i="1"/>
  <c r="L19" i="2" s="1"/>
  <c r="L44" i="2" s="1"/>
  <c r="L20" i="1"/>
  <c r="L20" i="2" s="1"/>
  <c r="L45" i="2" s="1"/>
  <c r="L21" i="1"/>
  <c r="L21" i="2" s="1"/>
  <c r="L46" i="2" s="1"/>
  <c r="L22" i="1"/>
  <c r="L22" i="2" s="1"/>
  <c r="L47" i="2" s="1"/>
  <c r="L23" i="1"/>
  <c r="L23" i="2" s="1"/>
  <c r="L48" i="2" s="1"/>
  <c r="L24" i="1"/>
  <c r="L24" i="2" s="1"/>
  <c r="L49" i="2" s="1"/>
  <c r="L25" i="1"/>
  <c r="L25" i="2" s="1"/>
  <c r="L50" i="2" s="1"/>
  <c r="L26" i="1"/>
  <c r="L26" i="2" s="1"/>
  <c r="L51" i="2" s="1"/>
  <c r="K18" i="1"/>
  <c r="K18" i="2" s="1"/>
  <c r="K43" i="2" s="1"/>
  <c r="K19" i="1"/>
  <c r="K19" i="2" s="1"/>
  <c r="K44" i="2" s="1"/>
  <c r="K20" i="1"/>
  <c r="K20" i="2" s="1"/>
  <c r="K45" i="2" s="1"/>
  <c r="K21" i="1"/>
  <c r="K21" i="2" s="1"/>
  <c r="K46" i="2" s="1"/>
  <c r="K22" i="1"/>
  <c r="K22" i="2" s="1"/>
  <c r="K47" i="2" s="1"/>
  <c r="K23" i="1"/>
  <c r="K23" i="2" s="1"/>
  <c r="K48" i="2" s="1"/>
  <c r="K24" i="1"/>
  <c r="K24" i="2" s="1"/>
  <c r="K49" i="2" s="1"/>
  <c r="K25" i="1"/>
  <c r="K25" i="2" s="1"/>
  <c r="K50" i="2" s="1"/>
  <c r="K26" i="1"/>
  <c r="K26" i="2" s="1"/>
  <c r="K51" i="2" s="1"/>
  <c r="J18" i="1"/>
  <c r="J18" i="2" s="1"/>
  <c r="J43" i="2" s="1"/>
  <c r="J19" i="1"/>
  <c r="J19" i="2" s="1"/>
  <c r="J44" i="2" s="1"/>
  <c r="J20" i="1"/>
  <c r="J20" i="2" s="1"/>
  <c r="J45" i="2" s="1"/>
  <c r="J21" i="1"/>
  <c r="J21" i="2" s="1"/>
  <c r="J46" i="2" s="1"/>
  <c r="J22" i="1"/>
  <c r="J22" i="2" s="1"/>
  <c r="J47" i="2" s="1"/>
  <c r="J23" i="1"/>
  <c r="J23" i="2" s="1"/>
  <c r="J48" i="2" s="1"/>
  <c r="J24" i="1"/>
  <c r="J24" i="2" s="1"/>
  <c r="J49" i="2" s="1"/>
  <c r="J25" i="1"/>
  <c r="J25" i="2" s="1"/>
  <c r="J50" i="2" s="1"/>
  <c r="J26" i="1"/>
  <c r="J26" i="2" s="1"/>
  <c r="J51" i="2" s="1"/>
  <c r="I18" i="1"/>
  <c r="I18" i="2" s="1"/>
  <c r="I43" i="2" s="1"/>
  <c r="I19" i="1"/>
  <c r="I19" i="2" s="1"/>
  <c r="I44" i="2" s="1"/>
  <c r="I20" i="1"/>
  <c r="I20" i="2" s="1"/>
  <c r="I45" i="2" s="1"/>
  <c r="I21" i="1"/>
  <c r="I21" i="2" s="1"/>
  <c r="I46" i="2" s="1"/>
  <c r="I22" i="1"/>
  <c r="I22" i="2" s="1"/>
  <c r="I47" i="2" s="1"/>
  <c r="I23" i="1"/>
  <c r="I23" i="2" s="1"/>
  <c r="I48" i="2" s="1"/>
  <c r="I24" i="1"/>
  <c r="I24" i="2" s="1"/>
  <c r="I49" i="2" s="1"/>
  <c r="I25" i="1"/>
  <c r="I25" i="2" s="1"/>
  <c r="I50" i="2" s="1"/>
  <c r="I26" i="1"/>
  <c r="I26" i="2" s="1"/>
  <c r="I51" i="2" s="1"/>
  <c r="H18" i="1"/>
  <c r="H19" i="1"/>
  <c r="H19" i="2" s="1"/>
  <c r="H44" i="2" s="1"/>
  <c r="H20" i="1"/>
  <c r="H20" i="2" s="1"/>
  <c r="H45" i="2" s="1"/>
  <c r="H21" i="1"/>
  <c r="H21" i="2" s="1"/>
  <c r="H46" i="2" s="1"/>
  <c r="H22" i="1"/>
  <c r="H22" i="2" s="1"/>
  <c r="H47" i="2" s="1"/>
  <c r="H23" i="1"/>
  <c r="H23" i="2" s="1"/>
  <c r="H48" i="2" s="1"/>
  <c r="H24" i="1"/>
  <c r="H24" i="2" s="1"/>
  <c r="H49" i="2" s="1"/>
  <c r="H25" i="1"/>
  <c r="H25" i="2" s="1"/>
  <c r="H50" i="2" s="1"/>
  <c r="H26" i="1"/>
  <c r="H26" i="2" s="1"/>
  <c r="H51" i="2" s="1"/>
  <c r="G18" i="1"/>
  <c r="G18" i="2" s="1"/>
  <c r="G43" i="2" s="1"/>
  <c r="G19" i="1"/>
  <c r="G19" i="2" s="1"/>
  <c r="G44" i="2" s="1"/>
  <c r="G20" i="1"/>
  <c r="G20" i="2" s="1"/>
  <c r="G45" i="2" s="1"/>
  <c r="G21" i="1"/>
  <c r="G21" i="2" s="1"/>
  <c r="G46" i="2" s="1"/>
  <c r="G22" i="1"/>
  <c r="G22" i="2" s="1"/>
  <c r="G47" i="2" s="1"/>
  <c r="G23" i="1"/>
  <c r="G23" i="2" s="1"/>
  <c r="G48" i="2" s="1"/>
  <c r="G24" i="1"/>
  <c r="G24" i="2" s="1"/>
  <c r="G49" i="2" s="1"/>
  <c r="G25" i="1"/>
  <c r="G25" i="2" s="1"/>
  <c r="G50" i="2" s="1"/>
  <c r="G26" i="1"/>
  <c r="G26" i="2" s="1"/>
  <c r="G51" i="2" s="1"/>
  <c r="F18" i="1"/>
  <c r="F18" i="2" s="1"/>
  <c r="F43" i="2" s="1"/>
  <c r="F19" i="1"/>
  <c r="F19" i="2" s="1"/>
  <c r="F44" i="2" s="1"/>
  <c r="F20" i="1"/>
  <c r="F20" i="2" s="1"/>
  <c r="F45" i="2" s="1"/>
  <c r="F21" i="1"/>
  <c r="F21" i="2" s="1"/>
  <c r="F46" i="2" s="1"/>
  <c r="F22" i="1"/>
  <c r="F22" i="2" s="1"/>
  <c r="F47" i="2" s="1"/>
  <c r="F23" i="1"/>
  <c r="F23" i="2" s="1"/>
  <c r="F48" i="2" s="1"/>
  <c r="F24" i="1"/>
  <c r="F24" i="2" s="1"/>
  <c r="F49" i="2" s="1"/>
  <c r="F25" i="1"/>
  <c r="F25" i="2" s="1"/>
  <c r="F50" i="2" s="1"/>
  <c r="F26" i="1"/>
  <c r="F26" i="2" s="1"/>
  <c r="F51" i="2" s="1"/>
  <c r="E18" i="1"/>
  <c r="E18" i="2" s="1"/>
  <c r="E43" i="2" s="1"/>
  <c r="E19" i="1"/>
  <c r="E19" i="2" s="1"/>
  <c r="E44" i="2" s="1"/>
  <c r="E20" i="1"/>
  <c r="E20" i="2" s="1"/>
  <c r="E45" i="2" s="1"/>
  <c r="E21" i="1"/>
  <c r="E21" i="2" s="1"/>
  <c r="E46" i="2" s="1"/>
  <c r="E22" i="1"/>
  <c r="E22" i="2" s="1"/>
  <c r="E47" i="2" s="1"/>
  <c r="E23" i="1"/>
  <c r="E23" i="2" s="1"/>
  <c r="E48" i="2" s="1"/>
  <c r="E24" i="1"/>
  <c r="E24" i="2" s="1"/>
  <c r="E49" i="2" s="1"/>
  <c r="E25" i="1"/>
  <c r="E25" i="2" s="1"/>
  <c r="E50" i="2" s="1"/>
  <c r="E26" i="1"/>
  <c r="E26" i="2" s="1"/>
  <c r="E51" i="2" s="1"/>
  <c r="D18" i="1"/>
  <c r="D18" i="2" s="1"/>
  <c r="D43" i="2" s="1"/>
  <c r="D19" i="1"/>
  <c r="D19" i="2" s="1"/>
  <c r="D44" i="2" s="1"/>
  <c r="D20" i="1"/>
  <c r="D20" i="2" s="1"/>
  <c r="D45" i="2" s="1"/>
  <c r="D21" i="1"/>
  <c r="D21" i="2" s="1"/>
  <c r="D46" i="2" s="1"/>
  <c r="D22" i="1"/>
  <c r="D22" i="2" s="1"/>
  <c r="D47" i="2" s="1"/>
  <c r="D23" i="1"/>
  <c r="D23" i="2" s="1"/>
  <c r="D48" i="2" s="1"/>
  <c r="D24" i="1"/>
  <c r="D24" i="2" s="1"/>
  <c r="D49" i="2" s="1"/>
  <c r="D25" i="1"/>
  <c r="D25" i="2" s="1"/>
  <c r="D50" i="2" s="1"/>
  <c r="D26" i="1"/>
  <c r="D26" i="2" s="1"/>
  <c r="D51" i="2" s="1"/>
  <c r="C18" i="1"/>
  <c r="C19" i="1"/>
  <c r="C19" i="2" s="1"/>
  <c r="C44" i="2" s="1"/>
  <c r="C20" i="1"/>
  <c r="C21" i="1"/>
  <c r="C22" i="1"/>
  <c r="C23" i="1"/>
  <c r="C24" i="1"/>
  <c r="C25" i="1"/>
  <c r="C26" i="1"/>
  <c r="H18" i="2"/>
  <c r="H43" i="2" s="1"/>
  <c r="L18" i="2"/>
  <c r="L43" i="2" s="1"/>
  <c r="R5" i="1"/>
  <c r="R5" i="2" s="1"/>
  <c r="R30" i="2" s="1"/>
  <c r="R6" i="1"/>
  <c r="R6" i="2" s="1"/>
  <c r="R31" i="2" s="1"/>
  <c r="R7" i="1"/>
  <c r="R7" i="2" s="1"/>
  <c r="R32" i="2" s="1"/>
  <c r="R8" i="1"/>
  <c r="R8" i="2" s="1"/>
  <c r="R33" i="2" s="1"/>
  <c r="R9" i="1"/>
  <c r="R9" i="2" s="1"/>
  <c r="R34" i="2" s="1"/>
  <c r="R10" i="1"/>
  <c r="R10" i="2" s="1"/>
  <c r="R35" i="2" s="1"/>
  <c r="R11" i="1"/>
  <c r="R11" i="2" s="1"/>
  <c r="R36" i="2" s="1"/>
  <c r="R12" i="1"/>
  <c r="R12" i="2" s="1"/>
  <c r="R37" i="2" s="1"/>
  <c r="R13" i="1"/>
  <c r="R13" i="2" s="1"/>
  <c r="R38" i="2" s="1"/>
  <c r="Q5" i="1"/>
  <c r="Q5" i="2" s="1"/>
  <c r="Q30" i="2" s="1"/>
  <c r="Q6" i="1"/>
  <c r="Q6" i="2" s="1"/>
  <c r="Q31" i="2" s="1"/>
  <c r="Q7" i="1"/>
  <c r="Q7" i="2" s="1"/>
  <c r="Q32" i="2" s="1"/>
  <c r="Q8" i="1"/>
  <c r="Q8" i="2" s="1"/>
  <c r="Q33" i="2" s="1"/>
  <c r="Q9" i="1"/>
  <c r="Q9" i="2" s="1"/>
  <c r="Q34" i="2" s="1"/>
  <c r="Q10" i="1"/>
  <c r="Q10" i="2" s="1"/>
  <c r="Q35" i="2" s="1"/>
  <c r="Q11" i="1"/>
  <c r="Q11" i="2" s="1"/>
  <c r="Q36" i="2" s="1"/>
  <c r="Q12" i="1"/>
  <c r="Q12" i="2" s="1"/>
  <c r="Q37" i="2" s="1"/>
  <c r="Q13" i="1"/>
  <c r="Q13" i="2" s="1"/>
  <c r="Q38" i="2" s="1"/>
  <c r="P5" i="1"/>
  <c r="P5" i="2" s="1"/>
  <c r="P30" i="2" s="1"/>
  <c r="P6" i="1"/>
  <c r="P6" i="2" s="1"/>
  <c r="P31" i="2" s="1"/>
  <c r="P7" i="1"/>
  <c r="P7" i="2" s="1"/>
  <c r="P32" i="2" s="1"/>
  <c r="P8" i="1"/>
  <c r="P8" i="2" s="1"/>
  <c r="P33" i="2" s="1"/>
  <c r="P9" i="1"/>
  <c r="P9" i="2" s="1"/>
  <c r="P34" i="2" s="1"/>
  <c r="P10" i="1"/>
  <c r="P10" i="2" s="1"/>
  <c r="P35" i="2" s="1"/>
  <c r="P11" i="1"/>
  <c r="P11" i="2" s="1"/>
  <c r="P36" i="2" s="1"/>
  <c r="P12" i="1"/>
  <c r="P12" i="2" s="1"/>
  <c r="P37" i="2" s="1"/>
  <c r="P13" i="1"/>
  <c r="P13" i="2" s="1"/>
  <c r="P38" i="2" s="1"/>
  <c r="O5" i="1"/>
  <c r="O5" i="2" s="1"/>
  <c r="O30" i="2" s="1"/>
  <c r="O6" i="1"/>
  <c r="O6" i="2" s="1"/>
  <c r="O31" i="2" s="1"/>
  <c r="O7" i="1"/>
  <c r="O7" i="2" s="1"/>
  <c r="O32" i="2" s="1"/>
  <c r="O8" i="1"/>
  <c r="O8" i="2" s="1"/>
  <c r="O33" i="2" s="1"/>
  <c r="O9" i="1"/>
  <c r="O9" i="2" s="1"/>
  <c r="O34" i="2" s="1"/>
  <c r="O10" i="1"/>
  <c r="O10" i="2" s="1"/>
  <c r="O35" i="2" s="1"/>
  <c r="O11" i="1"/>
  <c r="O11" i="2" s="1"/>
  <c r="O36" i="2" s="1"/>
  <c r="O12" i="1"/>
  <c r="O12" i="2" s="1"/>
  <c r="O37" i="2" s="1"/>
  <c r="O13" i="1"/>
  <c r="O13" i="2" s="1"/>
  <c r="O38" i="2" s="1"/>
  <c r="N5" i="1"/>
  <c r="N5" i="2" s="1"/>
  <c r="N30" i="2" s="1"/>
  <c r="N6" i="1"/>
  <c r="N6" i="2" s="1"/>
  <c r="N31" i="2" s="1"/>
  <c r="N7" i="1"/>
  <c r="N7" i="2" s="1"/>
  <c r="N32" i="2" s="1"/>
  <c r="N8" i="1"/>
  <c r="N8" i="2" s="1"/>
  <c r="N33" i="2" s="1"/>
  <c r="N9" i="1"/>
  <c r="N9" i="2" s="1"/>
  <c r="N34" i="2" s="1"/>
  <c r="N10" i="1"/>
  <c r="N10" i="2" s="1"/>
  <c r="N35" i="2" s="1"/>
  <c r="N11" i="1"/>
  <c r="N11" i="2" s="1"/>
  <c r="N36" i="2" s="1"/>
  <c r="N12" i="1"/>
  <c r="N12" i="2" s="1"/>
  <c r="N37" i="2" s="1"/>
  <c r="N13" i="1"/>
  <c r="N13" i="2" s="1"/>
  <c r="N38" i="2" s="1"/>
  <c r="M5" i="1"/>
  <c r="M5" i="2" s="1"/>
  <c r="M30" i="2" s="1"/>
  <c r="M6" i="1"/>
  <c r="M6" i="2" s="1"/>
  <c r="M31" i="2" s="1"/>
  <c r="M7" i="1"/>
  <c r="M7" i="2" s="1"/>
  <c r="M32" i="2" s="1"/>
  <c r="M8" i="1"/>
  <c r="M8" i="2" s="1"/>
  <c r="M33" i="2" s="1"/>
  <c r="M9" i="1"/>
  <c r="M9" i="2" s="1"/>
  <c r="M34" i="2" s="1"/>
  <c r="M10" i="1"/>
  <c r="M10" i="2" s="1"/>
  <c r="M35" i="2" s="1"/>
  <c r="M11" i="1"/>
  <c r="M11" i="2" s="1"/>
  <c r="M36" i="2" s="1"/>
  <c r="M12" i="1"/>
  <c r="M12" i="2" s="1"/>
  <c r="M37" i="2" s="1"/>
  <c r="M13" i="1"/>
  <c r="M13" i="2" s="1"/>
  <c r="M38" i="2" s="1"/>
  <c r="L5" i="1"/>
  <c r="L5" i="2" s="1"/>
  <c r="L30" i="2" s="1"/>
  <c r="L6" i="1"/>
  <c r="L6" i="2" s="1"/>
  <c r="L31" i="2" s="1"/>
  <c r="L7" i="1"/>
  <c r="L7" i="2" s="1"/>
  <c r="L32" i="2" s="1"/>
  <c r="L8" i="1"/>
  <c r="L8" i="2" s="1"/>
  <c r="L33" i="2" s="1"/>
  <c r="L9" i="1"/>
  <c r="L9" i="2" s="1"/>
  <c r="L34" i="2" s="1"/>
  <c r="L10" i="1"/>
  <c r="L10" i="2" s="1"/>
  <c r="L35" i="2" s="1"/>
  <c r="L11" i="1"/>
  <c r="L11" i="2" s="1"/>
  <c r="L36" i="2" s="1"/>
  <c r="L12" i="1"/>
  <c r="L12" i="2" s="1"/>
  <c r="L37" i="2" s="1"/>
  <c r="L13" i="1"/>
  <c r="L13" i="2" s="1"/>
  <c r="L38" i="2" s="1"/>
  <c r="K5" i="1"/>
  <c r="K5" i="2" s="1"/>
  <c r="K30" i="2" s="1"/>
  <c r="K6" i="1"/>
  <c r="K6" i="2" s="1"/>
  <c r="K31" i="2" s="1"/>
  <c r="K7" i="1"/>
  <c r="K7" i="2" s="1"/>
  <c r="K32" i="2" s="1"/>
  <c r="K8" i="1"/>
  <c r="K8" i="2" s="1"/>
  <c r="K33" i="2" s="1"/>
  <c r="K9" i="1"/>
  <c r="K9" i="2" s="1"/>
  <c r="K34" i="2" s="1"/>
  <c r="K10" i="1"/>
  <c r="K10" i="2" s="1"/>
  <c r="K35" i="2" s="1"/>
  <c r="K11" i="1"/>
  <c r="K11" i="2" s="1"/>
  <c r="K36" i="2" s="1"/>
  <c r="K12" i="1"/>
  <c r="K12" i="2" s="1"/>
  <c r="K37" i="2" s="1"/>
  <c r="K13" i="1"/>
  <c r="K13" i="2" s="1"/>
  <c r="K38" i="2" s="1"/>
  <c r="J5" i="1"/>
  <c r="J5" i="2" s="1"/>
  <c r="J30" i="2" s="1"/>
  <c r="J6" i="1"/>
  <c r="J6" i="2" s="1"/>
  <c r="J31" i="2" s="1"/>
  <c r="J7" i="1"/>
  <c r="J7" i="2" s="1"/>
  <c r="J32" i="2" s="1"/>
  <c r="J8" i="1"/>
  <c r="J8" i="2" s="1"/>
  <c r="J33" i="2" s="1"/>
  <c r="J9" i="1"/>
  <c r="J9" i="2" s="1"/>
  <c r="J34" i="2" s="1"/>
  <c r="J10" i="1"/>
  <c r="J10" i="2" s="1"/>
  <c r="J35" i="2" s="1"/>
  <c r="J11" i="1"/>
  <c r="J11" i="2" s="1"/>
  <c r="J36" i="2" s="1"/>
  <c r="J12" i="1"/>
  <c r="J12" i="2" s="1"/>
  <c r="J37" i="2" s="1"/>
  <c r="J13" i="1"/>
  <c r="J13" i="2" s="1"/>
  <c r="J38" i="2" s="1"/>
  <c r="I5" i="1"/>
  <c r="I5" i="2" s="1"/>
  <c r="I30" i="2" s="1"/>
  <c r="I6" i="1"/>
  <c r="I6" i="2" s="1"/>
  <c r="I31" i="2" s="1"/>
  <c r="I7" i="1"/>
  <c r="I7" i="2" s="1"/>
  <c r="I32" i="2" s="1"/>
  <c r="I8" i="1"/>
  <c r="I8" i="2" s="1"/>
  <c r="I33" i="2" s="1"/>
  <c r="I9" i="1"/>
  <c r="I9" i="2" s="1"/>
  <c r="I34" i="2" s="1"/>
  <c r="I10" i="1"/>
  <c r="I10" i="2" s="1"/>
  <c r="I35" i="2" s="1"/>
  <c r="I11" i="1"/>
  <c r="I11" i="2" s="1"/>
  <c r="I36" i="2" s="1"/>
  <c r="I12" i="1"/>
  <c r="I12" i="2" s="1"/>
  <c r="I37" i="2" s="1"/>
  <c r="I13" i="1"/>
  <c r="I13" i="2" s="1"/>
  <c r="I38" i="2" s="1"/>
  <c r="H5" i="1"/>
  <c r="H5" i="2" s="1"/>
  <c r="H30" i="2" s="1"/>
  <c r="H6" i="1"/>
  <c r="H6" i="2" s="1"/>
  <c r="H31" i="2" s="1"/>
  <c r="H7" i="1"/>
  <c r="H7" i="2" s="1"/>
  <c r="H32" i="2" s="1"/>
  <c r="H8" i="1"/>
  <c r="H8" i="2" s="1"/>
  <c r="H33" i="2" s="1"/>
  <c r="H9" i="1"/>
  <c r="H9" i="2" s="1"/>
  <c r="H34" i="2" s="1"/>
  <c r="H10" i="1"/>
  <c r="H10" i="2" s="1"/>
  <c r="H35" i="2" s="1"/>
  <c r="H11" i="1"/>
  <c r="H11" i="2" s="1"/>
  <c r="H36" i="2" s="1"/>
  <c r="H12" i="1"/>
  <c r="H12" i="2" s="1"/>
  <c r="H37" i="2" s="1"/>
  <c r="H13" i="1"/>
  <c r="H13" i="2" s="1"/>
  <c r="H38" i="2" s="1"/>
  <c r="G5" i="1"/>
  <c r="G5" i="2" s="1"/>
  <c r="G30" i="2" s="1"/>
  <c r="G6" i="1"/>
  <c r="G6" i="2" s="1"/>
  <c r="G31" i="2" s="1"/>
  <c r="G7" i="1"/>
  <c r="G7" i="2" s="1"/>
  <c r="G32" i="2" s="1"/>
  <c r="G8" i="1"/>
  <c r="G8" i="2" s="1"/>
  <c r="G33" i="2" s="1"/>
  <c r="G9" i="1"/>
  <c r="G9" i="2" s="1"/>
  <c r="G34" i="2" s="1"/>
  <c r="G10" i="1"/>
  <c r="G10" i="2" s="1"/>
  <c r="G35" i="2" s="1"/>
  <c r="G11" i="1"/>
  <c r="G11" i="2" s="1"/>
  <c r="G36" i="2" s="1"/>
  <c r="G12" i="1"/>
  <c r="G12" i="2" s="1"/>
  <c r="G37" i="2" s="1"/>
  <c r="G13" i="1"/>
  <c r="G13" i="2" s="1"/>
  <c r="G38" i="2" s="1"/>
  <c r="F5" i="1"/>
  <c r="F6" i="1"/>
  <c r="F6" i="2" s="1"/>
  <c r="F31" i="2" s="1"/>
  <c r="F7" i="1"/>
  <c r="F7" i="2" s="1"/>
  <c r="F32" i="2" s="1"/>
  <c r="F8" i="1"/>
  <c r="F8" i="2" s="1"/>
  <c r="F33" i="2" s="1"/>
  <c r="F9" i="1"/>
  <c r="F9" i="2" s="1"/>
  <c r="F34" i="2" s="1"/>
  <c r="F10" i="1"/>
  <c r="F10" i="2" s="1"/>
  <c r="F35" i="2" s="1"/>
  <c r="F11" i="1"/>
  <c r="F11" i="2" s="1"/>
  <c r="F36" i="2" s="1"/>
  <c r="F12" i="1"/>
  <c r="F12" i="2" s="1"/>
  <c r="F37" i="2" s="1"/>
  <c r="F13" i="1"/>
  <c r="F13" i="2" s="1"/>
  <c r="F38" i="2" s="1"/>
  <c r="E5" i="1"/>
  <c r="E5" i="2" s="1"/>
  <c r="E30" i="2" s="1"/>
  <c r="E6" i="1"/>
  <c r="E6" i="2" s="1"/>
  <c r="E31" i="2" s="1"/>
  <c r="E7" i="1"/>
  <c r="E7" i="2" s="1"/>
  <c r="E32" i="2" s="1"/>
  <c r="E8" i="1"/>
  <c r="E8" i="2" s="1"/>
  <c r="E33" i="2" s="1"/>
  <c r="E9" i="1"/>
  <c r="E9" i="2" s="1"/>
  <c r="E34" i="2" s="1"/>
  <c r="E10" i="1"/>
  <c r="E10" i="2" s="1"/>
  <c r="E35" i="2" s="1"/>
  <c r="E11" i="1"/>
  <c r="E11" i="2" s="1"/>
  <c r="E36" i="2" s="1"/>
  <c r="E12" i="1"/>
  <c r="E12" i="2" s="1"/>
  <c r="E37" i="2" s="1"/>
  <c r="E13" i="1"/>
  <c r="E13" i="2" s="1"/>
  <c r="E38" i="2" s="1"/>
  <c r="D5" i="1"/>
  <c r="D5" i="2" s="1"/>
  <c r="D30" i="2" s="1"/>
  <c r="D6" i="1"/>
  <c r="D6" i="2" s="1"/>
  <c r="D31" i="2" s="1"/>
  <c r="D7" i="1"/>
  <c r="D7" i="2" s="1"/>
  <c r="D32" i="2" s="1"/>
  <c r="D8" i="1"/>
  <c r="D8" i="2" s="1"/>
  <c r="D33" i="2" s="1"/>
  <c r="D9" i="1"/>
  <c r="D9" i="2" s="1"/>
  <c r="D34" i="2" s="1"/>
  <c r="D10" i="1"/>
  <c r="D10" i="2" s="1"/>
  <c r="D35" i="2" s="1"/>
  <c r="D11" i="1"/>
  <c r="D11" i="2" s="1"/>
  <c r="D36" i="2" s="1"/>
  <c r="D12" i="1"/>
  <c r="D12" i="2" s="1"/>
  <c r="D37" i="2" s="1"/>
  <c r="D13" i="1"/>
  <c r="D13" i="2" s="1"/>
  <c r="D38" i="2" s="1"/>
  <c r="F5" i="2"/>
  <c r="F30" i="2" s="1"/>
  <c r="C5" i="1"/>
  <c r="C6" i="1"/>
  <c r="C7" i="1"/>
  <c r="C8" i="1"/>
  <c r="C9" i="1"/>
  <c r="C10" i="1"/>
  <c r="C11" i="1"/>
  <c r="C12" i="1"/>
  <c r="C13" i="1"/>
  <c r="U18" i="1" l="1"/>
  <c r="U18" i="2" s="1"/>
  <c r="T18" i="1"/>
  <c r="T18" i="2" s="1"/>
  <c r="T19" i="1"/>
  <c r="T19" i="2" s="1"/>
  <c r="U19" i="1"/>
  <c r="U19" i="2" s="1"/>
  <c r="U20" i="1"/>
  <c r="U20" i="2" s="1"/>
  <c r="T20" i="1"/>
  <c r="T20" i="2" s="1"/>
  <c r="U21" i="1"/>
  <c r="U21" i="2" s="1"/>
  <c r="T21" i="1"/>
  <c r="T21" i="2" s="1"/>
  <c r="U22" i="1"/>
  <c r="U22" i="2" s="1"/>
  <c r="T22" i="1"/>
  <c r="T22" i="2" s="1"/>
  <c r="T23" i="1"/>
  <c r="T23" i="2" s="1"/>
  <c r="U23" i="1"/>
  <c r="U23" i="2" s="1"/>
  <c r="U24" i="1"/>
  <c r="U24" i="2" s="1"/>
  <c r="T24" i="1"/>
  <c r="T24" i="2" s="1"/>
  <c r="T25" i="1"/>
  <c r="T25" i="2" s="1"/>
  <c r="U25" i="1"/>
  <c r="U25" i="2" s="1"/>
  <c r="U26" i="1"/>
  <c r="U26" i="2" s="1"/>
  <c r="T26" i="1"/>
  <c r="T26" i="2" s="1"/>
  <c r="S19" i="1"/>
  <c r="S19" i="2" s="1"/>
  <c r="S21" i="1"/>
  <c r="S21" i="2" s="1"/>
  <c r="C21" i="2"/>
  <c r="C46" i="2" s="1"/>
  <c r="S22" i="1"/>
  <c r="S22" i="2" s="1"/>
  <c r="C22" i="2"/>
  <c r="C47" i="2" s="1"/>
  <c r="S23" i="1"/>
  <c r="S23" i="2" s="1"/>
  <c r="C23" i="2"/>
  <c r="C48" i="2" s="1"/>
  <c r="C18" i="2"/>
  <c r="C43" i="2" s="1"/>
  <c r="S18" i="1"/>
  <c r="S18" i="2" s="1"/>
  <c r="C20" i="2"/>
  <c r="C45" i="2" s="1"/>
  <c r="S20" i="1"/>
  <c r="S20" i="2" s="1"/>
  <c r="C24" i="2"/>
  <c r="C49" i="2" s="1"/>
  <c r="S24" i="1"/>
  <c r="S24" i="2" s="1"/>
  <c r="C25" i="2"/>
  <c r="C50" i="2" s="1"/>
  <c r="S25" i="1"/>
  <c r="S25" i="2" s="1"/>
  <c r="C26" i="2"/>
  <c r="C51" i="2" s="1"/>
  <c r="S26" i="1"/>
  <c r="S26" i="2" s="1"/>
  <c r="S5" i="1"/>
  <c r="S5" i="2" s="1"/>
  <c r="U5" i="1"/>
  <c r="U5" i="2" s="1"/>
  <c r="T5" i="1"/>
  <c r="T5" i="2" s="1"/>
  <c r="S6" i="1"/>
  <c r="S6" i="2" s="1"/>
  <c r="U6" i="1"/>
  <c r="U6" i="2" s="1"/>
  <c r="T6" i="1"/>
  <c r="T6" i="2" s="1"/>
  <c r="S7" i="1"/>
  <c r="S7" i="2" s="1"/>
  <c r="U7" i="1"/>
  <c r="U7" i="2" s="1"/>
  <c r="T7" i="1"/>
  <c r="T7" i="2" s="1"/>
  <c r="S8" i="1"/>
  <c r="S8" i="2" s="1"/>
  <c r="U8" i="1"/>
  <c r="U8" i="2" s="1"/>
  <c r="T8" i="1"/>
  <c r="T8" i="2" s="1"/>
  <c r="S9" i="1"/>
  <c r="S9" i="2" s="1"/>
  <c r="U9" i="1"/>
  <c r="U9" i="2" s="1"/>
  <c r="T9" i="1"/>
  <c r="T9" i="2" s="1"/>
  <c r="S10" i="1"/>
  <c r="S10" i="2" s="1"/>
  <c r="U10" i="1"/>
  <c r="U10" i="2" s="1"/>
  <c r="T10" i="1"/>
  <c r="T10" i="2" s="1"/>
  <c r="S11" i="1"/>
  <c r="S11" i="2" s="1"/>
  <c r="U11" i="1"/>
  <c r="U11" i="2" s="1"/>
  <c r="T11" i="1"/>
  <c r="T11" i="2" s="1"/>
  <c r="S12" i="1"/>
  <c r="S12" i="2" s="1"/>
  <c r="U12" i="1"/>
  <c r="U12" i="2" s="1"/>
  <c r="T12" i="1"/>
  <c r="T12" i="2" s="1"/>
  <c r="S13" i="1"/>
  <c r="S13" i="2" s="1"/>
  <c r="U13" i="1"/>
  <c r="U13" i="2" s="1"/>
  <c r="T13" i="1"/>
  <c r="T13" i="2" s="1"/>
  <c r="C7" i="2" l="1"/>
  <c r="C32" i="2" s="1"/>
  <c r="C13" i="2"/>
  <c r="C38" i="2" s="1"/>
  <c r="C8" i="2"/>
  <c r="C33" i="2" s="1"/>
  <c r="C9" i="2"/>
  <c r="C34" i="2" s="1"/>
  <c r="C10" i="2"/>
  <c r="C35" i="2" s="1"/>
  <c r="C11" i="2"/>
  <c r="C36" i="2" s="1"/>
  <c r="C12" i="2"/>
  <c r="C37" i="2" s="1"/>
  <c r="C6" i="2"/>
  <c r="C31" i="2" s="1"/>
  <c r="C5" i="2"/>
  <c r="C30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<sst xmlns="http://schemas.openxmlformats.org/spreadsheetml/2006/main" count="2672" uniqueCount="681">
  <si>
    <t>Building Type</t>
  </si>
  <si>
    <t xml:space="preserve">Tech ID </t>
  </si>
  <si>
    <t>NE-Chiller-PumpCtrl-Full-Std</t>
  </si>
  <si>
    <t>ECC</t>
  </si>
  <si>
    <t>Ese</t>
  </si>
  <si>
    <t>Eun</t>
  </si>
  <si>
    <t>Hsp</t>
  </si>
  <si>
    <t>Nrs</t>
  </si>
  <si>
    <t>OfL</t>
  </si>
  <si>
    <t>OfS</t>
  </si>
  <si>
    <t>Rt3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</si>
  <si>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</si>
  <si>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</si>
  <si>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</si>
  <si>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</si>
  <si>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</si>
  <si>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</si>
  <si>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</si>
  <si>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</si>
  <si>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</si>
  <si>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CZ10</t>
  </si>
  <si>
    <t>CZ11</t>
  </si>
  <si>
    <t>CZ12</t>
  </si>
  <si>
    <t>CZ13</t>
  </si>
  <si>
    <t>CZ14</t>
  </si>
  <si>
    <t>CZ15</t>
  </si>
  <si>
    <t>CZ16</t>
  </si>
  <si>
    <t>File Name</t>
  </si>
  <si>
    <t>BldgLoc</t>
  </si>
  <si>
    <t>CHW Pump Power (Constant)</t>
  </si>
  <si>
    <t>CW Pump Power (Constant)</t>
  </si>
  <si>
    <t>CHW Pump Power (Variable)</t>
  </si>
  <si>
    <t>CW Pump Power (Variable)</t>
  </si>
  <si>
    <t>CW Design Flow Rate (constant) (m3/s)</t>
  </si>
  <si>
    <t>Electricity/Heating</t>
  </si>
  <si>
    <t>Electricity/Cooling</t>
  </si>
  <si>
    <t>Electricity/Interior Lighting</t>
  </si>
  <si>
    <t>Electricity/Exterior Lighting</t>
  </si>
  <si>
    <t>Electricity/Interior Equipment</t>
  </si>
  <si>
    <t>Electricity/Exterior Equipment</t>
  </si>
  <si>
    <t>Electricity/Fans</t>
  </si>
  <si>
    <t>Electricity/Pumps</t>
  </si>
  <si>
    <t>Electricity/Heat Rejection</t>
  </si>
  <si>
    <t>Electricity/Humidification</t>
  </si>
  <si>
    <t>Electricity/Heat Recovery</t>
  </si>
  <si>
    <t>Electricity/Water Systems</t>
  </si>
  <si>
    <t>Electricity/Refrigeration</t>
  </si>
  <si>
    <t>Electricity/Generators</t>
  </si>
  <si>
    <t>Natural Gas/Heating</t>
  </si>
  <si>
    <t>Natural Gas/Cooling</t>
  </si>
  <si>
    <t>Natural Gas/Interior Lighting</t>
  </si>
  <si>
    <t>Natural Gas/Exterior Lighting</t>
  </si>
  <si>
    <t>Natural Gas/Interior Equipment</t>
  </si>
  <si>
    <t>Natural Gas/Exterior Equipment</t>
  </si>
  <si>
    <t>Natural Gas/Fans</t>
  </si>
  <si>
    <t>Natural Gas/Pumps</t>
  </si>
  <si>
    <t>Natural Gas/Heat Rejection</t>
  </si>
  <si>
    <t>Natural Gas/Humidification</t>
  </si>
  <si>
    <t>Natural Gas/Heat Recovery</t>
  </si>
  <si>
    <t>Natural Gas/Water Systems</t>
  </si>
  <si>
    <t>Natural Gas/Refrigeration</t>
  </si>
  <si>
    <t>Natural Gas/Generators</t>
  </si>
  <si>
    <t>Electricity:Facility [J](Hourly)</t>
  </si>
  <si>
    <t>runs/CZ16/Rt3&amp;0&amp;cPVVE&amp;Ex&amp;Chiller__PumpCtrl/NE-Chiller-PumpCtrl-Full-Std/instance-out.sql</t>
  </si>
  <si>
    <t>runs/CZ16/Rt3&amp;0&amp;cPVVE&amp;Ex&amp;Chiller__PumpCtrl/NE-Chiller-CHWPumpCtrl-Full-Msr/instance-out.sql</t>
  </si>
  <si>
    <t>runs/CZ16/OfS&amp;0&amp;cPVVE&amp;Ex&amp;Chiller__PumpCtrl/NE-Chiller-CHWPumpCtrl-Full-Msr/instance-out.sql</t>
  </si>
  <si>
    <t>runs/CZ16/Nrs&amp;0&amp;cPVVE&amp;Ex&amp;Chiller__PumpCtrl/NE-Chiller-CHWPumpCtrl-Full-Msr/instance-out.sql</t>
  </si>
  <si>
    <t>runs/CZ16/OfL&amp;0&amp;cPVVE&amp;Ex&amp;Chiller__PumpCtrl/NE-Chiller-CHWPumpCtrl-Full-Msr/instance-out.sql</t>
  </si>
  <si>
    <t>runs/CZ16/OfS&amp;0&amp;cPVVE&amp;Ex&amp;Chiller__PumpCtrl/NE-Chiller-PumpCtrl-Full-Std/instance-out.sql</t>
  </si>
  <si>
    <t>runs/CZ16/OfL&amp;0&amp;cPVVE&amp;Ex&amp;Chiller__PumpCtrl/NE-Chiller-PumpCtrl-Full-Std/instance-out.sql</t>
  </si>
  <si>
    <t>runs/CZ16/Nrs&amp;0&amp;cPVVE&amp;Ex&amp;Chiller__PumpCtrl/NE-Chiller-PumpCtrl-Full-Std/instance-out.sql</t>
  </si>
  <si>
    <t>runs/CZ16/Hsp&amp;0&amp;cPVVE&amp;Ex&amp;Chiller__PumpCtrl/NE-Chiller-PumpCtrl-Full-Std/instance-out.sql</t>
  </si>
  <si>
    <t>runs/CZ16/Hsp&amp;0&amp;cPVVE&amp;Ex&amp;Chiller__PumpCtrl/NE-Chiller-CHWPumpCtrl-Full-Msr/instance-out.sql</t>
  </si>
  <si>
    <t>runs/CZ16/EUn&amp;0&amp;cPVVE&amp;Ex&amp;Chiller__PumpCtrl/NE-Chiller-CHWPumpCtrl-Full-Msr/instance-out.sql</t>
  </si>
  <si>
    <t>runs/CZ16/ESe&amp;0&amp;cPVVE&amp;Ex&amp;Chiller__PumpCtrl/NE-Chiller-CHWPumpCtrl-Full-Msr/instance-out.sql</t>
  </si>
  <si>
    <t>runs/CZ16/ESe&amp;0&amp;cPVVE&amp;Ex&amp;Chiller__PumpCtrl/NE-Chiller-PumpCtrl-Full-Std/instance-out.sql</t>
  </si>
  <si>
    <t>runs/CZ16/ECC&amp;0&amp;cPVVE&amp;Ex&amp;Chiller__PumpCtrl/NE-Chiller-CHWPumpCtrl-Full-Msr/instance-out.sql</t>
  </si>
  <si>
    <t>runs/CZ15/Rt3&amp;0&amp;cPVVE&amp;Ex&amp;Chiller__PumpCtrl/NE-Chiller-PumpCtrl-Full-Std/instance-out.sql</t>
  </si>
  <si>
    <t>runs/CZ15/OfS&amp;0&amp;cPVVE&amp;Ex&amp;Chiller__PumpCtrl/NE-Chiller-CHWPumpCtrl-Full-Msr/instance-out.sql</t>
  </si>
  <si>
    <t>runs/CZ16/EUn&amp;0&amp;cPVVE&amp;Ex&amp;Chiller__PumpCtrl/NE-Chiller-PumpCtrl-Full-Std/instance-out.sql</t>
  </si>
  <si>
    <t>runs/CZ15/Rt3&amp;0&amp;cPVVE&amp;Ex&amp;Chiller__PumpCtrl/NE-Chiller-CHWPumpCtrl-Full-Msr/instance-out.sql</t>
  </si>
  <si>
    <t>runs/CZ16/ECC&amp;0&amp;cPVVE&amp;Ex&amp;Chiller__PumpCtrl/NE-Chiller-PumpCtrl-Full-Std/instance-out.sql</t>
  </si>
  <si>
    <t>runs/CZ15/OfL&amp;0&amp;cPVVE&amp;Ex&amp;Chiller__PumpCtrl/NE-Chiller-CHWPumpCtrl-Full-Msr/instance-out.sql</t>
  </si>
  <si>
    <t>runs/CZ15/OfS&amp;0&amp;cPVVE&amp;Ex&amp;Chiller__PumpCtrl/NE-Chiller-PumpCtrl-Full-Std/instance-out.sql</t>
  </si>
  <si>
    <t>runs/CZ15/OfL&amp;0&amp;cPVVE&amp;Ex&amp;Chiller__PumpCtrl/NE-Chiller-PumpCtrl-Full-Std/instance-out.sql</t>
  </si>
  <si>
    <t>runs/CZ15/Nrs&amp;0&amp;cPVVE&amp;Ex&amp;Chiller__PumpCtrl/NE-Chiller-CHWPumpCtrl-Full-Msr/instance-out.sql</t>
  </si>
  <si>
    <t>runs/CZ15/Nrs&amp;0&amp;cPVVE&amp;Ex&amp;Chiller__PumpCtrl/NE-Chiller-PumpCtrl-Full-Std/instance-out.sql</t>
  </si>
  <si>
    <t>runs/CZ15/Hsp&amp;0&amp;cPVVE&amp;Ex&amp;Chiller__PumpCtrl/NE-Chiller-PumpCtrl-Full-Std/instance-out.sql</t>
  </si>
  <si>
    <t>runs/CZ15/ESe&amp;0&amp;cPVVE&amp;Ex&amp;Chiller__PumpCtrl/NE-Chiller-PumpCtrl-Full-Std/instance-out.sql</t>
  </si>
  <si>
    <t>runs/CZ15/ESe&amp;0&amp;cPVVE&amp;Ex&amp;Chiller__PumpCtrl/NE-Chiller-CHWPumpCtrl-Full-Msr/instance-out.sql</t>
  </si>
  <si>
    <t>runs/CZ15/Hsp&amp;0&amp;cPVVE&amp;Ex&amp;Chiller__PumpCtrl/NE-Chiller-CHWPumpCtrl-Full-Msr/instance-out.sql</t>
  </si>
  <si>
    <t>runs/CZ15/ECC&amp;0&amp;cPVVE&amp;Ex&amp;Chiller__PumpCtrl/NE-Chiller-CHWPumpCtrl-Full-Msr/instance-out.sql</t>
  </si>
  <si>
    <t>runs/CZ15/ECC&amp;0&amp;cPVVE&amp;Ex&amp;Chiller__PumpCtrl/NE-Chiller-PumpCtrl-Full-Std/instance-out.sql</t>
  </si>
  <si>
    <t>runs/CZ14/Rt3&amp;0&amp;cPVVE&amp;Ex&amp;Chiller__PumpCtrl/NE-Chiller-CHWPumpCtrl-Full-Msr/instance-out.sql</t>
  </si>
  <si>
    <t>runs/CZ15/EUn&amp;0&amp;cPVVE&amp;Ex&amp;Chiller__PumpCtrl/NE-Chiller-CHWPumpCtrl-Full-Msr/instance-out.sql</t>
  </si>
  <si>
    <t>runs/CZ14/Rt3&amp;0&amp;cPVVE&amp;Ex&amp;Chiller__PumpCtrl/NE-Chiller-PumpCtrl-Full-Std/instance-out.sql</t>
  </si>
  <si>
    <t>runs/CZ15/EUn&amp;0&amp;cPVVE&amp;Ex&amp;Chiller__PumpCtrl/NE-Chiller-PumpCtrl-Full-Std/instance-out.sql</t>
  </si>
  <si>
    <t>runs/CZ14/OfS&amp;0&amp;cPVVE&amp;Ex&amp;Chiller__PumpCtrl/NE-Chiller-CHWPumpCtrl-Full-Msr/instance-out.sql</t>
  </si>
  <si>
    <t>runs/CZ14/OfL&amp;0&amp;cPVVE&amp;Ex&amp;Chiller__PumpCtrl/NE-Chiller-CHWPumpCtrl-Full-Msr/instance-out.sql</t>
  </si>
  <si>
    <t>runs/CZ14/OfS&amp;0&amp;cPVVE&amp;Ex&amp;Chiller__PumpCtrl/NE-Chiller-PumpCtrl-Full-Std/instance-out.sql</t>
  </si>
  <si>
    <t>runs/CZ14/Nrs&amp;0&amp;cPVVE&amp;Ex&amp;Chiller__PumpCtrl/NE-Chiller-CHWPumpCtrl-Full-Msr/instance-out.sql</t>
  </si>
  <si>
    <t>runs/CZ14/Nrs&amp;0&amp;cPVVE&amp;Ex&amp;Chiller__PumpCtrl/NE-Chiller-PumpCtrl-Full-Std/instance-out.sql</t>
  </si>
  <si>
    <t>runs/CZ14/OfL&amp;0&amp;cPVVE&amp;Ex&amp;Chiller__PumpCtrl/NE-Chiller-PumpCtrl-Full-Std/instance-out.sql</t>
  </si>
  <si>
    <t>runs/CZ14/Hsp&amp;0&amp;cPVVE&amp;Ex&amp;Chiller__PumpCtrl/NE-Chiller-PumpCtrl-Full-Std/instance-out.sql</t>
  </si>
  <si>
    <t>runs/CZ14/ECC&amp;0&amp;cPVVE&amp;Ex&amp;Chiller__PumpCtrl/NE-Chiller-CHWPumpCtrl-Full-Msr/instance-out.sql</t>
  </si>
  <si>
    <t>runs/CZ14/EUn&amp;0&amp;cPVVE&amp;Ex&amp;Chiller__PumpCtrl/NE-Chiller-PumpCtrl-Full-Std/instance-out.sql</t>
  </si>
  <si>
    <t>runs/CZ14/ESe&amp;0&amp;cPVVE&amp;Ex&amp;Chiller__PumpCtrl/NE-Chiller-CHWPumpCtrl-Full-Msr/instance-out.sql</t>
  </si>
  <si>
    <t>runs/CZ14/Hsp&amp;0&amp;cPVVE&amp;Ex&amp;Chiller__PumpCtrl/NE-Chiller-CHWPumpCtrl-Full-Msr/instance-out.sql</t>
  </si>
  <si>
    <t>runs/CZ14/ESe&amp;0&amp;cPVVE&amp;Ex&amp;Chiller__PumpCtrl/NE-Chiller-PumpCtrl-Full-Std/instance-out.sql</t>
  </si>
  <si>
    <t>runs/CZ14/EUn&amp;0&amp;cPVVE&amp;Ex&amp;Chiller__PumpCtrl/NE-Chiller-CHWPumpCtrl-Full-Msr/instance-out.sql</t>
  </si>
  <si>
    <t>runs/CZ14/ECC&amp;0&amp;cPVVE&amp;Ex&amp;Chiller__PumpCtrl/NE-Chiller-PumpCtrl-Full-Std/instance-out.sql</t>
  </si>
  <si>
    <t>runs/CZ13/Rt3&amp;0&amp;cPVVE&amp;Ex&amp;Chiller__PumpCtrl/NE-Chiller-CHWPumpCtrl-Full-Msr/instance-out.sql</t>
  </si>
  <si>
    <t>runs/CZ13/OfS&amp;0&amp;cPVVE&amp;Ex&amp;Chiller__PumpCtrl/NE-Chiller-PumpCtrl-Full-Std/instance-out.sql</t>
  </si>
  <si>
    <t>runs/CZ13/OfS&amp;0&amp;cPVVE&amp;Ex&amp;Chiller__PumpCtrl/NE-Chiller-CHWPumpCtrl-Full-Msr/instance-out.sql</t>
  </si>
  <si>
    <t>runs/CZ13/Nrs&amp;0&amp;cPVVE&amp;Ex&amp;Chiller__PumpCtrl/NE-Chiller-CHWPumpCtrl-Full-Msr/instance-out.sql</t>
  </si>
  <si>
    <t>runs/CZ13/Rt3&amp;0&amp;cPVVE&amp;Ex&amp;Chiller__PumpCtrl/NE-Chiller-PumpCtrl-Full-Std/instance-out.sql</t>
  </si>
  <si>
    <t>runs/CZ13/OfL&amp;0&amp;cPVVE&amp;Ex&amp;Chiller__PumpCtrl/NE-Chiller-CHWPumpCtrl-Full-Msr/instance-out.sql</t>
  </si>
  <si>
    <t>runs/CZ13/OfL&amp;0&amp;cPVVE&amp;Ex&amp;Chiller__PumpCtrl/NE-Chiller-PumpCtrl-Full-Std/instance-out.sql</t>
  </si>
  <si>
    <t>runs/CZ13/Nrs&amp;0&amp;cPVVE&amp;Ex&amp;Chiller__PumpCtrl/NE-Chiller-PumpCtrl-Full-Std/instance-out.sql</t>
  </si>
  <si>
    <t>runs/CZ13/Hsp&amp;0&amp;cPVVE&amp;Ex&amp;Chiller__PumpCtrl/NE-Chiller-PumpCtrl-Full-Std/instance-out.sql</t>
  </si>
  <si>
    <t>runs/CZ13/Hsp&amp;0&amp;cPVVE&amp;Ex&amp;Chiller__PumpCtrl/NE-Chiller-CHWPumpCtrl-Full-Msr/instance-out.sql</t>
  </si>
  <si>
    <t>runs/CZ13/EUn&amp;0&amp;cPVVE&amp;Ex&amp;Chiller__PumpCtrl/NE-Chiller-CHWPumpCtrl-Full-Msr/instance-out.sql</t>
  </si>
  <si>
    <t>runs/CZ13/ESe&amp;0&amp;cPVVE&amp;Ex&amp;Chiller__PumpCtrl/NE-Chiller-CHWPumpCtrl-Full-Msr/instance-out.sql</t>
  </si>
  <si>
    <t>runs/CZ13/EUn&amp;0&amp;cPVVE&amp;Ex&amp;Chiller__PumpCtrl/NE-Chiller-PumpCtrl-Full-Std/instance-out.sql</t>
  </si>
  <si>
    <t>runs/CZ13/ECC&amp;0&amp;cPVVE&amp;Ex&amp;Chiller__PumpCtrl/NE-Chiller-PumpCtrl-Full-Std/instance-out.sql</t>
  </si>
  <si>
    <t>runs/CZ12/Rt3&amp;0&amp;cPVVE&amp;Ex&amp;Chiller__PumpCtrl/NE-Chiller-PumpCtrl-Full-Std/instance-out.sql</t>
  </si>
  <si>
    <t>runs/CZ12/OfS&amp;0&amp;cPVVE&amp;Ex&amp;Chiller__PumpCtrl/NE-Chiller-CHWPumpCtrl-Full-Msr/instance-out.sql</t>
  </si>
  <si>
    <t>runs/CZ13/ESe&amp;0&amp;cPVVE&amp;Ex&amp;Chiller__PumpCtrl/NE-Chiller-PumpCtrl-Full-Std/instance-out.sql</t>
  </si>
  <si>
    <t>runs/CZ12/Rt3&amp;0&amp;cPVVE&amp;Ex&amp;Chiller__PumpCtrl/NE-Chiller-CHWPumpCtrl-Full-Msr/instance-out.sql</t>
  </si>
  <si>
    <t>runs/CZ13/ECC&amp;0&amp;cPVVE&amp;Ex&amp;Chiller__PumpCtrl/NE-Chiller-CHWPumpCtrl-Full-Msr/instance-out.sql</t>
  </si>
  <si>
    <t>runs/CZ12/OfS&amp;0&amp;cPVVE&amp;Ex&amp;Chiller__PumpCtrl/NE-Chiller-PumpCtrl-Full-Std/instance-out.sql</t>
  </si>
  <si>
    <t>runs/CZ12/OfL&amp;0&amp;cPVVE&amp;Ex&amp;Chiller__PumpCtrl/NE-Chiller-PumpCtrl-Full-Std/instance-out.sql</t>
  </si>
  <si>
    <t>runs/CZ12/OfL&amp;0&amp;cPVVE&amp;Ex&amp;Chiller__PumpCtrl/NE-Chiller-CHWPumpCtrl-Full-Msr/instance-out.sql</t>
  </si>
  <si>
    <t>runs/CZ12/Nrs&amp;0&amp;cPVVE&amp;Ex&amp;Chiller__PumpCtrl/NE-Chiller-CHWPumpCtrl-Full-Msr/instance-out.sql</t>
  </si>
  <si>
    <t>runs/CZ12/Nrs&amp;0&amp;cPVVE&amp;Ex&amp;Chiller__PumpCtrl/NE-Chiller-PumpCtrl-Full-Std/instance-out.sql</t>
  </si>
  <si>
    <t>runs/CZ12/Hsp&amp;0&amp;cPVVE&amp;Ex&amp;Chiller__PumpCtrl/NE-Chiller-CHWPumpCtrl-Full-Msr/instance-out.sql</t>
  </si>
  <si>
    <t>runs/CZ12/Hsp&amp;0&amp;cPVVE&amp;Ex&amp;Chiller__PumpCtrl/NE-Chiller-PumpCtrl-Full-Std/instance-out.sql</t>
  </si>
  <si>
    <t>runs/CZ12/ESe&amp;0&amp;cPVVE&amp;Ex&amp;Chiller__PumpCtrl/NE-Chiller-CHWPumpCtrl-Full-Msr/instance-out.sql</t>
  </si>
  <si>
    <t>runs/CZ12/ESe&amp;0&amp;cPVVE&amp;Ex&amp;Chiller__PumpCtrl/NE-Chiller-PumpCtrl-Full-Std/instance-out.sql</t>
  </si>
  <si>
    <t>runs/CZ12/EUn&amp;0&amp;cPVVE&amp;Ex&amp;Chiller__PumpCtrl/NE-Chiller-CHWPumpCtrl-Full-Msr/instance-out.sql</t>
  </si>
  <si>
    <t>runs/CZ12/EUn&amp;0&amp;cPVVE&amp;Ex&amp;Chiller__PumpCtrl/NE-Chiller-PumpCtrl-Full-Std/instance-out.sql</t>
  </si>
  <si>
    <t>runs/CZ12/ECC&amp;0&amp;cPVVE&amp;Ex&amp;Chiller__PumpCtrl/NE-Chiller-CHWPumpCtrl-Full-Msr/instance-out.sql</t>
  </si>
  <si>
    <t>runs/CZ12/ECC&amp;0&amp;cPVVE&amp;Ex&amp;Chiller__PumpCtrl/NE-Chiller-PumpCtrl-Full-Std/instance-out.sql</t>
  </si>
  <si>
    <t>runs/CZ11/Rt3&amp;0&amp;cPVVE&amp;Ex&amp;Chiller__PumpCtrl/NE-Chiller-PumpCtrl-Full-Std/instance-out.sql</t>
  </si>
  <si>
    <t>runs/CZ11/Rt3&amp;0&amp;cPVVE&amp;Ex&amp;Chiller__PumpCtrl/NE-Chiller-CHWPumpCtrl-Full-Msr/instance-out.sql</t>
  </si>
  <si>
    <t>runs/CZ11/OfS&amp;0&amp;cPVVE&amp;Ex&amp;Chiller__PumpCtrl/NE-Chiller-CHWPumpCtrl-Full-Msr/instance-out.sql</t>
  </si>
  <si>
    <t>runs/CZ11/OfL&amp;0&amp;cPVVE&amp;Ex&amp;Chiller__PumpCtrl/NE-Chiller-CHWPumpCtrl-Full-Msr/instance-out.sql</t>
  </si>
  <si>
    <t>runs/CZ11/OfS&amp;0&amp;cPVVE&amp;Ex&amp;Chiller__PumpCtrl/NE-Chiller-PumpCtrl-Full-Std/instance-out.sql</t>
  </si>
  <si>
    <t>runs/CZ11/OfL&amp;0&amp;cPVVE&amp;Ex&amp;Chiller__PumpCtrl/NE-Chiller-PumpCtrl-Full-Std/instance-out.sql</t>
  </si>
  <si>
    <t>runs/CZ11/Nrs&amp;0&amp;cPVVE&amp;Ex&amp;Chiller__PumpCtrl/NE-Chiller-CHWPumpCtrl-Full-Msr/instance-out.sql</t>
  </si>
  <si>
    <t>runs/CZ11/Nrs&amp;0&amp;cPVVE&amp;Ex&amp;Chiller__PumpCtrl/NE-Chiller-PumpCtrl-Full-Std/instance-out.sql</t>
  </si>
  <si>
    <t>runs/CZ11/Hsp&amp;0&amp;cPVVE&amp;Ex&amp;Chiller__PumpCtrl/NE-Chiller-CHWPumpCtrl-Full-Msr/instance-out.sql</t>
  </si>
  <si>
    <t>runs/CZ11/Hsp&amp;0&amp;cPVVE&amp;Ex&amp;Chiller__PumpCtrl/NE-Chiller-PumpCtrl-Full-Std/instance-out.sql</t>
  </si>
  <si>
    <t>runs/CZ11/ESe&amp;0&amp;cPVVE&amp;Ex&amp;Chiller__PumpCtrl/NE-Chiller-CHWPumpCtrl-Full-Msr/instance-out.sql</t>
  </si>
  <si>
    <t>runs/CZ11/ESe&amp;0&amp;cPVVE&amp;Ex&amp;Chiller__PumpCtrl/NE-Chiller-PumpCtrl-Full-Std/instance-out.sql</t>
  </si>
  <si>
    <t>runs/CZ11/EUn&amp;0&amp;cPVVE&amp;Ex&amp;Chiller__PumpCtrl/NE-Chiller-CHWPumpCtrl-Full-Msr/instance-out.sql</t>
  </si>
  <si>
    <t>runs/CZ11/ECC&amp;0&amp;cPVVE&amp;Ex&amp;Chiller__PumpCtrl/NE-Chiller-PumpCtrl-Full-Std/instance-out.sql</t>
  </si>
  <si>
    <t>runs/CZ11/EUn&amp;0&amp;cPVVE&amp;Ex&amp;Chiller__PumpCtrl/NE-Chiller-PumpCtrl-Full-Std/instance-out.sql</t>
  </si>
  <si>
    <t>runs/CZ10/Rt3&amp;0&amp;cPVVE&amp;Ex&amp;Chiller__PumpCtrl/NE-Chiller-PumpCtrl-Full-Std/instance-out.sql</t>
  </si>
  <si>
    <t>runs/CZ11/ECC&amp;0&amp;cPVVE&amp;Ex&amp;Chiller__PumpCtrl/NE-Chiller-CHWPumpCtrl-Full-Msr/instance-out.sql</t>
  </si>
  <si>
    <t>runs/CZ10/Rt3&amp;0&amp;cPVVE&amp;Ex&amp;Chiller__PumpCtrl/NE-Chiller-CHWPumpCtrl-Full-Msr/instance-out.sql</t>
  </si>
  <si>
    <t>runs/CZ10/OfL&amp;0&amp;cPVVE&amp;Ex&amp;Chiller__PumpCtrl/NE-Chiller-CHWPumpCtrl-Full-Msr/instance-out.sql</t>
  </si>
  <si>
    <t>runs/CZ10/OfS&amp;0&amp;cPVVE&amp;Ex&amp;Chiller__PumpCtrl/NE-Chiller-CHWPumpCtrl-Full-Msr/instance-out.sql</t>
  </si>
  <si>
    <t>runs/CZ10/OfL&amp;0&amp;cPVVE&amp;Ex&amp;Chiller__PumpCtrl/NE-Chiller-PumpCtrl-Full-Std/instance-out.sql</t>
  </si>
  <si>
    <t>runs/CZ10/OfS&amp;0&amp;cPVVE&amp;Ex&amp;Chiller__PumpCtrl/NE-Chiller-PumpCtrl-Full-Std/instance-out.sql</t>
  </si>
  <si>
    <t>runs/CZ10/Nrs&amp;0&amp;cPVVE&amp;Ex&amp;Chiller__PumpCtrl/NE-Chiller-CHWPumpCtrl-Full-Msr/instance-out.sql</t>
  </si>
  <si>
    <t>runs/CZ10/Nrs&amp;0&amp;cPVVE&amp;Ex&amp;Chiller__PumpCtrl/NE-Chiller-PumpCtrl-Full-Std/instance-out.sql</t>
  </si>
  <si>
    <t>runs/CZ10/Hsp&amp;0&amp;cPVVE&amp;Ex&amp;Chiller__PumpCtrl/NE-Chiller-PumpCtrl-Full-Std/instance-out.sql</t>
  </si>
  <si>
    <t>runs/CZ10/Hsp&amp;0&amp;cPVVE&amp;Ex&amp;Chiller__PumpCtrl/NE-Chiller-CHWPumpCtrl-Full-Msr/instance-out.sql</t>
  </si>
  <si>
    <t>runs/CZ10/ESe&amp;0&amp;cPVVE&amp;Ex&amp;Chiller__PumpCtrl/NE-Chiller-CHWPumpCtrl-Full-Msr/instance-out.sql</t>
  </si>
  <si>
    <t>runs/CZ10/ESe&amp;0&amp;cPVVE&amp;Ex&amp;Chiller__PumpCtrl/NE-Chiller-PumpCtrl-Full-Std/instance-out.sql</t>
  </si>
  <si>
    <t>runs/CZ10/EUn&amp;0&amp;cPVVE&amp;Ex&amp;Chiller__PumpCtrl/NE-Chiller-PumpCtrl-Full-Std/instance-out.sql</t>
  </si>
  <si>
    <t>runs/CZ09/Rt3&amp;0&amp;cPVVE&amp;Ex&amp;Chiller__PumpCtrl/NE-Chiller-CHWPumpCtrl-Full-Msr/instance-out.sql</t>
  </si>
  <si>
    <t>runs/CZ10/ECC&amp;0&amp;cPVVE&amp;Ex&amp;Chiller__PumpCtrl/NE-Chiller-CHWPumpCtrl-Full-Msr/instance-out.sql</t>
  </si>
  <si>
    <t>runs/CZ10/EUn&amp;0&amp;cPVVE&amp;Ex&amp;Chiller__PumpCtrl/NE-Chiller-CHWPumpCtrl-Full-Msr/instance-out.sql</t>
  </si>
  <si>
    <t>runs/CZ10/ECC&amp;0&amp;cPVVE&amp;Ex&amp;Chiller__PumpCtrl/NE-Chiller-PumpCtrl-Full-Std/instance-out.sql</t>
  </si>
  <si>
    <t>runs/CZ09/Rt3&amp;0&amp;cPVVE&amp;Ex&amp;Chiller__PumpCtrl/NE-Chiller-PumpCtrl-Full-Std/instance-out.sql</t>
  </si>
  <si>
    <t>runs/CZ09/OfL&amp;0&amp;cPVVE&amp;Ex&amp;Chiller__PumpCtrl/NE-Chiller-CHWPumpCtrl-Full-Msr/instance-out.sql</t>
  </si>
  <si>
    <t>runs/CZ09/OfS&amp;0&amp;cPVVE&amp;Ex&amp;Chiller__PumpCtrl/NE-Chiller-CHWPumpCtrl-Full-Msr/instance-out.sql</t>
  </si>
  <si>
    <t>runs/CZ09/OfS&amp;0&amp;cPVVE&amp;Ex&amp;Chiller__PumpCtrl/NE-Chiller-PumpCtrl-Full-Std/instance-out.sql</t>
  </si>
  <si>
    <t>runs/CZ09/OfL&amp;0&amp;cPVVE&amp;Ex&amp;Chiller__PumpCtrl/NE-Chiller-PumpCtrl-Full-Std/instance-out.sql</t>
  </si>
  <si>
    <t>runs/CZ09/Hsp&amp;0&amp;cPVVE&amp;Ex&amp;Chiller__PumpCtrl/NE-Chiller-CHWPumpCtrl-Full-Msr/instance-out.sql</t>
  </si>
  <si>
    <t>runs/CZ09/Nrs&amp;0&amp;cPVVE&amp;Ex&amp;Chiller__PumpCtrl/NE-Chiller-CHWPumpCtrl-Full-Msr/instance-out.sql</t>
  </si>
  <si>
    <t>runs/CZ09/Nrs&amp;0&amp;cPVVE&amp;Ex&amp;Chiller__PumpCtrl/NE-Chiller-PumpCtrl-Full-Std/instance-out.sql</t>
  </si>
  <si>
    <t>runs/CZ09/Hsp&amp;0&amp;cPVVE&amp;Ex&amp;Chiller__PumpCtrl/NE-Chiller-PumpCtrl-Full-Std/instance-out.sql</t>
  </si>
  <si>
    <t>runs/CZ09/EUn&amp;0&amp;cPVVE&amp;Ex&amp;Chiller__PumpCtrl/NE-Chiller-CHWPumpCtrl-Full-Msr/instance-out.sql</t>
  </si>
  <si>
    <t>runs/CZ09/ESe&amp;0&amp;cPVVE&amp;Ex&amp;Chiller__PumpCtrl/NE-Chiller-CHWPumpCtrl-Full-Msr/instance-out.sql</t>
  </si>
  <si>
    <t>runs/CZ09/ESe&amp;0&amp;cPVVE&amp;Ex&amp;Chiller__PumpCtrl/NE-Chiller-PumpCtrl-Full-Std/instance-out.sql</t>
  </si>
  <si>
    <t>runs/CZ09/EUn&amp;0&amp;cPVVE&amp;Ex&amp;Chiller__PumpCtrl/NE-Chiller-PumpCtrl-Full-Std/instance-out.sql</t>
  </si>
  <si>
    <t>runs/CZ09/ECC&amp;0&amp;cPVVE&amp;Ex&amp;Chiller__PumpCtrl/NE-Chiller-CHWPumpCtrl-Full-Msr/instance-out.sql</t>
  </si>
  <si>
    <t>runs/CZ08/Rt3&amp;0&amp;cPVVE&amp;Ex&amp;Chiller__PumpCtrl/NE-Chiller-CHWPumpCtrl-Full-Msr/instance-out.sql</t>
  </si>
  <si>
    <t>runs/CZ08/OfS&amp;0&amp;cPVVE&amp;Ex&amp;Chiller__PumpCtrl/NE-Chiller-CHWPumpCtrl-Full-Msr/instance-out.sql</t>
  </si>
  <si>
    <t>runs/CZ09/ECC&amp;0&amp;cPVVE&amp;Ex&amp;Chiller__PumpCtrl/NE-Chiller-PumpCtrl-Full-Std/instance-out.sql</t>
  </si>
  <si>
    <t>runs/CZ08/OfS&amp;0&amp;cPVVE&amp;Ex&amp;Chiller__PumpCtrl/NE-Chiller-PumpCtrl-Full-Std/instance-out.sql</t>
  </si>
  <si>
    <t>runs/CZ08/Rt3&amp;0&amp;cPVVE&amp;Ex&amp;Chiller__PumpCtrl/NE-Chiller-PumpCtrl-Full-Std/instance-out.sql</t>
  </si>
  <si>
    <t>runs/CZ08/OfL&amp;0&amp;cPVVE&amp;Ex&amp;Chiller__PumpCtrl/NE-Chiller-PumpCtrl-Full-Std/instance-out.sql</t>
  </si>
  <si>
    <t>runs/CZ08/Nrs&amp;0&amp;cPVVE&amp;Ex&amp;Chiller__PumpCtrl/NE-Chiller-CHWPumpCtrl-Full-Msr/instance-out.sql</t>
  </si>
  <si>
    <t>runs/CZ08/OfL&amp;0&amp;cPVVE&amp;Ex&amp;Chiller__PumpCtrl/NE-Chiller-CHWPumpCtrl-Full-Msr/instance-out.sql</t>
  </si>
  <si>
    <t>runs/CZ08/Nrs&amp;0&amp;cPVVE&amp;Ex&amp;Chiller__PumpCtrl/NE-Chiller-PumpCtrl-Full-Std/instance-out.sql</t>
  </si>
  <si>
    <t>runs/CZ08/Hsp&amp;0&amp;cPVVE&amp;Ex&amp;Chiller__PumpCtrl/NE-Chiller-CHWPumpCtrl-Full-Msr/instance-out.sql</t>
  </si>
  <si>
    <t>runs/CZ08/Hsp&amp;0&amp;cPVVE&amp;Ex&amp;Chiller__PumpCtrl/NE-Chiller-PumpCtrl-Full-Std/instance-out.sql</t>
  </si>
  <si>
    <t>runs/CZ08/ESe&amp;0&amp;cPVVE&amp;Ex&amp;Chiller__PumpCtrl/NE-Chiller-CHWPumpCtrl-Full-Msr/instance-out.sql</t>
  </si>
  <si>
    <t>runs/CZ08/ESe&amp;0&amp;cPVVE&amp;Ex&amp;Chiller__PumpCtrl/NE-Chiller-PumpCtrl-Full-Std/instance-out.sql</t>
  </si>
  <si>
    <t>runs/CZ08/EUn&amp;0&amp;cPVVE&amp;Ex&amp;Chiller__PumpCtrl/NE-Chiller-CHWPumpCtrl-Full-Msr/instance-out.sql</t>
  </si>
  <si>
    <t>runs/CZ07/Rt3&amp;0&amp;cPVVE&amp;Ex&amp;Chiller__PumpCtrl/NE-Chiller-CHWPumpCtrl-Full-Msr/instance-out.sql</t>
  </si>
  <si>
    <t>runs/CZ08/ECC&amp;0&amp;cPVVE&amp;Ex&amp;Chiller__PumpCtrl/NE-Chiller-CHWPumpCtrl-Full-Msr/instance-out.sql</t>
  </si>
  <si>
    <t>runs/CZ07/Rt3&amp;0&amp;cPVVE&amp;Ex&amp;Chiller__PumpCtrl/NE-Chiller-PumpCtrl-Full-Std/instance-out.sql</t>
  </si>
  <si>
    <t>runs/CZ08/EUn&amp;0&amp;cPVVE&amp;Ex&amp;Chiller__PumpCtrl/NE-Chiller-PumpCtrl-Full-Std/instance-out.sql</t>
  </si>
  <si>
    <t>runs/CZ08/ECC&amp;0&amp;cPVVE&amp;Ex&amp;Chiller__PumpCtrl/NE-Chiller-PumpCtrl-Full-Std/instance-out.sql</t>
  </si>
  <si>
    <t>runs/CZ07/OfS&amp;0&amp;cPVVE&amp;Ex&amp;Chiller__PumpCtrl/NE-Chiller-CHWPumpCtrl-Full-Msr/instance-out.sql</t>
  </si>
  <si>
    <t>runs/CZ07/OfS&amp;0&amp;cPVVE&amp;Ex&amp;Chiller__PumpCtrl/NE-Chiller-PumpCtrl-Full-Std/instance-out.sql</t>
  </si>
  <si>
    <t>runs/CZ07/OfL&amp;0&amp;cPVVE&amp;Ex&amp;Chiller__PumpCtrl/NE-Chiller-PumpCtrl-Full-Std/instance-out.sql</t>
  </si>
  <si>
    <t>runs/CZ07/OfL&amp;0&amp;cPVVE&amp;Ex&amp;Chiller__PumpCtrl/NE-Chiller-CHWPumpCtrl-Full-Msr/instance-out.sql</t>
  </si>
  <si>
    <t>runs/CZ07/Nrs&amp;0&amp;cPVVE&amp;Ex&amp;Chiller__PumpCtrl/NE-Chiller-CHWPumpCtrl-Full-Msr/instance-out.sql</t>
  </si>
  <si>
    <t>runs/CZ07/Nrs&amp;0&amp;cPVVE&amp;Ex&amp;Chiller__PumpCtrl/NE-Chiller-PumpCtrl-Full-Std/instance-out.sql</t>
  </si>
  <si>
    <t>runs/CZ07/Hsp&amp;0&amp;cPVVE&amp;Ex&amp;Chiller__PumpCtrl/NE-Chiller-CHWPumpCtrl-Full-Msr/instance-out.sql</t>
  </si>
  <si>
    <t>runs/CZ07/ESe&amp;0&amp;cPVVE&amp;Ex&amp;Chiller__PumpCtrl/NE-Chiller-PumpCtrl-Full-Std/instance-out.sql</t>
  </si>
  <si>
    <t>runs/CZ07/Hsp&amp;0&amp;cPVVE&amp;Ex&amp;Chiller__PumpCtrl/NE-Chiller-PumpCtrl-Full-Std/instance-out.sql</t>
  </si>
  <si>
    <t>runs/CZ07/ESe&amp;0&amp;cPVVE&amp;Ex&amp;Chiller__PumpCtrl/NE-Chiller-CHWPumpCtrl-Full-Msr/instance-out.sql</t>
  </si>
  <si>
    <t>runs/CZ07/ECC&amp;0&amp;cPVVE&amp;Ex&amp;Chiller__PumpCtrl/NE-Chiller-CHWPumpCtrl-Full-Msr/instance-out.sql</t>
  </si>
  <si>
    <t>runs/CZ07/EUn&amp;0&amp;cPVVE&amp;Ex&amp;Chiller__PumpCtrl/NE-Chiller-PumpCtrl-Full-Std/instance-out.sql</t>
  </si>
  <si>
    <t>runs/CZ07/EUn&amp;0&amp;cPVVE&amp;Ex&amp;Chiller__PumpCtrl/NE-Chiller-CHWPumpCtrl-Full-Msr/instance-out.sql</t>
  </si>
  <si>
    <t>runs/CZ07/ECC&amp;0&amp;cPVVE&amp;Ex&amp;Chiller__PumpCtrl/NE-Chiller-PumpCtrl-Full-Std/instance-out.sql</t>
  </si>
  <si>
    <t>runs/CZ06/Rt3&amp;0&amp;cPVVE&amp;Ex&amp;Chiller__PumpCtrl/NE-Chiller-CHWPumpCtrl-Full-Msr/instance-out.sql</t>
  </si>
  <si>
    <t>runs/CZ06/OfS&amp;0&amp;cPVVE&amp;Ex&amp;Chiller__PumpCtrl/NE-Chiller-CHWPumpCtrl-Full-Msr/instance-out.sql</t>
  </si>
  <si>
    <t>runs/CZ06/Rt3&amp;0&amp;cPVVE&amp;Ex&amp;Chiller__PumpCtrl/NE-Chiller-PumpCtrl-Full-Std/instance-out.sql</t>
  </si>
  <si>
    <t>runs/CZ06/OfS&amp;0&amp;cPVVE&amp;Ex&amp;Chiller__PumpCtrl/NE-Chiller-PumpCtrl-Full-Std/instance-out.sql</t>
  </si>
  <si>
    <t>runs/CZ06/OfL&amp;0&amp;cPVVE&amp;Ex&amp;Chiller__PumpCtrl/NE-Chiller-CHWPumpCtrl-Full-Msr/instance-out.sql</t>
  </si>
  <si>
    <t>runs/CZ06/Nrs&amp;0&amp;cPVVE&amp;Ex&amp;Chiller__PumpCtrl/NE-Chiller-CHWPumpCtrl-Full-Msr/instance-out.sql</t>
  </si>
  <si>
    <t>runs/CZ06/OfL&amp;0&amp;cPVVE&amp;Ex&amp;Chiller__PumpCtrl/NE-Chiller-PumpCtrl-Full-Std/instance-out.sql</t>
  </si>
  <si>
    <t>runs/CZ06/Nrs&amp;0&amp;cPVVE&amp;Ex&amp;Chiller__PumpCtrl/NE-Chiller-PumpCtrl-Full-Std/instance-out.sql</t>
  </si>
  <si>
    <t>runs/CZ06/Hsp&amp;0&amp;cPVVE&amp;Ex&amp;Chiller__PumpCtrl/NE-Chiller-CHWPumpCtrl-Full-Msr/instance-out.sql</t>
  </si>
  <si>
    <t>runs/CZ06/ESe&amp;0&amp;cPVVE&amp;Ex&amp;Chiller__PumpCtrl/NE-Chiller-PumpCtrl-Full-Std/instance-out.sql</t>
  </si>
  <si>
    <t>runs/CZ06/ECC&amp;0&amp;cPVVE&amp;Ex&amp;Chiller__PumpCtrl/NE-Chiller-CHWPumpCtrl-Full-Msr/instance-out.sql</t>
  </si>
  <si>
    <t>runs/CZ06/ESe&amp;0&amp;cPVVE&amp;Ex&amp;Chiller__PumpCtrl/NE-Chiller-CHWPumpCtrl-Full-Msr/instance-out.sql</t>
  </si>
  <si>
    <t>runs/CZ06/Hsp&amp;0&amp;cPVVE&amp;Ex&amp;Chiller__PumpCtrl/NE-Chiller-PumpCtrl-Full-Std/instance-out.sql</t>
  </si>
  <si>
    <t>runs/CZ06/EUn&amp;0&amp;cPVVE&amp;Ex&amp;Chiller__PumpCtrl/NE-Chiller-CHWPumpCtrl-Full-Msr/instance-out.sql</t>
  </si>
  <si>
    <t>runs/CZ06/EUn&amp;0&amp;cPVVE&amp;Ex&amp;Chiller__PumpCtrl/NE-Chiller-PumpCtrl-Full-Std/instance-out.sql</t>
  </si>
  <si>
    <t>runs/CZ06/ECC&amp;0&amp;cPVVE&amp;Ex&amp;Chiller__PumpCtrl/NE-Chiller-PumpCtrl-Full-Std/instance-out.sql</t>
  </si>
  <si>
    <t>runs/CZ05/Rt3&amp;0&amp;cPVVE&amp;Ex&amp;Chiller__PumpCtrl/NE-Chiller-CHWPumpCtrl-Full-Msr/instance-out.sql</t>
  </si>
  <si>
    <t>runs/CZ05/OfS&amp;0&amp;cPVVE&amp;Ex&amp;Chiller__PumpCtrl/NE-Chiller-CHWPumpCtrl-Full-Msr/instance-out.sql</t>
  </si>
  <si>
    <t>runs/CZ05/OfS&amp;0&amp;cPVVE&amp;Ex&amp;Chiller__PumpCtrl/NE-Chiller-PumpCtrl-Full-Std/instance-out.sql</t>
  </si>
  <si>
    <t>runs/CZ05/Rt3&amp;0&amp;cPVVE&amp;Ex&amp;Chiller__PumpCtrl/NE-Chiller-PumpCtrl-Full-Std/instance-out.sql</t>
  </si>
  <si>
    <t>runs/CZ05/OfL&amp;0&amp;cPVVE&amp;Ex&amp;Chiller__PumpCtrl/NE-Chiller-CHWPumpCtrl-Full-Msr/instance-out.sql</t>
  </si>
  <si>
    <t>runs/CZ05/OfL&amp;0&amp;cPVVE&amp;Ex&amp;Chiller__PumpCtrl/NE-Chiller-PumpCtrl-Full-Std/instance-out.sql</t>
  </si>
  <si>
    <t>runs/CZ05/Nrs&amp;0&amp;cPVVE&amp;Ex&amp;Chiller__PumpCtrl/NE-Chiller-PumpCtrl-Full-Std/instance-out.sql</t>
  </si>
  <si>
    <t>runs/CZ05/Nrs&amp;0&amp;cPVVE&amp;Ex&amp;Chiller__PumpCtrl/NE-Chiller-CHWPumpCtrl-Full-Msr/instance-out.sql</t>
  </si>
  <si>
    <t>runs/CZ05/Hsp&amp;0&amp;cPVVE&amp;Ex&amp;Chiller__PumpCtrl/NE-Chiller-CHWPumpCtrl-Full-Msr/instance-out.sql</t>
  </si>
  <si>
    <t>runs/CZ05/Hsp&amp;0&amp;cPVVE&amp;Ex&amp;Chiller__PumpCtrl/NE-Chiller-PumpCtrl-Full-Std/instance-out.sql</t>
  </si>
  <si>
    <t>runs/CZ05/ESe&amp;0&amp;cPVVE&amp;Ex&amp;Chiller__PumpCtrl/NE-Chiller-CHWPumpCtrl-Full-Msr/instance-out.sql</t>
  </si>
  <si>
    <t>runs/CZ05/ECC&amp;0&amp;cPVVE&amp;Ex&amp;Chiller__PumpCtrl/NE-Chiller-PumpCtrl-Full-Std/instance-out.sql</t>
  </si>
  <si>
    <t>runs/CZ05/ESe&amp;0&amp;cPVVE&amp;Ex&amp;Chiller__PumpCtrl/NE-Chiller-PumpCtrl-Full-Std/instance-out.sql</t>
  </si>
  <si>
    <t>runs/CZ05/EUn&amp;0&amp;cPVVE&amp;Ex&amp;Chiller__PumpCtrl/NE-Chiller-CHWPumpCtrl-Full-Msr/instance-out.sql</t>
  </si>
  <si>
    <t>runs/CZ05/ECC&amp;0&amp;cPVVE&amp;Ex&amp;Chiller__PumpCtrl/NE-Chiller-CHWPumpCtrl-Full-Msr/instance-out.sql</t>
  </si>
  <si>
    <t>runs/CZ05/EUn&amp;0&amp;cPVVE&amp;Ex&amp;Chiller__PumpCtrl/NE-Chiller-PumpCtrl-Full-Std/instance-out.sql</t>
  </si>
  <si>
    <t>runs/CZ04/Rt3&amp;0&amp;cPVVE&amp;Ex&amp;Chiller__PumpCtrl/NE-Chiller-PumpCtrl-Full-Std/instance-out.sql</t>
  </si>
  <si>
    <t>runs/CZ04/Rt3&amp;0&amp;cPVVE&amp;Ex&amp;Chiller__PumpCtrl/NE-Chiller-CHWPumpCtrl-Full-Msr/instance-out.sql</t>
  </si>
  <si>
    <t>runs/CZ04/OfL&amp;0&amp;cPVVE&amp;Ex&amp;Chiller__PumpCtrl/NE-Chiller-CHWPumpCtrl-Full-Msr/instance-out.sql</t>
  </si>
  <si>
    <t>runs/CZ04/OfS&amp;0&amp;cPVVE&amp;Ex&amp;Chiller__PumpCtrl/NE-Chiller-CHWPumpCtrl-Full-Msr/instance-out.sql</t>
  </si>
  <si>
    <t>runs/CZ04/OfS&amp;0&amp;cPVVE&amp;Ex&amp;Chiller__PumpCtrl/NE-Chiller-PumpCtrl-Full-Std/instance-out.sql</t>
  </si>
  <si>
    <t>runs/CZ04/Nrs&amp;0&amp;cPVVE&amp;Ex&amp;Chiller__PumpCtrl/NE-Chiller-CHWPumpCtrl-Full-Msr/instance-out.sql</t>
  </si>
  <si>
    <t>runs/CZ04/OfL&amp;0&amp;cPVVE&amp;Ex&amp;Chiller__PumpCtrl/NE-Chiller-PumpCtrl-Full-Std/instance-out.sql</t>
  </si>
  <si>
    <t>runs/CZ04/Nrs&amp;0&amp;cPVVE&amp;Ex&amp;Chiller__PumpCtrl/NE-Chiller-PumpCtrl-Full-Std/instance-out.sql</t>
  </si>
  <si>
    <t>runs/CZ04/Hsp&amp;0&amp;cPVVE&amp;Ex&amp;Chiller__PumpCtrl/NE-Chiller-CHWPumpCtrl-Full-Msr/instance-out.sql</t>
  </si>
  <si>
    <t>runs/CZ04/Hsp&amp;0&amp;cPVVE&amp;Ex&amp;Chiller__PumpCtrl/NE-Chiller-PumpCtrl-Full-Std/instance-out.sql</t>
  </si>
  <si>
    <t>runs/CZ04/ESe&amp;0&amp;cPVVE&amp;Ex&amp;Chiller__PumpCtrl/NE-Chiller-PumpCtrl-Full-Std/instance-out.sql</t>
  </si>
  <si>
    <t>runs/CZ04/ESe&amp;0&amp;cPVVE&amp;Ex&amp;Chiller__PumpCtrl/NE-Chiller-CHWPumpCtrl-Full-Msr/instance-out.sql</t>
  </si>
  <si>
    <t>runs/CZ04/EUn&amp;0&amp;cPVVE&amp;Ex&amp;Chiller__PumpCtrl/NE-Chiller-PumpCtrl-Full-Std/instance-out.sql</t>
  </si>
  <si>
    <t>runs/CZ04/EUn&amp;0&amp;cPVVE&amp;Ex&amp;Chiller__PumpCtrl/NE-Chiller-CHWPumpCtrl-Full-Msr/instance-out.sql</t>
  </si>
  <si>
    <t>runs/CZ03/Rt3&amp;0&amp;cPVVE&amp;Ex&amp;Chiller__PumpCtrl/NE-Chiller-PumpCtrl-Full-Std/instance-out.sql</t>
  </si>
  <si>
    <t>runs/CZ04/ECC&amp;0&amp;cPVVE&amp;Ex&amp;Chiller__PumpCtrl/NE-Chiller-CHWPumpCtrl-Full-Msr/instance-out.sql</t>
  </si>
  <si>
    <t>runs/CZ04/ECC&amp;0&amp;cPVVE&amp;Ex&amp;Chiller__PumpCtrl/NE-Chiller-PumpCtrl-Full-Std/instance-out.sql</t>
  </si>
  <si>
    <t>runs/CZ03/Rt3&amp;0&amp;cPVVE&amp;Ex&amp;Chiller__PumpCtrl/NE-Chiller-CHWPumpCtrl-Full-Msr/instance-out.sql</t>
  </si>
  <si>
    <t>runs/CZ03/OfS&amp;0&amp;cPVVE&amp;Ex&amp;Chiller__PumpCtrl/NE-Chiller-CHWPumpCtrl-Full-Msr/instance-out.sql</t>
  </si>
  <si>
    <t>runs/CZ03/OfS&amp;0&amp;cPVVE&amp;Ex&amp;Chiller__PumpCtrl/NE-Chiller-PumpCtrl-Full-Std/instance-out.sql</t>
  </si>
  <si>
    <t>runs/CZ03/Nrs&amp;0&amp;cPVVE&amp;Ex&amp;Chiller__PumpCtrl/NE-Chiller-CHWPumpCtrl-Full-Msr/instance-out.sql</t>
  </si>
  <si>
    <t>runs/CZ03/OfL&amp;0&amp;cPVVE&amp;Ex&amp;Chiller__PumpCtrl/NE-Chiller-PumpCtrl-Full-Std/instance-out.sql</t>
  </si>
  <si>
    <t>runs/CZ03/OfL&amp;0&amp;cPVVE&amp;Ex&amp;Chiller__PumpCtrl/NE-Chiller-CHWPumpCtrl-Full-Msr/instance-out.sql</t>
  </si>
  <si>
    <t>runs/CZ03/Nrs&amp;0&amp;cPVVE&amp;Ex&amp;Chiller__PumpCtrl/NE-Chiller-PumpCtrl-Full-Std/instance-out.sql</t>
  </si>
  <si>
    <t>runs/CZ03/Hsp&amp;0&amp;cPVVE&amp;Ex&amp;Chiller__PumpCtrl/NE-Chiller-PumpCtrl-Full-Std/instance-out.sql</t>
  </si>
  <si>
    <t>runs/CZ03/Hsp&amp;0&amp;cPVVE&amp;Ex&amp;Chiller__PumpCtrl/NE-Chiller-CHWPumpCtrl-Full-Msr/instance-out.sql</t>
  </si>
  <si>
    <t>runs/CZ03/ESe&amp;0&amp;cPVVE&amp;Ex&amp;Chiller__PumpCtrl/NE-Chiller-PumpCtrl-Full-Std/instance-out.sql</t>
  </si>
  <si>
    <t>runs/CZ03/ESe&amp;0&amp;cPVVE&amp;Ex&amp;Chiller__PumpCtrl/NE-Chiller-CHWPumpCtrl-Full-Msr/instance-out.sql</t>
  </si>
  <si>
    <t>runs/CZ03/ECC&amp;0&amp;cPVVE&amp;Ex&amp;Chiller__PumpCtrl/NE-Chiller-CHWPumpCtrl-Full-Msr/instance-out.sql</t>
  </si>
  <si>
    <t>runs/CZ03/EUn&amp;0&amp;cPVVE&amp;Ex&amp;Chiller__PumpCtrl/NE-Chiller-CHWPumpCtrl-Full-Msr/instance-out.sql</t>
  </si>
  <si>
    <t>runs/CZ03/EUn&amp;0&amp;cPVVE&amp;Ex&amp;Chiller__PumpCtrl/NE-Chiller-PumpCtrl-Full-Std/instance-out.sql</t>
  </si>
  <si>
    <t>runs/CZ03/ECC&amp;0&amp;cPVVE&amp;Ex&amp;Chiller__PumpCtrl/NE-Chiller-PumpCtrl-Full-Std/instance-out.sql</t>
  </si>
  <si>
    <t>runs/CZ02/OfS&amp;0&amp;cPVVE&amp;Ex&amp;Chiller__PumpCtrl/NE-Chiller-CHWPumpCtrl-Full-Msr/instance-out.sql</t>
  </si>
  <si>
    <t>runs/CZ02/Rt3&amp;0&amp;cPVVE&amp;Ex&amp;Chiller__PumpCtrl/NE-Chiller-CHWPumpCtrl-Full-Msr/instance-out.sql</t>
  </si>
  <si>
    <t>runs/CZ02/Rt3&amp;0&amp;cPVVE&amp;Ex&amp;Chiller__PumpCtrl/NE-Chiller-PumpCtrl-Full-Std/instance-out.sql</t>
  </si>
  <si>
    <t>runs/CZ02/OfS&amp;0&amp;cPVVE&amp;Ex&amp;Chiller__PumpCtrl/NE-Chiller-PumpCtrl-Full-Std/instance-out.sql</t>
  </si>
  <si>
    <t>runs/CZ02/Nrs&amp;0&amp;cPVVE&amp;Ex&amp;Chiller__PumpCtrl/NE-Chiller-CHWPumpCtrl-Full-Msr/instance-out.sql</t>
  </si>
  <si>
    <t>runs/CZ02/Nrs&amp;0&amp;cPVVE&amp;Ex&amp;Chiller__PumpCtrl/NE-Chiller-PumpCtrl-Full-Std/instance-out.sql</t>
  </si>
  <si>
    <t>runs/CZ02/OfL&amp;0&amp;cPVVE&amp;Ex&amp;Chiller__PumpCtrl/NE-Chiller-PumpCtrl-Full-Std/instance-out.sql</t>
  </si>
  <si>
    <t>runs/CZ02/OfL&amp;0&amp;cPVVE&amp;Ex&amp;Chiller__PumpCtrl/NE-Chiller-CHWPumpCtrl-Full-Msr/instance-out.sql</t>
  </si>
  <si>
    <t>runs/CZ02/Hsp&amp;0&amp;cPVVE&amp;Ex&amp;Chiller__PumpCtrl/NE-Chiller-CHWPumpCtrl-Full-Msr/instance-out.sql</t>
  </si>
  <si>
    <t>runs/CZ02/Hsp&amp;0&amp;cPVVE&amp;Ex&amp;Chiller__PumpCtrl/NE-Chiller-PumpCtrl-Full-Std/instance-out.sql</t>
  </si>
  <si>
    <t>runs/CZ02/EUn&amp;0&amp;cPVVE&amp;Ex&amp;Chiller__PumpCtrl/NE-Chiller-CHWPumpCtrl-Full-Msr/instance-out.sql</t>
  </si>
  <si>
    <t>runs/CZ02/ESe&amp;0&amp;cPVVE&amp;Ex&amp;Chiller__PumpCtrl/NE-Chiller-CHWPumpCtrl-Full-Msr/instance-out.sql</t>
  </si>
  <si>
    <t>runs/CZ02/ECC&amp;0&amp;cPVVE&amp;Ex&amp;Chiller__PumpCtrl/NE-Chiller-CHWPumpCtrl-Full-Msr/instance-out.sql</t>
  </si>
  <si>
    <t>runs/CZ02/EUn&amp;0&amp;cPVVE&amp;Ex&amp;Chiller__PumpCtrl/NE-Chiller-PumpCtrl-Full-Std/instance-out.sql</t>
  </si>
  <si>
    <t>runs/CZ02/ECC&amp;0&amp;cPVVE&amp;Ex&amp;Chiller__PumpCtrl/NE-Chiller-PumpCtrl-Full-Std/instance-out.sql</t>
  </si>
  <si>
    <t>runs/CZ01/Rt3&amp;0&amp;cPVVE&amp;Ex&amp;Chiller__PumpCtrl/NE-Chiller-CHWPumpCtrl-Full-Msr/instance-out.sql</t>
  </si>
  <si>
    <t>runs/CZ01/Rt3&amp;0&amp;cPVVE&amp;Ex&amp;Chiller__PumpCtrl/NE-Chiller-PumpCtrl-Full-Std/instance-out.sql</t>
  </si>
  <si>
    <t>runs/CZ02/ESe&amp;0&amp;cPVVE&amp;Ex&amp;Chiller__PumpCtrl/NE-Chiller-PumpCtrl-Full-Std/instance-out.sql</t>
  </si>
  <si>
    <t>runs/CZ01/OfS&amp;0&amp;cPVVE&amp;Ex&amp;Chiller__PumpCtrl/NE-Chiller-CHWPumpCtrl-Full-Msr/instance-out.sql</t>
  </si>
  <si>
    <t>runs/CZ01/OfS&amp;0&amp;cPVVE&amp;Ex&amp;Chiller__PumpCtrl/NE-Chiller-PumpCtrl-Full-Std/instance-out.sql</t>
  </si>
  <si>
    <t>runs/CZ01/Nrs&amp;0&amp;cPVVE&amp;Ex&amp;Chiller__PumpCtrl/NE-Chiller-CHWPumpCtrl-Full-Msr/instance-out.sql</t>
  </si>
  <si>
    <t>runs/CZ01/Nrs&amp;0&amp;cPVVE&amp;Ex&amp;Chiller__PumpCtrl/NE-Chiller-PumpCtrl-Full-Std/instance-out.sql</t>
  </si>
  <si>
    <t>runs/CZ01/OfL&amp;0&amp;cPVVE&amp;Ex&amp;Chiller__PumpCtrl/NE-Chiller-CHWPumpCtrl-Full-Msr/instance-out.sql</t>
  </si>
  <si>
    <t>runs/CZ01/OfL&amp;0&amp;cPVVE&amp;Ex&amp;Chiller__PumpCtrl/NE-Chiller-PumpCtrl-Full-Std/instance-out.sql</t>
  </si>
  <si>
    <t>runs/CZ01/Hsp&amp;0&amp;cPVVE&amp;Ex&amp;Chiller__PumpCtrl/NE-Chiller-PumpCtrl-Full-Std/instance-out.sql</t>
  </si>
  <si>
    <t>runs/CZ01/Hsp&amp;0&amp;cPVVE&amp;Ex&amp;Chiller__PumpCtrl/NE-Chiller-CHWPumpCtrl-Full-Msr/instance-out.sql</t>
  </si>
  <si>
    <t>runs/CZ01/ESe&amp;0&amp;cPVVE&amp;Ex&amp;Chiller__PumpCtrl/NE-Chiller-CHWPumpCtrl-Full-Msr/instance-out.sql</t>
  </si>
  <si>
    <t>runs/CZ01/ESe&amp;0&amp;cPVVE&amp;Ex&amp;Chiller__PumpCtrl/NE-Chiller-PumpCtrl-Full-Std/instance-out.sql</t>
  </si>
  <si>
    <t>runs/CZ01/ECC&amp;0&amp;cPVVE&amp;Ex&amp;Chiller__PumpCtrl/NE-Chiller-PumpCtrl-Full-Std/instance-out.sql</t>
  </si>
  <si>
    <t>runs/CZ01/EUn&amp;0&amp;cPVVE&amp;Ex&amp;Chiller__PumpCtrl/NE-Chiller-PumpCtrl-Full-Std/instance-out.sql</t>
  </si>
  <si>
    <t>runs/CZ01/ECC&amp;0&amp;cPVVE&amp;Ex&amp;Chiller__PumpCtrl/NE-Chiller-CHWPumpCtrl-Full-Msr/instance-out.sql</t>
  </si>
  <si>
    <t>runs/CZ01/EUn&amp;0&amp;cPVVE&amp;Ex&amp;Chiller__PumpCtrl/NE-Chiller-CHWPumpCtrl-Full-Msr/instance-out.sql</t>
  </si>
  <si>
    <t>runs/CZ16/Rt3&amp;0&amp;cPVVE&amp;New&amp;Chiller__PumpCtrl/NE-Chiller-CHWPumpCtrl-Full-Msr/instance-out.sql</t>
  </si>
  <si>
    <t>runs/CZ16/Rt3&amp;0&amp;cPVVE&amp;New&amp;Chiller__PumpCtrl/NE-Chiller-PumpCtrl-Full-Std/instance-out.sql</t>
  </si>
  <si>
    <t>runs/CZ16/OfS&amp;0&amp;cPVVE&amp;New&amp;Chiller__PumpCtrl/NE-Chiller-CHWPumpCtrl-Full-Msr/instance-out.sql</t>
  </si>
  <si>
    <t>runs/CZ16/OfS&amp;0&amp;cPVVE&amp;New&amp;Chiller__PumpCtrl/NE-Chiller-PumpCtrl-Full-Std/instance-out.sql</t>
  </si>
  <si>
    <t>runs/CZ16/Nrs&amp;0&amp;cPVVE&amp;New&amp;Chiller__PumpCtrl/NE-Chiller-CHWPumpCtrl-Full-Msr/instance-out.sql</t>
  </si>
  <si>
    <t>runs/CZ16/OfL&amp;0&amp;cPVVE&amp;New&amp;Chiller__PumpCtrl/NE-Chiller-PumpCtrl-Full-Std/instance-out.sql</t>
  </si>
  <si>
    <t>runs/CZ16/OfL&amp;0&amp;cPVVE&amp;New&amp;Chiller__PumpCtrl/NE-Chiller-CHWPumpCtrl-Full-Msr/instance-out.sql</t>
  </si>
  <si>
    <t>runs/CZ16/Nrs&amp;0&amp;cPVVE&amp;New&amp;Chiller__PumpCtrl/NE-Chiller-PumpCtrl-Full-Std/instance-out.sql</t>
  </si>
  <si>
    <t>runs/CZ16/Hsp&amp;0&amp;cPVVE&amp;New&amp;Chiller__PumpCtrl/NE-Chiller-PumpCtrl-Full-Std/instance-out.sql</t>
  </si>
  <si>
    <t>runs/CZ16/Hsp&amp;0&amp;cPVVE&amp;New&amp;Chiller__PumpCtrl/NE-Chiller-CHWPumpCtrl-Full-Msr/instance-out.sql</t>
  </si>
  <si>
    <t>runs/CZ16/EUn&amp;0&amp;cPVVE&amp;New&amp;Chiller__PumpCtrl/NE-Chiller-CHWPumpCtrl-Full-Msr/instance-out.sql</t>
  </si>
  <si>
    <t>runs/CZ16/EUn&amp;0&amp;cPVVE&amp;New&amp;Chiller__PumpCtrl/NE-Chiller-PumpCtrl-Full-Std/instance-out.sql</t>
  </si>
  <si>
    <t>runs/CZ16/ESe&amp;0&amp;cPVVE&amp;New&amp;Chiller__PumpCtrl/NE-Chiller-PumpCtrl-Full-Std/instance-out.sql</t>
  </si>
  <si>
    <t>runs/CZ16/ESe&amp;0&amp;cPVVE&amp;New&amp;Chiller__PumpCtrl/NE-Chiller-CHWPumpCtrl-Full-Msr/instance-out.sql</t>
  </si>
  <si>
    <t>runs/CZ16/ECC&amp;0&amp;cPVVE&amp;New&amp;Chiller__PumpCtrl/NE-Chiller-CHWPumpCtrl-Full-Msr/instance-out.sql</t>
  </si>
  <si>
    <t>runs/CZ16/ECC&amp;0&amp;cPVVE&amp;New&amp;Chiller__PumpCtrl/NE-Chiller-PumpCtrl-Full-Std/instance-out.sql</t>
  </si>
  <si>
    <t>runs/CZ15/Rt3&amp;0&amp;cPVVE&amp;New&amp;Chiller__PumpCtrl/NE-Chiller-CHWPumpCtrl-Full-Msr/instance-out.sql</t>
  </si>
  <si>
    <t>runs/CZ15/Rt3&amp;0&amp;cPVVE&amp;New&amp;Chiller__PumpCtrl/NE-Chiller-PumpCtrl-Full-Std/instance-out.sql</t>
  </si>
  <si>
    <t>runs/CZ15/OfS&amp;0&amp;cPVVE&amp;New&amp;Chiller__PumpCtrl/NE-Chiller-PumpCtrl-Full-Std/instance-out.sql</t>
  </si>
  <si>
    <t>runs/CZ15/OfS&amp;0&amp;cPVVE&amp;New&amp;Chiller__PumpCtrl/NE-Chiller-CHWPumpCtrl-Full-Msr/instance-out.sql</t>
  </si>
  <si>
    <t>runs/CZ15/OfL&amp;0&amp;cPVVE&amp;New&amp;Chiller__PumpCtrl/NE-Chiller-PumpCtrl-Full-Std/instance-out.sql</t>
  </si>
  <si>
    <t>runs/CZ15/OfL&amp;0&amp;cPVVE&amp;New&amp;Chiller__PumpCtrl/NE-Chiller-CHWPumpCtrl-Full-Msr/instance-out.sql</t>
  </si>
  <si>
    <t>runs/CZ15/Nrs&amp;0&amp;cPVVE&amp;New&amp;Chiller__PumpCtrl/NE-Chiller-CHWPumpCtrl-Full-Msr/instance-out.sql</t>
  </si>
  <si>
    <t>runs/CZ15/Nrs&amp;0&amp;cPVVE&amp;New&amp;Chiller__PumpCtrl/NE-Chiller-PumpCtrl-Full-Std/instance-out.sql</t>
  </si>
  <si>
    <t>runs/CZ15/Hsp&amp;0&amp;cPVVE&amp;New&amp;Chiller__PumpCtrl/NE-Chiller-CHWPumpCtrl-Full-Msr/instance-out.sql</t>
  </si>
  <si>
    <t>runs/CZ15/Hsp&amp;0&amp;cPVVE&amp;New&amp;Chiller__PumpCtrl/NE-Chiller-PumpCtrl-Full-Std/instance-out.sql</t>
  </si>
  <si>
    <t>runs/CZ15/ESe&amp;0&amp;cPVVE&amp;New&amp;Chiller__PumpCtrl/NE-Chiller-CHWPumpCtrl-Full-Msr/instance-out.sql</t>
  </si>
  <si>
    <t>runs/CZ15/ESe&amp;0&amp;cPVVE&amp;New&amp;Chiller__PumpCtrl/NE-Chiller-PumpCtrl-Full-Std/instance-out.sql</t>
  </si>
  <si>
    <t>runs/CZ15/EUn&amp;0&amp;cPVVE&amp;New&amp;Chiller__PumpCtrl/NE-Chiller-CHWPumpCtrl-Full-Msr/instance-out.sql</t>
  </si>
  <si>
    <t>runs/CZ15/ECC&amp;0&amp;cPVVE&amp;New&amp;Chiller__PumpCtrl/NE-Chiller-CHWPumpCtrl-Full-Msr/instance-out.sql</t>
  </si>
  <si>
    <t>runs/CZ15/ECC&amp;0&amp;cPVVE&amp;New&amp;Chiller__PumpCtrl/NE-Chiller-PumpCtrl-Full-Std/instance-out.sql</t>
  </si>
  <si>
    <t>runs/CZ15/EUn&amp;0&amp;cPVVE&amp;New&amp;Chiller__PumpCtrl/NE-Chiller-PumpCtrl-Full-Std/instance-out.sql</t>
  </si>
  <si>
    <t>runs/CZ14/Rt3&amp;0&amp;cPVVE&amp;New&amp;Chiller__PumpCtrl/NE-Chiller-PumpCtrl-Full-Std/instance-out.sql</t>
  </si>
  <si>
    <t>runs/CZ14/Rt3&amp;0&amp;cPVVE&amp;New&amp;Chiller__PumpCtrl/NE-Chiller-CHWPumpCtrl-Full-Msr/instance-out.sql</t>
  </si>
  <si>
    <t>runs/CZ14/OfS&amp;0&amp;cPVVE&amp;New&amp;Chiller__PumpCtrl/NE-Chiller-PumpCtrl-Full-Std/instance-out.sql</t>
  </si>
  <si>
    <t>runs/CZ14/OfS&amp;0&amp;cPVVE&amp;New&amp;Chiller__PumpCtrl/NE-Chiller-CHWPumpCtrl-Full-Msr/instance-out.sql</t>
  </si>
  <si>
    <t>runs/CZ14/OfL&amp;0&amp;cPVVE&amp;New&amp;Chiller__PumpCtrl/NE-Chiller-CHWPumpCtrl-Full-Msr/instance-out.sql</t>
  </si>
  <si>
    <t>runs/CZ14/OfL&amp;0&amp;cPVVE&amp;New&amp;Chiller__PumpCtrl/NE-Chiller-PumpCtrl-Full-Std/instance-out.sql</t>
  </si>
  <si>
    <t>runs/CZ14/Nrs&amp;0&amp;cPVVE&amp;New&amp;Chiller__PumpCtrl/NE-Chiller-CHWPumpCtrl-Full-Msr/instance-out.sql</t>
  </si>
  <si>
    <t>runs/CZ14/Nrs&amp;0&amp;cPVVE&amp;New&amp;Chiller__PumpCtrl/NE-Chiller-PumpCtrl-Full-Std/instance-out.sql</t>
  </si>
  <si>
    <t>runs/CZ14/Hsp&amp;0&amp;cPVVE&amp;New&amp;Chiller__PumpCtrl/NE-Chiller-CHWPumpCtrl-Full-Msr/instance-out.sql</t>
  </si>
  <si>
    <t>runs/CZ14/Hsp&amp;0&amp;cPVVE&amp;New&amp;Chiller__PumpCtrl/NE-Chiller-PumpCtrl-Full-Std/instance-out.sql</t>
  </si>
  <si>
    <t>runs/CZ14/ESe&amp;0&amp;cPVVE&amp;New&amp;Chiller__PumpCtrl/NE-Chiller-CHWPumpCtrl-Full-Msr/instance-out.sql</t>
  </si>
  <si>
    <t>runs/CZ14/EUn&amp;0&amp;cPVVE&amp;New&amp;Chiller__PumpCtrl/NE-Chiller-CHWPumpCtrl-Full-Msr/instance-out.sql</t>
  </si>
  <si>
    <t>runs/CZ14/ECC&amp;0&amp;cPVVE&amp;New&amp;Chiller__PumpCtrl/NE-Chiller-PumpCtrl-Full-Std/instance-out.sql</t>
  </si>
  <si>
    <t>runs/CZ14/EUn&amp;0&amp;cPVVE&amp;New&amp;Chiller__PumpCtrl/NE-Chiller-PumpCtrl-Full-Std/instance-out.sql</t>
  </si>
  <si>
    <t>runs/CZ14/ECC&amp;0&amp;cPVVE&amp;New&amp;Chiller__PumpCtrl/NE-Chiller-CHWPumpCtrl-Full-Msr/instance-out.sql</t>
  </si>
  <si>
    <t>runs/CZ14/ESe&amp;0&amp;cPVVE&amp;New&amp;Chiller__PumpCtrl/NE-Chiller-PumpCtrl-Full-Std/instance-out.sql</t>
  </si>
  <si>
    <t>runs/CZ13/Rt3&amp;0&amp;cPVVE&amp;New&amp;Chiller__PumpCtrl/NE-Chiller-CHWPumpCtrl-Full-Msr/instance-out.sql</t>
  </si>
  <si>
    <t>runs/CZ13/OfS&amp;0&amp;cPVVE&amp;New&amp;Chiller__PumpCtrl/NE-Chiller-CHWPumpCtrl-Full-Msr/instance-out.sql</t>
  </si>
  <si>
    <t>runs/CZ13/Rt3&amp;0&amp;cPVVE&amp;New&amp;Chiller__PumpCtrl/NE-Chiller-PumpCtrl-Full-Std/instance-out.sql</t>
  </si>
  <si>
    <t>runs/CZ13/OfS&amp;0&amp;cPVVE&amp;New&amp;Chiller__PumpCtrl/NE-Chiller-PumpCtrl-Full-Std/instance-out.sql</t>
  </si>
  <si>
    <t>runs/CZ13/OfL&amp;0&amp;cPVVE&amp;New&amp;Chiller__PumpCtrl/NE-Chiller-CHWPumpCtrl-Full-Msr/instance-out.sql</t>
  </si>
  <si>
    <t>runs/CZ13/OfL&amp;0&amp;cPVVE&amp;New&amp;Chiller__PumpCtrl/NE-Chiller-PumpCtrl-Full-Std/instance-out.sql</t>
  </si>
  <si>
    <t>runs/CZ13/Nrs&amp;0&amp;cPVVE&amp;New&amp;Chiller__PumpCtrl/NE-Chiller-CHWPumpCtrl-Full-Msr/instance-out.sql</t>
  </si>
  <si>
    <t>runs/CZ13/Nrs&amp;0&amp;cPVVE&amp;New&amp;Chiller__PumpCtrl/NE-Chiller-PumpCtrl-Full-Std/instance-out.sql</t>
  </si>
  <si>
    <t>runs/CZ13/Hsp&amp;0&amp;cPVVE&amp;New&amp;Chiller__PumpCtrl/NE-Chiller-CHWPumpCtrl-Full-Msr/instance-out.sql</t>
  </si>
  <si>
    <t>runs/CZ13/Hsp&amp;0&amp;cPVVE&amp;New&amp;Chiller__PumpCtrl/NE-Chiller-PumpCtrl-Full-Std/instance-out.sql</t>
  </si>
  <si>
    <t>runs/CZ13/ESe&amp;0&amp;cPVVE&amp;New&amp;Chiller__PumpCtrl/NE-Chiller-CHWPumpCtrl-Full-Msr/instance-out.sql</t>
  </si>
  <si>
    <t>runs/CZ13/EUn&amp;0&amp;cPVVE&amp;New&amp;Chiller__PumpCtrl/NE-Chiller-CHWPumpCtrl-Full-Msr/instance-out.sql</t>
  </si>
  <si>
    <t>runs/CZ13/ESe&amp;0&amp;cPVVE&amp;New&amp;Chiller__PumpCtrl/NE-Chiller-PumpCtrl-Full-Std/instance-out.sql</t>
  </si>
  <si>
    <t>runs/CZ13/EUn&amp;0&amp;cPVVE&amp;New&amp;Chiller__PumpCtrl/NE-Chiller-PumpCtrl-Full-Std/instance-out.sql</t>
  </si>
  <si>
    <t>runs/CZ13/ECC&amp;0&amp;cPVVE&amp;New&amp;Chiller__PumpCtrl/NE-Chiller-CHWPumpCtrl-Full-Msr/instance-out.sql</t>
  </si>
  <si>
    <t>runs/CZ13/ECC&amp;0&amp;cPVVE&amp;New&amp;Chiller__PumpCtrl/NE-Chiller-PumpCtrl-Full-Std/instance-out.sql</t>
  </si>
  <si>
    <t>runs/CZ12/Rt3&amp;0&amp;cPVVE&amp;New&amp;Chiller__PumpCtrl/NE-Chiller-CHWPumpCtrl-Full-Msr/instance-out.sql</t>
  </si>
  <si>
    <t>runs/CZ12/Rt3&amp;0&amp;cPVVE&amp;New&amp;Chiller__PumpCtrl/NE-Chiller-PumpCtrl-Full-Std/instance-out.sql</t>
  </si>
  <si>
    <t>runs/CZ12/OfS&amp;0&amp;cPVVE&amp;New&amp;Chiller__PumpCtrl/NE-Chiller-PumpCtrl-Full-Std/instance-out.sql</t>
  </si>
  <si>
    <t>runs/CZ12/OfS&amp;0&amp;cPVVE&amp;New&amp;Chiller__PumpCtrl/NE-Chiller-CHWPumpCtrl-Full-Msr/instance-out.sql</t>
  </si>
  <si>
    <t>runs/CZ12/OfL&amp;0&amp;cPVVE&amp;New&amp;Chiller__PumpCtrl/NE-Chiller-PumpCtrl-Full-Std/instance-out.sql</t>
  </si>
  <si>
    <t>runs/CZ12/Nrs&amp;0&amp;cPVVE&amp;New&amp;Chiller__PumpCtrl/NE-Chiller-PumpCtrl-Full-Std/instance-out.sql</t>
  </si>
  <si>
    <t>runs/CZ12/Nrs&amp;0&amp;cPVVE&amp;New&amp;Chiller__PumpCtrl/NE-Chiller-CHWPumpCtrl-Full-Msr/instance-out.sql</t>
  </si>
  <si>
    <t>runs/CZ12/OfL&amp;0&amp;cPVVE&amp;New&amp;Chiller__PumpCtrl/NE-Chiller-CHWPumpCtrl-Full-Msr/instance-out.sql</t>
  </si>
  <si>
    <t>runs/CZ12/Hsp&amp;0&amp;cPVVE&amp;New&amp;Chiller__PumpCtrl/NE-Chiller-CHWPumpCtrl-Full-Msr/instance-out.sql</t>
  </si>
  <si>
    <t>runs/CZ12/Hsp&amp;0&amp;cPVVE&amp;New&amp;Chiller__PumpCtrl/NE-Chiller-PumpCtrl-Full-Std/instance-out.sql</t>
  </si>
  <si>
    <t>runs/CZ12/ESe&amp;0&amp;cPVVE&amp;New&amp;Chiller__PumpCtrl/NE-Chiller-PumpCtrl-Full-Std/instance-out.sql</t>
  </si>
  <si>
    <t>runs/CZ12/ESe&amp;0&amp;cPVVE&amp;New&amp;Chiller__PumpCtrl/NE-Chiller-CHWPumpCtrl-Full-Msr/instance-out.sql</t>
  </si>
  <si>
    <t>runs/CZ12/EUn&amp;0&amp;cPVVE&amp;New&amp;Chiller__PumpCtrl/NE-Chiller-CHWPumpCtrl-Full-Msr/instance-out.sql</t>
  </si>
  <si>
    <t>runs/CZ12/EUn&amp;0&amp;cPVVE&amp;New&amp;Chiller__PumpCtrl/NE-Chiller-PumpCtrl-Full-Std/instance-out.sql</t>
  </si>
  <si>
    <t>runs/CZ12/ECC&amp;0&amp;cPVVE&amp;New&amp;Chiller__PumpCtrl/NE-Chiller-PumpCtrl-Full-Std/instance-out.sql</t>
  </si>
  <si>
    <t>runs/CZ12/ECC&amp;0&amp;cPVVE&amp;New&amp;Chiller__PumpCtrl/NE-Chiller-CHWPumpCtrl-Full-Msr/instance-out.sql</t>
  </si>
  <si>
    <t>runs/CZ11/Rt3&amp;0&amp;cPVVE&amp;New&amp;Chiller__PumpCtrl/NE-Chiller-PumpCtrl-Full-Std/instance-out.sql</t>
  </si>
  <si>
    <t>runs/CZ11/Rt3&amp;0&amp;cPVVE&amp;New&amp;Chiller__PumpCtrl/NE-Chiller-CHWPumpCtrl-Full-Msr/instance-out.sql</t>
  </si>
  <si>
    <t>runs/CZ11/OfS&amp;0&amp;cPVVE&amp;New&amp;Chiller__PumpCtrl/NE-Chiller-PumpCtrl-Full-Std/instance-out.sql</t>
  </si>
  <si>
    <t>runs/CZ11/OfS&amp;0&amp;cPVVE&amp;New&amp;Chiller__PumpCtrl/NE-Chiller-CHWPumpCtrl-Full-Msr/instance-out.sql</t>
  </si>
  <si>
    <t>runs/CZ11/Nrs&amp;0&amp;cPVVE&amp;New&amp;Chiller__PumpCtrl/NE-Chiller-CHWPumpCtrl-Full-Msr/instance-out.sql</t>
  </si>
  <si>
    <t>runs/CZ11/Nrs&amp;0&amp;cPVVE&amp;New&amp;Chiller__PumpCtrl/NE-Chiller-PumpCtrl-Full-Std/instance-out.sql</t>
  </si>
  <si>
    <t>runs/CZ11/OfL&amp;0&amp;cPVVE&amp;New&amp;Chiller__PumpCtrl/NE-Chiller-CHWPumpCtrl-Full-Msr/instance-out.sql</t>
  </si>
  <si>
    <t>runs/CZ11/OfL&amp;0&amp;cPVVE&amp;New&amp;Chiller__PumpCtrl/NE-Chiller-PumpCtrl-Full-Std/instance-out.sql</t>
  </si>
  <si>
    <t>runs/CZ11/Hsp&amp;0&amp;cPVVE&amp;New&amp;Chiller__PumpCtrl/NE-Chiller-PumpCtrl-Full-Std/instance-out.sql</t>
  </si>
  <si>
    <t>runs/CZ11/Hsp&amp;0&amp;cPVVE&amp;New&amp;Chiller__PumpCtrl/NE-Chiller-CHWPumpCtrl-Full-Msr/instance-out.sql</t>
  </si>
  <si>
    <t>runs/CZ11/ESe&amp;0&amp;cPVVE&amp;New&amp;Chiller__PumpCtrl/NE-Chiller-CHWPumpCtrl-Full-Msr/instance-out.sql</t>
  </si>
  <si>
    <t>runs/CZ11/EUn&amp;0&amp;cPVVE&amp;New&amp;Chiller__PumpCtrl/NE-Chiller-PumpCtrl-Full-Std/instance-out.sql</t>
  </si>
  <si>
    <t>runs/CZ11/ESe&amp;0&amp;cPVVE&amp;New&amp;Chiller__PumpCtrl/NE-Chiller-PumpCtrl-Full-Std/instance-out.sql</t>
  </si>
  <si>
    <t>runs/CZ11/EUn&amp;0&amp;cPVVE&amp;New&amp;Chiller__PumpCtrl/NE-Chiller-CHWPumpCtrl-Full-Msr/instance-out.sql</t>
  </si>
  <si>
    <t>runs/CZ11/ECC&amp;0&amp;cPVVE&amp;New&amp;Chiller__PumpCtrl/NE-Chiller-CHWPumpCtrl-Full-Msr/instance-out.sql</t>
  </si>
  <si>
    <t>runs/CZ11/ECC&amp;0&amp;cPVVE&amp;New&amp;Chiller__PumpCtrl/NE-Chiller-PumpCtrl-Full-Std/instance-out.sql</t>
  </si>
  <si>
    <t>runs/CZ10/Rt3&amp;0&amp;cPVVE&amp;New&amp;Chiller__PumpCtrl/NE-Chiller-PumpCtrl-Full-Std/instance-out.sql</t>
  </si>
  <si>
    <t>runs/CZ10/OfS&amp;0&amp;cPVVE&amp;New&amp;Chiller__PumpCtrl/NE-Chiller-CHWPumpCtrl-Full-Msr/instance-out.sql</t>
  </si>
  <si>
    <t>runs/CZ10/OfS&amp;0&amp;cPVVE&amp;New&amp;Chiller__PumpCtrl/NE-Chiller-PumpCtrl-Full-Std/instance-out.sql</t>
  </si>
  <si>
    <t>runs/CZ10/Rt3&amp;0&amp;cPVVE&amp;New&amp;Chiller__PumpCtrl/NE-Chiller-CHWPumpCtrl-Full-Msr/instance-out.sql</t>
  </si>
  <si>
    <t>runs/CZ10/OfL&amp;0&amp;cPVVE&amp;New&amp;Chiller__PumpCtrl/NE-Chiller-CHWPumpCtrl-Full-Msr/instance-out.sql</t>
  </si>
  <si>
    <t>runs/CZ10/OfL&amp;0&amp;cPVVE&amp;New&amp;Chiller__PumpCtrl/NE-Chiller-PumpCtrl-Full-Std/instance-out.sql</t>
  </si>
  <si>
    <t>runs/CZ10/Nrs&amp;0&amp;cPVVE&amp;New&amp;Chiller__PumpCtrl/NE-Chiller-CHWPumpCtrl-Full-Msr/instance-out.sql</t>
  </si>
  <si>
    <t>runs/CZ10/Nrs&amp;0&amp;cPVVE&amp;New&amp;Chiller__PumpCtrl/NE-Chiller-PumpCtrl-Full-Std/instance-out.sql</t>
  </si>
  <si>
    <t>runs/CZ10/Hsp&amp;0&amp;cPVVE&amp;New&amp;Chiller__PumpCtrl/NE-Chiller-CHWPumpCtrl-Full-Msr/instance-out.sql</t>
  </si>
  <si>
    <t>runs/CZ10/Hsp&amp;0&amp;cPVVE&amp;New&amp;Chiller__PumpCtrl/NE-Chiller-PumpCtrl-Full-Std/instance-out.sql</t>
  </si>
  <si>
    <t>runs/CZ10/ESe&amp;0&amp;cPVVE&amp;New&amp;Chiller__PumpCtrl/NE-Chiller-PumpCtrl-Full-Std/instance-out.sql</t>
  </si>
  <si>
    <t>runs/CZ10/EUn&amp;0&amp;cPVVE&amp;New&amp;Chiller__PumpCtrl/NE-Chiller-CHWPumpCtrl-Full-Msr/instance-out.sql</t>
  </si>
  <si>
    <t>runs/CZ10/EUn&amp;0&amp;cPVVE&amp;New&amp;Chiller__PumpCtrl/NE-Chiller-PumpCtrl-Full-Std/instance-out.sql</t>
  </si>
  <si>
    <t>runs/CZ10/ECC&amp;0&amp;cPVVE&amp;New&amp;Chiller__PumpCtrl/NE-Chiller-CHWPumpCtrl-Full-Msr/instance-out.sql</t>
  </si>
  <si>
    <t>runs/CZ10/ESe&amp;0&amp;cPVVE&amp;New&amp;Chiller__PumpCtrl/NE-Chiller-CHWPumpCtrl-Full-Msr/instance-out.sql</t>
  </si>
  <si>
    <t>runs/CZ10/ECC&amp;0&amp;cPVVE&amp;New&amp;Chiller__PumpCtrl/NE-Chiller-PumpCtrl-Full-Std/instance-out.sql</t>
  </si>
  <si>
    <t>runs/CZ09/Rt3&amp;0&amp;cPVVE&amp;New&amp;Chiller__PumpCtrl/NE-Chiller-CHWPumpCtrl-Full-Msr/instance-out.sql</t>
  </si>
  <si>
    <t>runs/CZ09/Rt3&amp;0&amp;cPVVE&amp;New&amp;Chiller__PumpCtrl/NE-Chiller-PumpCtrl-Full-Std/instance-out.sql</t>
  </si>
  <si>
    <t>runs/CZ09/OfS&amp;0&amp;cPVVE&amp;New&amp;Chiller__PumpCtrl/NE-Chiller-CHWPumpCtrl-Full-Msr/instance-out.sql</t>
  </si>
  <si>
    <t>runs/CZ09/OfS&amp;0&amp;cPVVE&amp;New&amp;Chiller__PumpCtrl/NE-Chiller-PumpCtrl-Full-Std/instance-out.sql</t>
  </si>
  <si>
    <t>runs/CZ09/OfL&amp;0&amp;cPVVE&amp;New&amp;Chiller__PumpCtrl/NE-Chiller-CHWPumpCtrl-Full-Msr/instance-out.sql</t>
  </si>
  <si>
    <t>runs/CZ09/OfL&amp;0&amp;cPVVE&amp;New&amp;Chiller__PumpCtrl/NE-Chiller-PumpCtrl-Full-Std/instance-out.sql</t>
  </si>
  <si>
    <t>runs/CZ09/Nrs&amp;0&amp;cPVVE&amp;New&amp;Chiller__PumpCtrl/NE-Chiller-CHWPumpCtrl-Full-Msr/instance-out.sql</t>
  </si>
  <si>
    <t>runs/CZ09/Nrs&amp;0&amp;cPVVE&amp;New&amp;Chiller__PumpCtrl/NE-Chiller-PumpCtrl-Full-Std/instance-out.sql</t>
  </si>
  <si>
    <t>runs/CZ09/Hsp&amp;0&amp;cPVVE&amp;New&amp;Chiller__PumpCtrl/NE-Chiller-PumpCtrl-Full-Std/instance-out.sql</t>
  </si>
  <si>
    <t>runs/CZ09/Hsp&amp;0&amp;cPVVE&amp;New&amp;Chiller__PumpCtrl/NE-Chiller-CHWPumpCtrl-Full-Msr/instance-out.sql</t>
  </si>
  <si>
    <t>runs/CZ09/ESe&amp;0&amp;cPVVE&amp;New&amp;Chiller__PumpCtrl/NE-Chiller-PumpCtrl-Full-Std/instance-out.sql</t>
  </si>
  <si>
    <t>runs/CZ09/ESe&amp;0&amp;cPVVE&amp;New&amp;Chiller__PumpCtrl/NE-Chiller-CHWPumpCtrl-Full-Msr/instance-out.sql</t>
  </si>
  <si>
    <t>runs/CZ09/EUn&amp;0&amp;cPVVE&amp;New&amp;Chiller__PumpCtrl/NE-Chiller-CHWPumpCtrl-Full-Msr/instance-out.sql</t>
  </si>
  <si>
    <t>runs/CZ09/EUn&amp;0&amp;cPVVE&amp;New&amp;Chiller__PumpCtrl/NE-Chiller-PumpCtrl-Full-Std/instance-out.sql</t>
  </si>
  <si>
    <t>runs/CZ09/ECC&amp;0&amp;cPVVE&amp;New&amp;Chiller__PumpCtrl/NE-Chiller-CHWPumpCtrl-Full-Msr/instance-out.sql</t>
  </si>
  <si>
    <t>runs/CZ09/ECC&amp;0&amp;cPVVE&amp;New&amp;Chiller__PumpCtrl/NE-Chiller-PumpCtrl-Full-Std/instance-out.sql</t>
  </si>
  <si>
    <t>runs/CZ08/Rt3&amp;0&amp;cPVVE&amp;New&amp;Chiller__PumpCtrl/NE-Chiller-PumpCtrl-Full-Std/instance-out.sql</t>
  </si>
  <si>
    <t>runs/CZ08/Rt3&amp;0&amp;cPVVE&amp;New&amp;Chiller__PumpCtrl/NE-Chiller-CHWPumpCtrl-Full-Msr/instance-out.sql</t>
  </si>
  <si>
    <t>runs/CZ08/OfS&amp;0&amp;cPVVE&amp;New&amp;Chiller__PumpCtrl/NE-Chiller-CHWPumpCtrl-Full-Msr/instance-out.sql</t>
  </si>
  <si>
    <t>runs/CZ08/OfS&amp;0&amp;cPVVE&amp;New&amp;Chiller__PumpCtrl/NE-Chiller-PumpCtrl-Full-Std/instance-out.sql</t>
  </si>
  <si>
    <t>runs/CZ08/OfL&amp;0&amp;cPVVE&amp;New&amp;Chiller__PumpCtrl/NE-Chiller-CHWPumpCtrl-Full-Msr/instance-out.sql</t>
  </si>
  <si>
    <t>runs/CZ08/OfL&amp;0&amp;cPVVE&amp;New&amp;Chiller__PumpCtrl/NE-Chiller-PumpCtrl-Full-Std/instance-out.sql</t>
  </si>
  <si>
    <t>runs/CZ08/Nrs&amp;0&amp;cPVVE&amp;New&amp;Chiller__PumpCtrl/NE-Chiller-CHWPumpCtrl-Full-Msr/instance-out.sql</t>
  </si>
  <si>
    <t>runs/CZ08/Nrs&amp;0&amp;cPVVE&amp;New&amp;Chiller__PumpCtrl/NE-Chiller-PumpCtrl-Full-Std/instance-out.sql</t>
  </si>
  <si>
    <t>runs/CZ08/Hsp&amp;0&amp;cPVVE&amp;New&amp;Chiller__PumpCtrl/NE-Chiller-PumpCtrl-Full-Std/instance-out.sql</t>
  </si>
  <si>
    <t>runs/CZ08/ESe&amp;0&amp;cPVVE&amp;New&amp;Chiller__PumpCtrl/NE-Chiller-CHWPumpCtrl-Full-Msr/instance-out.sql</t>
  </si>
  <si>
    <t>runs/CZ08/Hsp&amp;0&amp;cPVVE&amp;New&amp;Chiller__PumpCtrl/NE-Chiller-CHWPumpCtrl-Full-Msr/instance-out.sql</t>
  </si>
  <si>
    <t>runs/CZ08/ESe&amp;0&amp;cPVVE&amp;New&amp;Chiller__PumpCtrl/NE-Chiller-PumpCtrl-Full-Std/instance-out.sql</t>
  </si>
  <si>
    <t>runs/CZ08/EUn&amp;0&amp;cPVVE&amp;New&amp;Chiller__PumpCtrl/NE-Chiller-CHWPumpCtrl-Full-Msr/instance-out.sql</t>
  </si>
  <si>
    <t>runs/CZ08/EUn&amp;0&amp;cPVVE&amp;New&amp;Chiller__PumpCtrl/NE-Chiller-PumpCtrl-Full-Std/instance-out.sql</t>
  </si>
  <si>
    <t>runs/CZ08/ECC&amp;0&amp;cPVVE&amp;New&amp;Chiller__PumpCtrl/NE-Chiller-PumpCtrl-Full-Std/instance-out.sql</t>
  </si>
  <si>
    <t>runs/CZ08/ECC&amp;0&amp;cPVVE&amp;New&amp;Chiller__PumpCtrl/NE-Chiller-CHWPumpCtrl-Full-Msr/instance-out.sql</t>
  </si>
  <si>
    <t>runs/CZ07/Rt3&amp;0&amp;cPVVE&amp;New&amp;Chiller__PumpCtrl/NE-Chiller-CHWPumpCtrl-Full-Msr/instance-out.sql</t>
  </si>
  <si>
    <t>runs/CZ07/Rt3&amp;0&amp;cPVVE&amp;New&amp;Chiller__PumpCtrl/NE-Chiller-PumpCtrl-Full-Std/instance-out.sql</t>
  </si>
  <si>
    <t>runs/CZ07/OfS&amp;0&amp;cPVVE&amp;New&amp;Chiller__PumpCtrl/NE-Chiller-CHWPumpCtrl-Full-Msr/instance-out.sql</t>
  </si>
  <si>
    <t>runs/CZ07/OfS&amp;0&amp;cPVVE&amp;New&amp;Chiller__PumpCtrl/NE-Chiller-PumpCtrl-Full-Std/instance-out.sql</t>
  </si>
  <si>
    <t>runs/CZ07/Nrs&amp;0&amp;cPVVE&amp;New&amp;Chiller__PumpCtrl/NE-Chiller-CHWPumpCtrl-Full-Msr/instance-out.sql</t>
  </si>
  <si>
    <t>runs/CZ07/OfL&amp;0&amp;cPVVE&amp;New&amp;Chiller__PumpCtrl/NE-Chiller-PumpCtrl-Full-Std/instance-out.sql</t>
  </si>
  <si>
    <t>runs/CZ07/OfL&amp;0&amp;cPVVE&amp;New&amp;Chiller__PumpCtrl/NE-Chiller-CHWPumpCtrl-Full-Msr/instance-out.sql</t>
  </si>
  <si>
    <t>runs/CZ07/Nrs&amp;0&amp;cPVVE&amp;New&amp;Chiller__PumpCtrl/NE-Chiller-PumpCtrl-Full-Std/instance-out.sql</t>
  </si>
  <si>
    <t>runs/CZ07/Hsp&amp;0&amp;cPVVE&amp;New&amp;Chiller__PumpCtrl/NE-Chiller-PumpCtrl-Full-Std/instance-out.sql</t>
  </si>
  <si>
    <t>runs/CZ07/EUn&amp;0&amp;cPVVE&amp;New&amp;Chiller__PumpCtrl/NE-Chiller-CHWPumpCtrl-Full-Msr/instance-out.sql</t>
  </si>
  <si>
    <t>runs/CZ07/ESe&amp;0&amp;cPVVE&amp;New&amp;Chiller__PumpCtrl/NE-Chiller-CHWPumpCtrl-Full-Msr/instance-out.sql</t>
  </si>
  <si>
    <t>runs/CZ07/Hsp&amp;0&amp;cPVVE&amp;New&amp;Chiller__PumpCtrl/NE-Chiller-CHWPumpCtrl-Full-Msr/instance-out.sql</t>
  </si>
  <si>
    <t>runs/CZ07/ESe&amp;0&amp;cPVVE&amp;New&amp;Chiller__PumpCtrl/NE-Chiller-PumpCtrl-Full-Std/instance-out.sql</t>
  </si>
  <si>
    <t>runs/CZ07/ECC&amp;0&amp;cPVVE&amp;New&amp;Chiller__PumpCtrl/NE-Chiller-CHWPumpCtrl-Full-Msr/instance-out.sql</t>
  </si>
  <si>
    <t>runs/CZ07/EUn&amp;0&amp;cPVVE&amp;New&amp;Chiller__PumpCtrl/NE-Chiller-PumpCtrl-Full-Std/instance-out.sql</t>
  </si>
  <si>
    <t>runs/CZ07/ECC&amp;0&amp;cPVVE&amp;New&amp;Chiller__PumpCtrl/NE-Chiller-PumpCtrl-Full-Std/instance-out.sql</t>
  </si>
  <si>
    <t>runs/CZ06/Rt3&amp;0&amp;cPVVE&amp;New&amp;Chiller__PumpCtrl/NE-Chiller-PumpCtrl-Full-Std/instance-out.sql</t>
  </si>
  <si>
    <t>runs/CZ06/Rt3&amp;0&amp;cPVVE&amp;New&amp;Chiller__PumpCtrl/NE-Chiller-CHWPumpCtrl-Full-Msr/instance-out.sql</t>
  </si>
  <si>
    <t>runs/CZ06/OfS&amp;0&amp;cPVVE&amp;New&amp;Chiller__PumpCtrl/NE-Chiller-PumpCtrl-Full-Std/instance-out.sql</t>
  </si>
  <si>
    <t>runs/CZ06/OfS&amp;0&amp;cPVVE&amp;New&amp;Chiller__PumpCtrl/NE-Chiller-CHWPumpCtrl-Full-Msr/instance-out.sql</t>
  </si>
  <si>
    <t>runs/CZ06/Nrs&amp;0&amp;cPVVE&amp;New&amp;Chiller__PumpCtrl/NE-Chiller-CHWPumpCtrl-Full-Msr/instance-out.sql</t>
  </si>
  <si>
    <t>runs/CZ06/OfL&amp;0&amp;cPVVE&amp;New&amp;Chiller__PumpCtrl/NE-Chiller-PumpCtrl-Full-Std/instance-out.sql</t>
  </si>
  <si>
    <t>runs/CZ06/OfL&amp;0&amp;cPVVE&amp;New&amp;Chiller__PumpCtrl/NE-Chiller-CHWPumpCtrl-Full-Msr/instance-out.sql</t>
  </si>
  <si>
    <t>runs/CZ06/Nrs&amp;0&amp;cPVVE&amp;New&amp;Chiller__PumpCtrl/NE-Chiller-PumpCtrl-Full-Std/instance-out.sql</t>
  </si>
  <si>
    <t>runs/CZ06/Hsp&amp;0&amp;cPVVE&amp;New&amp;Chiller__PumpCtrl/NE-Chiller-PumpCtrl-Full-Std/instance-out.sql</t>
  </si>
  <si>
    <t>runs/CZ06/Hsp&amp;0&amp;cPVVE&amp;New&amp;Chiller__PumpCtrl/NE-Chiller-CHWPumpCtrl-Full-Msr/instance-out.sql</t>
  </si>
  <si>
    <t>runs/CZ06/EUn&amp;0&amp;cPVVE&amp;New&amp;Chiller__PumpCtrl/NE-Chiller-CHWPumpCtrl-Full-Msr/instance-out.sql</t>
  </si>
  <si>
    <t>runs/CZ06/ESe&amp;0&amp;cPVVE&amp;New&amp;Chiller__PumpCtrl/NE-Chiller-CHWPumpCtrl-Full-Msr/instance-out.sql</t>
  </si>
  <si>
    <t>runs/CZ06/ESe&amp;0&amp;cPVVE&amp;New&amp;Chiller__PumpCtrl/NE-Chiller-PumpCtrl-Full-Std/instance-out.sql</t>
  </si>
  <si>
    <t>runs/CZ06/ECC&amp;0&amp;cPVVE&amp;New&amp;Chiller__PumpCtrl/NE-Chiller-PumpCtrl-Full-Std/instance-out.sql</t>
  </si>
  <si>
    <t>runs/CZ06/EUn&amp;0&amp;cPVVE&amp;New&amp;Chiller__PumpCtrl/NE-Chiller-PumpCtrl-Full-Std/instance-out.sql</t>
  </si>
  <si>
    <t>runs/CZ06/ECC&amp;0&amp;cPVVE&amp;New&amp;Chiller__PumpCtrl/NE-Chiller-CHWPumpCtrl-Full-Msr/instance-out.sql</t>
  </si>
  <si>
    <t>runs/CZ05/Rt3&amp;0&amp;cPVVE&amp;New&amp;Chiller__PumpCtrl/NE-Chiller-CHWPumpCtrl-Full-Msr/instance-out.sql</t>
  </si>
  <si>
    <t>runs/CZ05/Rt3&amp;0&amp;cPVVE&amp;New&amp;Chiller__PumpCtrl/NE-Chiller-PumpCtrl-Full-Std/instance-out.sql</t>
  </si>
  <si>
    <t>runs/CZ05/OfS&amp;0&amp;cPVVE&amp;New&amp;Chiller__PumpCtrl/NE-Chiller-CHWPumpCtrl-Full-Msr/instance-out.sql</t>
  </si>
  <si>
    <t>runs/CZ05/OfS&amp;0&amp;cPVVE&amp;New&amp;Chiller__PumpCtrl/NE-Chiller-PumpCtrl-Full-Std/instance-out.sql</t>
  </si>
  <si>
    <t>runs/CZ05/OfL&amp;0&amp;cPVVE&amp;New&amp;Chiller__PumpCtrl/NE-Chiller-CHWPumpCtrl-Full-Msr/instance-out.sql</t>
  </si>
  <si>
    <t>runs/CZ05/OfL&amp;0&amp;cPVVE&amp;New&amp;Chiller__PumpCtrl/NE-Chiller-PumpCtrl-Full-Std/instance-out.sql</t>
  </si>
  <si>
    <t>runs/CZ05/Nrs&amp;0&amp;cPVVE&amp;New&amp;Chiller__PumpCtrl/NE-Chiller-CHWPumpCtrl-Full-Msr/instance-out.sql</t>
  </si>
  <si>
    <t>runs/CZ05/Nrs&amp;0&amp;cPVVE&amp;New&amp;Chiller__PumpCtrl/NE-Chiller-PumpCtrl-Full-Std/instance-out.sql</t>
  </si>
  <si>
    <t>runs/CZ05/Hsp&amp;0&amp;cPVVE&amp;New&amp;Chiller__PumpCtrl/NE-Chiller-CHWPumpCtrl-Full-Msr/instance-out.sql</t>
  </si>
  <si>
    <t>runs/CZ05/Hsp&amp;0&amp;cPVVE&amp;New&amp;Chiller__PumpCtrl/NE-Chiller-PumpCtrl-Full-Std/instance-out.sql</t>
  </si>
  <si>
    <t>runs/CZ05/ESe&amp;0&amp;cPVVE&amp;New&amp;Chiller__PumpCtrl/NE-Chiller-CHWPumpCtrl-Full-Msr/instance-out.sql</t>
  </si>
  <si>
    <t>runs/CZ05/EUn&amp;0&amp;cPVVE&amp;New&amp;Chiller__PumpCtrl/NE-Chiller-PumpCtrl-Full-Std/instance-out.sql</t>
  </si>
  <si>
    <t>runs/CZ05/ECC&amp;0&amp;cPVVE&amp;New&amp;Chiller__PumpCtrl/NE-Chiller-CHWPumpCtrl-Full-Msr/instance-out.sql</t>
  </si>
  <si>
    <t>runs/CZ05/EUn&amp;0&amp;cPVVE&amp;New&amp;Chiller__PumpCtrl/NE-Chiller-CHWPumpCtrl-Full-Msr/instance-out.sql</t>
  </si>
  <si>
    <t>runs/CZ05/ESe&amp;0&amp;cPVVE&amp;New&amp;Chiller__PumpCtrl/NE-Chiller-PumpCtrl-Full-Std/instance-out.sql</t>
  </si>
  <si>
    <t>runs/CZ05/ECC&amp;0&amp;cPVVE&amp;New&amp;Chiller__PumpCtrl/NE-Chiller-PumpCtrl-Full-Std/instance-out.sql</t>
  </si>
  <si>
    <t>runs/CZ04/Rt3&amp;0&amp;cPVVE&amp;New&amp;Chiller__PumpCtrl/NE-Chiller-PumpCtrl-Full-Std/instance-out.sql</t>
  </si>
  <si>
    <t>runs/CZ04/Rt3&amp;0&amp;cPVVE&amp;New&amp;Chiller__PumpCtrl/NE-Chiller-CHWPumpCtrl-Full-Msr/instance-out.sql</t>
  </si>
  <si>
    <t>runs/CZ04/OfS&amp;0&amp;cPVVE&amp;New&amp;Chiller__PumpCtrl/NE-Chiller-CHWPumpCtrl-Full-Msr/instance-out.sql</t>
  </si>
  <si>
    <t>runs/CZ04/OfS&amp;0&amp;cPVVE&amp;New&amp;Chiller__PumpCtrl/NE-Chiller-PumpCtrl-Full-Std/instance-out.sql</t>
  </si>
  <si>
    <t>runs/CZ04/OfL&amp;0&amp;cPVVE&amp;New&amp;Chiller__PumpCtrl/NE-Chiller-CHWPumpCtrl-Full-Msr/instance-out.sql</t>
  </si>
  <si>
    <t>runs/CZ04/OfL&amp;0&amp;cPVVE&amp;New&amp;Chiller__PumpCtrl/NE-Chiller-PumpCtrl-Full-Std/instance-out.sql</t>
  </si>
  <si>
    <t>runs/CZ04/Nrs&amp;0&amp;cPVVE&amp;New&amp;Chiller__PumpCtrl/NE-Chiller-CHWPumpCtrl-Full-Msr/instance-out.sql</t>
  </si>
  <si>
    <t>runs/CZ04/Nrs&amp;0&amp;cPVVE&amp;New&amp;Chiller__PumpCtrl/NE-Chiller-PumpCtrl-Full-Std/instance-out.sql</t>
  </si>
  <si>
    <t>runs/CZ04/ESe&amp;0&amp;cPVVE&amp;New&amp;Chiller__PumpCtrl/NE-Chiller-CHWPumpCtrl-Full-Msr/instance-out.sql</t>
  </si>
  <si>
    <t>runs/CZ04/Hsp&amp;0&amp;cPVVE&amp;New&amp;Chiller__PumpCtrl/NE-Chiller-CHWPumpCtrl-Full-Msr/instance-out.sql</t>
  </si>
  <si>
    <t>runs/CZ04/Hsp&amp;0&amp;cPVVE&amp;New&amp;Chiller__PumpCtrl/NE-Chiller-PumpCtrl-Full-Std/instance-out.sql</t>
  </si>
  <si>
    <t>runs/CZ04/EUn&amp;0&amp;cPVVE&amp;New&amp;Chiller__PumpCtrl/NE-Chiller-CHWPumpCtrl-Full-Msr/instance-out.sql</t>
  </si>
  <si>
    <t>runs/CZ04/ESe&amp;0&amp;cPVVE&amp;New&amp;Chiller__PumpCtrl/NE-Chiller-PumpCtrl-Full-Std/instance-out.sql</t>
  </si>
  <si>
    <t>runs/CZ04/EUn&amp;0&amp;cPVVE&amp;New&amp;Chiller__PumpCtrl/NE-Chiller-PumpCtrl-Full-Std/instance-out.sql</t>
  </si>
  <si>
    <t>runs/CZ04/ECC&amp;0&amp;cPVVE&amp;New&amp;Chiller__PumpCtrl/NE-Chiller-CHWPumpCtrl-Full-Msr/instance-out.sql</t>
  </si>
  <si>
    <t>runs/CZ04/ECC&amp;0&amp;cPVVE&amp;New&amp;Chiller__PumpCtrl/NE-Chiller-PumpCtrl-Full-Std/instance-out.sql</t>
  </si>
  <si>
    <t>runs/CZ03/Rt3&amp;0&amp;cPVVE&amp;New&amp;Chiller__PumpCtrl/NE-Chiller-CHWPumpCtrl-Full-Msr/instance-out.sql</t>
  </si>
  <si>
    <t>runs/CZ03/Rt3&amp;0&amp;cPVVE&amp;New&amp;Chiller__PumpCtrl/NE-Chiller-PumpCtrl-Full-Std/instance-out.sql</t>
  </si>
  <si>
    <t>runs/CZ03/OfS&amp;0&amp;cPVVE&amp;New&amp;Chiller__PumpCtrl/NE-Chiller-CHWPumpCtrl-Full-Msr/instance-out.sql</t>
  </si>
  <si>
    <t>runs/CZ03/OfS&amp;0&amp;cPVVE&amp;New&amp;Chiller__PumpCtrl/NE-Chiller-PumpCtrl-Full-Std/instance-out.sql</t>
  </si>
  <si>
    <t>runs/CZ03/OfL&amp;0&amp;cPVVE&amp;New&amp;Chiller__PumpCtrl/NE-Chiller-CHWPumpCtrl-Full-Msr/instance-out.sql</t>
  </si>
  <si>
    <t>runs/CZ03/OfL&amp;0&amp;cPVVE&amp;New&amp;Chiller__PumpCtrl/NE-Chiller-PumpCtrl-Full-Std/instance-out.sql</t>
  </si>
  <si>
    <t>runs/CZ03/Nrs&amp;0&amp;cPVVE&amp;New&amp;Chiller__PumpCtrl/NE-Chiller-CHWPumpCtrl-Full-Msr/instance-out.sql</t>
  </si>
  <si>
    <t>runs/CZ03/Nrs&amp;0&amp;cPVVE&amp;New&amp;Chiller__PumpCtrl/NE-Chiller-PumpCtrl-Full-Std/instance-out.sql</t>
  </si>
  <si>
    <t>runs/CZ03/Hsp&amp;0&amp;cPVVE&amp;New&amp;Chiller__PumpCtrl/NE-Chiller-CHWPumpCtrl-Full-Msr/instance-out.sql</t>
  </si>
  <si>
    <t>runs/CZ03/Hsp&amp;0&amp;cPVVE&amp;New&amp;Chiller__PumpCtrl/NE-Chiller-PumpCtrl-Full-Std/instance-out.sql</t>
  </si>
  <si>
    <t>runs/CZ03/EUn&amp;0&amp;cPVVE&amp;New&amp;Chiller__PumpCtrl/NE-Chiller-CHWPumpCtrl-Full-Msr/instance-out.sql</t>
  </si>
  <si>
    <t>runs/CZ03/ESe&amp;0&amp;cPVVE&amp;New&amp;Chiller__PumpCtrl/NE-Chiller-CHWPumpCtrl-Full-Msr/instance-out.sql</t>
  </si>
  <si>
    <t>runs/CZ03/ESe&amp;0&amp;cPVVE&amp;New&amp;Chiller__PumpCtrl/NE-Chiller-PumpCtrl-Full-Std/instance-out.sql</t>
  </si>
  <si>
    <t>runs/CZ03/EUn&amp;0&amp;cPVVE&amp;New&amp;Chiller__PumpCtrl/NE-Chiller-PumpCtrl-Full-Std/instance-out.sql</t>
  </si>
  <si>
    <t>runs/CZ02/OfS&amp;0&amp;cPVVE&amp;New&amp;Chiller__PumpCtrl/NE-Chiller-CHWPumpCtrl-Full-Msr/instance-out.sql</t>
  </si>
  <si>
    <t>runs/CZ03/ECC&amp;0&amp;cPVVE&amp;New&amp;Chiller__PumpCtrl/NE-Chiller-PumpCtrl-Full-Std/instance-out.sql</t>
  </si>
  <si>
    <t>runs/CZ03/ECC&amp;0&amp;cPVVE&amp;New&amp;Chiller__PumpCtrl/NE-Chiller-CHWPumpCtrl-Full-Msr/instance-out.sql</t>
  </si>
  <si>
    <t>runs/CZ02/Rt3&amp;0&amp;cPVVE&amp;New&amp;Chiller__PumpCtrl/NE-Chiller-PumpCtrl-Full-Std/instance-out.sql</t>
  </si>
  <si>
    <t>runs/CZ02/Rt3&amp;0&amp;cPVVE&amp;New&amp;Chiller__PumpCtrl/NE-Chiller-CHWPumpCtrl-Full-Msr/instance-out.sql</t>
  </si>
  <si>
    <t>runs/CZ02/OfS&amp;0&amp;cPVVE&amp;New&amp;Chiller__PumpCtrl/NE-Chiller-PumpCtrl-Full-Std/instance-out.sql</t>
  </si>
  <si>
    <t>runs/CZ02/OfL&amp;0&amp;cPVVE&amp;New&amp;Chiller__PumpCtrl/NE-Chiller-CHWPumpCtrl-Full-Msr/instance-out.sql</t>
  </si>
  <si>
    <t>runs/CZ02/OfL&amp;0&amp;cPVVE&amp;New&amp;Chiller__PumpCtrl/NE-Chiller-PumpCtrl-Full-Std/instance-out.sql</t>
  </si>
  <si>
    <t>runs/CZ02/Nrs&amp;0&amp;cPVVE&amp;New&amp;Chiller__PumpCtrl/NE-Chiller-PumpCtrl-Full-Std/instance-out.sql</t>
  </si>
  <si>
    <t>runs/CZ02/Nrs&amp;0&amp;cPVVE&amp;New&amp;Chiller__PumpCtrl/NE-Chiller-CHWPumpCtrl-Full-Msr/instance-out.sql</t>
  </si>
  <si>
    <t>runs/CZ02/Hsp&amp;0&amp;cPVVE&amp;New&amp;Chiller__PumpCtrl/NE-Chiller-CHWPumpCtrl-Full-Msr/instance-out.sql</t>
  </si>
  <si>
    <t>runs/CZ02/ESe&amp;0&amp;cPVVE&amp;New&amp;Chiller__PumpCtrl/NE-Chiller-CHWPumpCtrl-Full-Msr/instance-out.sql</t>
  </si>
  <si>
    <t>runs/CZ02/Hsp&amp;0&amp;cPVVE&amp;New&amp;Chiller__PumpCtrl/NE-Chiller-PumpCtrl-Full-Std/instance-out.sql</t>
  </si>
  <si>
    <t>runs/CZ02/ESe&amp;0&amp;cPVVE&amp;New&amp;Chiller__PumpCtrl/NE-Chiller-PumpCtrl-Full-Std/instance-out.sql</t>
  </si>
  <si>
    <t>runs/CZ02/ECC&amp;0&amp;cPVVE&amp;New&amp;Chiller__PumpCtrl/NE-Chiller-CHWPumpCtrl-Full-Msr/instance-out.sql</t>
  </si>
  <si>
    <t>runs/CZ02/EUn&amp;0&amp;cPVVE&amp;New&amp;Chiller__PumpCtrl/NE-Chiller-PumpCtrl-Full-Std/instance-out.sql</t>
  </si>
  <si>
    <t>runs/CZ01/Rt3&amp;0&amp;cPVVE&amp;New&amp;Chiller__PumpCtrl/NE-Chiller-CHWPumpCtrl-Full-Msr/instance-out.sql</t>
  </si>
  <si>
    <t>runs/CZ02/EUn&amp;0&amp;cPVVE&amp;New&amp;Chiller__PumpCtrl/NE-Chiller-CHWPumpCtrl-Full-Msr/instance-out.sql</t>
  </si>
  <si>
    <t>runs/CZ01/Rt3&amp;0&amp;cPVVE&amp;New&amp;Chiller__PumpCtrl/NE-Chiller-PumpCtrl-Full-Std/instance-out.sql</t>
  </si>
  <si>
    <t>runs/CZ01/OfS&amp;0&amp;cPVVE&amp;New&amp;Chiller__PumpCtrl/NE-Chiller-CHWPumpCtrl-Full-Msr/instance-out.sql</t>
  </si>
  <si>
    <t>runs/CZ02/ECC&amp;0&amp;cPVVE&amp;New&amp;Chiller__PumpCtrl/NE-Chiller-PumpCtrl-Full-Std/instance-out.sql</t>
  </si>
  <si>
    <t>runs/CZ01/OfS&amp;0&amp;cPVVE&amp;New&amp;Chiller__PumpCtrl/NE-Chiller-PumpCtrl-Full-Std/instance-out.sql</t>
  </si>
  <si>
    <t>runs/CZ01/OfL&amp;0&amp;cPVVE&amp;New&amp;Chiller__PumpCtrl/NE-Chiller-CHWPumpCtrl-Full-Msr/instance-out.sql</t>
  </si>
  <si>
    <t>runs/CZ01/OfL&amp;0&amp;cPVVE&amp;New&amp;Chiller__PumpCtrl/NE-Chiller-PumpCtrl-Full-Std/instance-out.sql</t>
  </si>
  <si>
    <t>runs/CZ01/Nrs&amp;0&amp;cPVVE&amp;New&amp;Chiller__PumpCtrl/NE-Chiller-CHWPumpCtrl-Full-Msr/instance-out.sql</t>
  </si>
  <si>
    <t>runs/CZ01/Nrs&amp;0&amp;cPVVE&amp;New&amp;Chiller__PumpCtrl/NE-Chiller-PumpCtrl-Full-Std/instance-out.sql</t>
  </si>
  <si>
    <t>runs/CZ01/Hsp&amp;0&amp;cPVVE&amp;New&amp;Chiller__PumpCtrl/NE-Chiller-CHWPumpCtrl-Full-Msr/instance-out.sql</t>
  </si>
  <si>
    <t>runs/CZ01/Hsp&amp;0&amp;cPVVE&amp;New&amp;Chiller__PumpCtrl/NE-Chiller-PumpCtrl-Full-Std/instance-out.sql</t>
  </si>
  <si>
    <t>runs/CZ01/ESe&amp;0&amp;cPVVE&amp;New&amp;Chiller__PumpCtrl/NE-Chiller-PumpCtrl-Full-Std/instance-out.sql</t>
  </si>
  <si>
    <t>runs/CZ01/ESe&amp;0&amp;cPVVE&amp;New&amp;Chiller__PumpCtrl/NE-Chiller-CHWPumpCtrl-Full-Msr/instance-out.sql</t>
  </si>
  <si>
    <t>runs/CZ01/ECC&amp;0&amp;cPVVE&amp;New&amp;Chiller__PumpCtrl/NE-Chiller-CHWPumpCtrl-Full-Msr/instance-out.sql</t>
  </si>
  <si>
    <t>runs/CZ01/EUn&amp;0&amp;cPVVE&amp;New&amp;Chiller__PumpCtrl/NE-Chiller-CHWPumpCtrl-Full-Msr/instance-out.sql</t>
  </si>
  <si>
    <t>runs/CZ01/EUn&amp;0&amp;cPVVE&amp;New&amp;Chiller__PumpCtrl/NE-Chiller-PumpCtrl-Full-Std/instance-out.sql</t>
  </si>
  <si>
    <t>runs/CZ01/ECC&amp;0&amp;cPVVE&amp;New&amp;Chiller__PumpCtrl/NE-Chiller-PumpCtrl-Full-Std/instance-out.sql</t>
  </si>
  <si>
    <t>runs/CZ16/Htl&amp;0&amp;cPVVE&amp;Ex&amp;Chiller__PumpCtrl/NE-Chiller-PumpCtrl-Full-Std/instance-out.sql</t>
  </si>
  <si>
    <t>runs/CZ16/Htl&amp;0&amp;cPVVE&amp;Ex&amp;Chiller__PumpCtrl/NE-Chiller-CHWPumpCtrl-Full-Msr/instance-out.sql</t>
  </si>
  <si>
    <t>runs/CZ15/Htl&amp;0&amp;cPVVE&amp;Ex&amp;Chiller__PumpCtrl/NE-Chiller-PumpCtrl-Full-Std/instance-out.sql</t>
  </si>
  <si>
    <t>runs/CZ15/Htl&amp;0&amp;cPVVE&amp;Ex&amp;Chiller__PumpCtrl/NE-Chiller-CHWPumpCtrl-Full-Msr/instance-out.sql</t>
  </si>
  <si>
    <t>runs/CZ14/Htl&amp;0&amp;cPVVE&amp;Ex&amp;Chiller__PumpCtrl/NE-Chiller-PumpCtrl-Full-Std/instance-out.sql</t>
  </si>
  <si>
    <t>runs/CZ14/Htl&amp;0&amp;cPVVE&amp;Ex&amp;Chiller__PumpCtrl/NE-Chiller-CHWPumpCtrl-Full-Msr/instance-out.sql</t>
  </si>
  <si>
    <t>runs/CZ12/Htl&amp;0&amp;cPVVE&amp;Ex&amp;Chiller__PumpCtrl/NE-Chiller-PumpCtrl-Full-Std/instance-out.sql</t>
  </si>
  <si>
    <t>runs/CZ13/Htl&amp;0&amp;cPVVE&amp;Ex&amp;Chiller__PumpCtrl/NE-Chiller-CHWPumpCtrl-Full-Msr/instance-out.sql</t>
  </si>
  <si>
    <t>runs/CZ12/Htl&amp;0&amp;cPVVE&amp;Ex&amp;Chiller__PumpCtrl/NE-Chiller-CHWPumpCtrl-Full-Msr/instance-out.sql</t>
  </si>
  <si>
    <t>runs/CZ13/Htl&amp;0&amp;cPVVE&amp;Ex&amp;Chiller__PumpCtrl/NE-Chiller-PumpCtrl-Full-Std/instance-out.sql</t>
  </si>
  <si>
    <t>runs/CZ11/Htl&amp;0&amp;cPVVE&amp;Ex&amp;Chiller__PumpCtrl/NE-Chiller-CHWPumpCtrl-Full-Msr/instance-out.sql</t>
  </si>
  <si>
    <t>runs/CZ11/Htl&amp;0&amp;cPVVE&amp;Ex&amp;Chiller__PumpCtrl/NE-Chiller-PumpCtrl-Full-Std/instance-out.sql</t>
  </si>
  <si>
    <t>runs/CZ10/Htl&amp;0&amp;cPVVE&amp;Ex&amp;Chiller__PumpCtrl/NE-Chiller-PumpCtrl-Full-Std/instance-out.sql</t>
  </si>
  <si>
    <t>runs/CZ09/Htl&amp;0&amp;cPVVE&amp;Ex&amp;Chiller__PumpCtrl/NE-Chiller-CHWPumpCtrl-Full-Msr/instance-out.sql</t>
  </si>
  <si>
    <t>runs/CZ10/Htl&amp;0&amp;cPVVE&amp;Ex&amp;Chiller__PumpCtrl/NE-Chiller-CHWPumpCtrl-Full-Msr/instance-out.sql</t>
  </si>
  <si>
    <t>runs/CZ09/Htl&amp;0&amp;cPVVE&amp;Ex&amp;Chiller__PumpCtrl/NE-Chiller-PumpCtrl-Full-Std/instance-out.sql</t>
  </si>
  <si>
    <t>runs/CZ08/Htl&amp;0&amp;cPVVE&amp;Ex&amp;Chiller__PumpCtrl/NE-Chiller-CHWPumpCtrl-Full-Msr/instance-out.sql</t>
  </si>
  <si>
    <t>runs/CZ07/Htl&amp;0&amp;cPVVE&amp;Ex&amp;Chiller__PumpCtrl/NE-Chiller-CHWPumpCtrl-Full-Msr/instance-out.sql</t>
  </si>
  <si>
    <t>runs/CZ07/Htl&amp;0&amp;cPVVE&amp;Ex&amp;Chiller__PumpCtrl/NE-Chiller-PumpCtrl-Full-Std/instance-out.sql</t>
  </si>
  <si>
    <t>runs/CZ08/Htl&amp;0&amp;cPVVE&amp;Ex&amp;Chiller__PumpCtrl/NE-Chiller-PumpCtrl-Full-Std/instance-out.sql</t>
  </si>
  <si>
    <t>runs/CZ06/Htl&amp;0&amp;cPVVE&amp;Ex&amp;Chiller__PumpCtrl/NE-Chiller-PumpCtrl-Full-Std/instance-out.sql</t>
  </si>
  <si>
    <t>runs/CZ06/Htl&amp;0&amp;cPVVE&amp;Ex&amp;Chiller__PumpCtrl/NE-Chiller-CHWPumpCtrl-Full-Msr/instance-out.sql</t>
  </si>
  <si>
    <t>runs/CZ05/Htl&amp;0&amp;cPVVE&amp;Ex&amp;Chiller__PumpCtrl/NE-Chiller-CHWPumpCtrl-Full-Msr/instance-out.sql</t>
  </si>
  <si>
    <t>runs/CZ05/Htl&amp;0&amp;cPVVE&amp;Ex&amp;Chiller__PumpCtrl/NE-Chiller-PumpCtrl-Full-Std/instance-out.sql</t>
  </si>
  <si>
    <t>runs/CZ04/Htl&amp;0&amp;cPVVE&amp;Ex&amp;Chiller__PumpCtrl/NE-Chiller-CHWPumpCtrl-Full-Msr/instance-out.sql</t>
  </si>
  <si>
    <t>runs/CZ03/Htl&amp;0&amp;cPVVE&amp;Ex&amp;Chiller__PumpCtrl/NE-Chiller-PumpCtrl-Full-Std/instance-out.sql</t>
  </si>
  <si>
    <t>runs/CZ04/Htl&amp;0&amp;cPVVE&amp;Ex&amp;Chiller__PumpCtrl/NE-Chiller-PumpCtrl-Full-Std/instance-out.sql</t>
  </si>
  <si>
    <t>runs/CZ03/Htl&amp;0&amp;cPVVE&amp;Ex&amp;Chiller__PumpCtrl/NE-Chiller-CHWPumpCtrl-Full-Msr/instance-out.sql</t>
  </si>
  <si>
    <t>runs/CZ02/Htl&amp;0&amp;cPVVE&amp;Ex&amp;Chiller__PumpCtrl/NE-Chiller-CHWPumpCtrl-Full-Msr/instance-out.sql</t>
  </si>
  <si>
    <t>runs/CZ02/Htl&amp;0&amp;cPVVE&amp;Ex&amp;Chiller__PumpCtrl/NE-Chiller-PumpCtrl-Full-Std/instance-out.sql</t>
  </si>
  <si>
    <t>runs/CZ01/Htl&amp;0&amp;cPVVE&amp;Ex&amp;Chiller__PumpCtrl/NE-Chiller-CHWPumpCtrl-Full-Msr/instance-out.sql</t>
  </si>
  <si>
    <t>runs/CZ01/Htl&amp;0&amp;cPVVE&amp;Ex&amp;Chiller__PumpCtrl/NE-Chiller-PumpCtrl-Full-Std/instance-out.sql</t>
  </si>
  <si>
    <t>runs/CZ16/Htl&amp;0&amp;cPVVE&amp;New&amp;Chiller__PumpCtrl/NE-Chiller-CHWPumpCtrl-Full-Msr/instance-out.sql</t>
  </si>
  <si>
    <t>runs/CZ16/Htl&amp;0&amp;cPVVE&amp;New&amp;Chiller__PumpCtrl/NE-Chiller-PumpCtrl-Full-Std/instance-out.sql</t>
  </si>
  <si>
    <t>runs/CZ15/Htl&amp;0&amp;cPVVE&amp;New&amp;Chiller__PumpCtrl/NE-Chiller-CHWPumpCtrl-Full-Msr/instance-out.sql</t>
  </si>
  <si>
    <t>runs/CZ15/Htl&amp;0&amp;cPVVE&amp;New&amp;Chiller__PumpCtrl/NE-Chiller-PumpCtrl-Full-Std/instance-out.sql</t>
  </si>
  <si>
    <t>runs/CZ14/Htl&amp;0&amp;cPVVE&amp;New&amp;Chiller__PumpCtrl/NE-Chiller-CHWPumpCtrl-Full-Msr/instance-out.sql</t>
  </si>
  <si>
    <t>runs/CZ13/Htl&amp;0&amp;cPVVE&amp;New&amp;Chiller__PumpCtrl/NE-Chiller-CHWPumpCtrl-Full-Msr/instance-out.sql</t>
  </si>
  <si>
    <t>runs/CZ14/Htl&amp;0&amp;cPVVE&amp;New&amp;Chiller__PumpCtrl/NE-Chiller-PumpCtrl-Full-Std/instance-out.sql</t>
  </si>
  <si>
    <t>runs/CZ13/Htl&amp;0&amp;cPVVE&amp;New&amp;Chiller__PumpCtrl/NE-Chiller-PumpCtrl-Full-Std/instance-out.sql</t>
  </si>
  <si>
    <t>runs/CZ12/Htl&amp;0&amp;cPVVE&amp;New&amp;Chiller__PumpCtrl/NE-Chiller-CHWPumpCtrl-Full-Msr/instance-out.sql</t>
  </si>
  <si>
    <t>runs/CZ11/Htl&amp;0&amp;cPVVE&amp;New&amp;Chiller__PumpCtrl/NE-Chiller-CHWPumpCtrl-Full-Msr/instance-out.sql</t>
  </si>
  <si>
    <t>runs/CZ12/Htl&amp;0&amp;cPVVE&amp;New&amp;Chiller__PumpCtrl/NE-Chiller-PumpCtrl-Full-Std/instance-out.sql</t>
  </si>
  <si>
    <t>runs/CZ11/Htl&amp;0&amp;cPVVE&amp;New&amp;Chiller__PumpCtrl/NE-Chiller-PumpCtrl-Full-Std/instance-out.sql</t>
  </si>
  <si>
    <t>runs/CZ10/Htl&amp;0&amp;cPVVE&amp;New&amp;Chiller__PumpCtrl/NE-Chiller-CHWPumpCtrl-Full-Msr/instance-out.sql</t>
  </si>
  <si>
    <t>runs/CZ10/Htl&amp;0&amp;cPVVE&amp;New&amp;Chiller__PumpCtrl/NE-Chiller-PumpCtrl-Full-Std/instance-out.sql</t>
  </si>
  <si>
    <t>runs/CZ09/Htl&amp;0&amp;cPVVE&amp;New&amp;Chiller__PumpCtrl/NE-Chiller-CHWPumpCtrl-Full-Msr/instance-out.sql</t>
  </si>
  <si>
    <t>runs/CZ09/Htl&amp;0&amp;cPVVE&amp;New&amp;Chiller__PumpCtrl/NE-Chiller-PumpCtrl-Full-Std/instance-out.sql</t>
  </si>
  <si>
    <t>runs/CZ08/Htl&amp;0&amp;cPVVE&amp;New&amp;Chiller__PumpCtrl/NE-Chiller-CHWPumpCtrl-Full-Msr/instance-out.sql</t>
  </si>
  <si>
    <t>runs/CZ08/Htl&amp;0&amp;cPVVE&amp;New&amp;Chiller__PumpCtrl/NE-Chiller-PumpCtrl-Full-Std/instance-out.sql</t>
  </si>
  <si>
    <t>runs/CZ07/Htl&amp;0&amp;cPVVE&amp;New&amp;Chiller__PumpCtrl/NE-Chiller-CHWPumpCtrl-Full-Msr/instance-out.sql</t>
  </si>
  <si>
    <t>runs/CZ07/Htl&amp;0&amp;cPVVE&amp;New&amp;Chiller__PumpCtrl/NE-Chiller-PumpCtrl-Full-Std/instance-out.sql</t>
  </si>
  <si>
    <t>runs/CZ06/Htl&amp;0&amp;cPVVE&amp;New&amp;Chiller__PumpCtrl/NE-Chiller-CHWPumpCtrl-Full-Msr/instance-out.sql</t>
  </si>
  <si>
    <t>runs/CZ05/Htl&amp;0&amp;cPVVE&amp;New&amp;Chiller__PumpCtrl/NE-Chiller-CHWPumpCtrl-Full-Msr/instance-out.sql</t>
  </si>
  <si>
    <t>runs/CZ06/Htl&amp;0&amp;cPVVE&amp;New&amp;Chiller__PumpCtrl/NE-Chiller-PumpCtrl-Full-Std/instance-out.sql</t>
  </si>
  <si>
    <t>runs/CZ05/Htl&amp;0&amp;cPVVE&amp;New&amp;Chiller__PumpCtrl/NE-Chiller-PumpCtrl-Full-Std/instance-out.sql</t>
  </si>
  <si>
    <t>runs/CZ04/Htl&amp;0&amp;cPVVE&amp;New&amp;Chiller__PumpCtrl/NE-Chiller-CHWPumpCtrl-Full-Msr/instance-out.sql</t>
  </si>
  <si>
    <t>runs/CZ04/Htl&amp;0&amp;cPVVE&amp;New&amp;Chiller__PumpCtrl/NE-Chiller-PumpCtrl-Full-Std/instance-out.sql</t>
  </si>
  <si>
    <t>runs/CZ03/Htl&amp;0&amp;cPVVE&amp;New&amp;Chiller__PumpCtrl/NE-Chiller-CHWPumpCtrl-Full-Msr/instance-out.sql</t>
  </si>
  <si>
    <t>runs/CZ03/Htl&amp;0&amp;cPVVE&amp;New&amp;Chiller__PumpCtrl/NE-Chiller-PumpCtrl-Full-Std/instance-out.sql</t>
  </si>
  <si>
    <t>runs/CZ02/Htl&amp;0&amp;cPVVE&amp;New&amp;Chiller__PumpCtrl/NE-Chiller-CHWPumpCtrl-Full-Msr/instance-out.sql</t>
  </si>
  <si>
    <t>runs/CZ02/Htl&amp;0&amp;cPVVE&amp;New&amp;Chiller__PumpCtrl/NE-Chiller-PumpCtrl-Full-Std/instance-out.sql</t>
  </si>
  <si>
    <t>runs/CZ01/Htl&amp;0&amp;cPVVE&amp;New&amp;Chiller__PumpCtrl/NE-Chiller-PumpCtrl-Full-Std/instance-out.sql</t>
  </si>
  <si>
    <t>runs/CZ01/Htl&amp;0&amp;cPVVE&amp;New&amp;Chiller__PumpCtrl/NE-Chiller-CHWPumpCtrl-Full-Msr/instance-out.sql</t>
  </si>
  <si>
    <t>Htl</t>
  </si>
  <si>
    <t>Existing Building</t>
  </si>
  <si>
    <t>New Building</t>
  </si>
  <si>
    <t>Min Across All CZ</t>
  </si>
  <si>
    <t>kg/m3</t>
  </si>
  <si>
    <t>Average Across All CZ2</t>
  </si>
  <si>
    <t>Max  Across All CZ3</t>
  </si>
  <si>
    <t>Existing (kg/s)</t>
  </si>
  <si>
    <t>New (kg/s)</t>
  </si>
  <si>
    <t>Water density</t>
  </si>
  <si>
    <t>CW Design Flow Rate (constant) (kg/s)</t>
  </si>
  <si>
    <t>Minimum CW Pump Flow Rate (constant) (m3/s)</t>
  </si>
  <si>
    <t>Design Flow Rate</t>
  </si>
  <si>
    <t>Min Flow Rate</t>
  </si>
  <si>
    <t>Minimum CW Pump Flow Rate (constant) (kg/s)</t>
  </si>
  <si>
    <t>ECC&amp;0&amp;cPVVE&amp;Ex&amp;Chiller__PumpCtrl</t>
  </si>
  <si>
    <t>ESe&amp;0&amp;cPVVE&amp;Ex&amp;Chiller__PumpCtrl</t>
  </si>
  <si>
    <t>EUn&amp;0&amp;cPVVE&amp;Ex&amp;Chiller__PumpCtrl</t>
  </si>
  <si>
    <t>Hsp&amp;0&amp;cPVVE&amp;Ex&amp;Chiller__PumpCtrl</t>
  </si>
  <si>
    <t>Htl&amp;0&amp;cPVVE&amp;Ex&amp;Chiller__PumpCtrl</t>
  </si>
  <si>
    <t>Nrs&amp;0&amp;cPVVE&amp;Ex&amp;Chiller__PumpCtrl</t>
  </si>
  <si>
    <t>OfL&amp;0&amp;cPVVE&amp;Ex&amp;Chiller__PumpCtrl</t>
  </si>
  <si>
    <t>OfS&amp;0&amp;cPVVE&amp;Ex&amp;Chiller__PumpCtrl</t>
  </si>
  <si>
    <t>Rt3&amp;0&amp;cPVVE&amp;Ex&amp;Chiller__PumpCtrl</t>
  </si>
  <si>
    <t>ECC&amp;0&amp;cPVVE&amp;New&amp;Chiller__PumpCtrl</t>
  </si>
  <si>
    <t>ESe&amp;0&amp;cPVVE&amp;New&amp;Chiller__PumpCtrl</t>
  </si>
  <si>
    <t>EUn&amp;0&amp;cPVVE&amp;New&amp;Chiller__PumpCtrl</t>
  </si>
  <si>
    <t>Hsp&amp;0&amp;cPVVE&amp;New&amp;Chiller__PumpCtrl</t>
  </si>
  <si>
    <t>Nrs&amp;0&amp;cPVVE&amp;New&amp;Chiller__PumpCtrl</t>
  </si>
  <si>
    <t>OfL&amp;0&amp;cPVVE&amp;New&amp;Chiller__PumpCtrl</t>
  </si>
  <si>
    <t>OfS&amp;0&amp;cPVVE&amp;New&amp;Chiller__PumpCtrl</t>
  </si>
  <si>
    <t>Rt3&amp;0&amp;cPVVE&amp;New&amp;Chiller__PumpCtrl</t>
  </si>
  <si>
    <t>Htl&amp;0&amp;cPVVE&amp;New&amp;Chiller__PumpCtrl</t>
  </si>
  <si>
    <t>TechID</t>
  </si>
  <si>
    <t>Simulation data -&gt;</t>
  </si>
  <si>
    <t>Intermediate/review -&gt;</t>
  </si>
  <si>
    <t>climate_name</t>
  </si>
  <si>
    <t>cohort_name</t>
  </si>
  <si>
    <t>:cw_pump_min_flow_rate</t>
  </si>
  <si>
    <t>Calc inputs</t>
  </si>
  <si>
    <t>Min flow fraction</t>
  </si>
  <si>
    <t>Paste into codes files or pump_min_flow.csv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</si>
</sst>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3" borderId="18" applyNumberFormat="0" applyFont="0" applyAlignment="0" applyProtection="0"/>
    <xf numFmtId="0" fontId="3" fillId="4" borderId="0" applyNumberFormat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0" xfId="0" applyNumberFormat="1" applyAlignment="1">
      <alignment horizontal="left"/>
    </xf>
    <xf numFmtId="0" fontId="0" fillId="2" borderId="10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164" fontId="0" fillId="0" borderId="11" xfId="0" applyNumberFormat="1" applyBorder="1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3" borderId="18" xfId="1" applyFont="1" applyAlignment="1">
      <alignment wrapText="1"/>
    </xf>
    <xf numFmtId="0" fontId="0" fillId="3" borderId="18" xfId="1" applyFont="1"/>
    <xf numFmtId="0" fontId="3" fillId="4" borderId="0" xfId="2" applyAlignment="1">
      <alignment horizontal="center"/>
    </xf>
    <xf numFmtId="0" fontId="0" fillId="3" borderId="19" xfId="1" applyFont="1" applyBorder="1" applyAlignment="1">
      <alignment wrapText="1"/>
    </xf>
    <xf numFmtId="0" fontId="0" fillId="0" borderId="20" xfId="0" applyBorder="1"/>
    <xf numFmtId="0" fontId="0" fillId="0" borderId="21" xfId="0" applyBorder="1"/>
    <xf numFmtId="0" fontId="0" fillId="0" borderId="10" xfId="0" applyBorder="1"/>
    <xf numFmtId="0" fontId="0" fillId="0" borderId="0" xfId="0" applyBorder="1"/>
    <xf numFmtId="0" fontId="0" fillId="0" borderId="14" xfId="0" applyBorder="1"/>
    <xf numFmtId="0" fontId="0" fillId="0" borderId="17" xfId="0" applyBorder="1"/>
  </cellXfs>
  <cellStyles count="3">
    <cellStyle name="20% - Accent1" xfId="2" builtinId="30"/>
    <cellStyle name="Normal" xfId="0" builtinId="0"/>
    <cellStyle name="Note" xfId="1" builtinId="10"/>
  </cellStyles>
  <dxfs count="9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E819F4-719D-4263-912B-582F7B833AC5}" name="Table2" displayName="Table2" ref="B4:U13" totalsRowShown="0" headerRowDxfId="95" headerRowBorderDxfId="94" tableBorderDxfId="93" totalsRowBorderDxfId="92">
  <autoFilter ref="B4:U13" xr:uid="{EDE819F4-719D-4263-912B-582F7B833AC5}"/>
  <tableColumns count="20">
    <tableColumn id="1" xr3:uid="{7681BC56-CA39-46DA-8B17-8AB14C718150}" name="Building Type" dataDxfId="91"/>
    <tableColumn id="2" xr3:uid="{EC3C4C7E-A947-407E-AEA8-C8360643F8CC}" name="CZ01" dataDxfId="90">
      <calculatedColumnFormula>IFERROR(
    _xlfn.MINIFS(
        'Combined Runs'!$P:$P,
        'Combined Runs'!$K:$K, C$4,
        'Combined Runs'!$J:$J, "*" &amp; $B5 &amp; "&amp;0&amp;cPVVE&amp;Ex&amp;Chiller__PumpCtrl*"
    ),
    ""
)</calculatedColumnFormula>
    </tableColumn>
    <tableColumn id="3" xr3:uid="{103DC5D9-852E-460C-BEDC-75FB64B594A4}" name="CZ02" dataDxfId="89">
      <calculatedColumnFormula>IFERROR(
    _xlfn.MINIFS(
        'Combined Runs'!$P:$P,
        'Combined Runs'!$K:$K, D$4,
        'Combined Runs'!$J:$J, "*" &amp; $B5 &amp; "&amp;0&amp;cPVVE&amp;Ex&amp;Chiller__PumpCtrl*"
    ),
    ""
)</calculatedColumnFormula>
    </tableColumn>
    <tableColumn id="4" xr3:uid="{DD7C95A9-9331-43EC-A14D-8849FA4733FF}" name="CZ03" dataDxfId="88">
      <calculatedColumnFormula>IFERROR(
    _xlfn.MINIFS(
        'Combined Runs'!$P:$P,
        'Combined Runs'!$K:$K, E$4,
        'Combined Runs'!$J:$J, "*" &amp; $B5 &amp; "&amp;0&amp;cPVVE&amp;Ex&amp;Chiller__PumpCtrl*"
    ),
    ""
)</calculatedColumnFormula>
    </tableColumn>
    <tableColumn id="5" xr3:uid="{CBCA8C91-8716-44B1-BF56-A7C6D52E88D1}" name="CZ04" dataDxfId="87">
      <calculatedColumnFormula>IFERROR(
    _xlfn.MINIFS(
        'Combined Runs'!$P:$P,
        'Combined Runs'!$K:$K, F$4,
        'Combined Runs'!$J:$J, "*" &amp; $B5 &amp; "&amp;0&amp;cPVVE&amp;Ex&amp;Chiller__PumpCtrl*"
    ),
    ""
)</calculatedColumnFormula>
    </tableColumn>
    <tableColumn id="6" xr3:uid="{337E742A-51BE-4157-95A9-677377EF560B}" name="CZ05" dataDxfId="86">
      <calculatedColumnFormula>IFERROR(
    _xlfn.MINIFS(
        'Combined Runs'!$P:$P,
        'Combined Runs'!$K:$K, G$4,
        'Combined Runs'!$J:$J, "*" &amp; $B5 &amp; "&amp;0&amp;cPVVE&amp;Ex&amp;Chiller__PumpCtrl*"
    ),
    ""
)</calculatedColumnFormula>
    </tableColumn>
    <tableColumn id="7" xr3:uid="{55E795ED-9756-4E92-B5D2-3DD646C42C7E}" name="CZ06" dataDxfId="85">
      <calculatedColumnFormula>IFERROR(
    _xlfn.MINIFS(
        'Combined Runs'!$P:$P,
        'Combined Runs'!$K:$K, H$4,
        'Combined Runs'!$J:$J, "*" &amp; $B5 &amp; "&amp;0&amp;cPVVE&amp;Ex&amp;Chiller__PumpCtrl*"
    ),
    ""
)</calculatedColumnFormula>
    </tableColumn>
    <tableColumn id="8" xr3:uid="{BC472B7E-2923-4F99-AE56-E310A6610048}" name="CZ07" dataDxfId="84">
      <calculatedColumnFormula>IFERROR(
    _xlfn.MINIFS(
        'Combined Runs'!$P:$P,
        'Combined Runs'!$K:$K, I$4,
        'Combined Runs'!$J:$J, "*" &amp; $B5 &amp; "&amp;0&amp;cPVVE&amp;Ex&amp;Chiller__PumpCtrl*"
    ),
    ""
)</calculatedColumnFormula>
    </tableColumn>
    <tableColumn id="9" xr3:uid="{E5F3F165-4F98-49FC-9348-3675238FD866}" name="CZ08" dataDxfId="83">
      <calculatedColumnFormula>IFERROR(
    _xlfn.MINIFS(
        'Combined Runs'!$P:$P,
        'Combined Runs'!$K:$K, J$4,
        'Combined Runs'!$J:$J, "*" &amp; $B5 &amp; "&amp;0&amp;cPVVE&amp;Ex&amp;Chiller__PumpCtrl*"
    ),
    ""
)</calculatedColumnFormula>
    </tableColumn>
    <tableColumn id="10" xr3:uid="{FE6D781C-532B-44B6-A238-3C10B93CF25D}" name="CZ09" dataDxfId="82">
      <calculatedColumnFormula>IFERROR(
    _xlfn.MINIFS(
        'Combined Runs'!$P:$P,
        'Combined Runs'!$K:$K, K$4,
        'Combined Runs'!$J:$J, "*" &amp; $B5 &amp; "&amp;0&amp;cPVVE&amp;Ex&amp;Chiller__PumpCtrl*"
    ),
    ""
)</calculatedColumnFormula>
    </tableColumn>
    <tableColumn id="11" xr3:uid="{F0A8471C-E9A6-4F22-A533-6C0AA1169162}" name="CZ10" dataDxfId="81">
      <calculatedColumnFormula>IFERROR(
    _xlfn.MINIFS(
        'Combined Runs'!$P:$P,
        'Combined Runs'!$K:$K, L$4,
        'Combined Runs'!$J:$J, "*" &amp; $B5 &amp; "&amp;0&amp;cPVVE&amp;Ex&amp;Chiller__PumpCtrl*"
    ),
    ""
)</calculatedColumnFormula>
    </tableColumn>
    <tableColumn id="12" xr3:uid="{C2F370DF-DD31-4A41-9D1C-8E8C6B495801}" name="CZ11" dataDxfId="80">
      <calculatedColumnFormula>IFERROR(
    _xlfn.MINIFS(
        'Combined Runs'!$P:$P,
        'Combined Runs'!$K:$K, M$4,
        'Combined Runs'!$J:$J, "*" &amp; $B5 &amp; "&amp;0&amp;cPVVE&amp;Ex&amp;Chiller__PumpCtrl*"
    ),
    ""
)</calculatedColumnFormula>
    </tableColumn>
    <tableColumn id="13" xr3:uid="{200A80D3-9609-4854-A565-2F595200BD18}" name="CZ12" dataDxfId="79">
      <calculatedColumnFormula>IFERROR(
    _xlfn.MINIFS(
        'Combined Runs'!$P:$P,
        'Combined Runs'!$K:$K, N$4,
        'Combined Runs'!$J:$J, "*" &amp; $B5 &amp; "&amp;0&amp;cPVVE&amp;Ex&amp;Chiller__PumpCtrl*"
    ),
    ""
)</calculatedColumnFormula>
    </tableColumn>
    <tableColumn id="14" xr3:uid="{74DCA917-5FF4-48FF-85A6-2F655DD8AE31}" name="CZ13" dataDxfId="78">
      <calculatedColumnFormula>IFERROR(
    _xlfn.MINIFS(
        'Combined Runs'!$P:$P,
        'Combined Runs'!$K:$K, O$4,
        'Combined Runs'!$J:$J, "*" &amp; $B5 &amp; "&amp;0&amp;cPVVE&amp;Ex&amp;Chiller__PumpCtrl*"
    ),
    ""
)</calculatedColumnFormula>
    </tableColumn>
    <tableColumn id="15" xr3:uid="{3174DC37-31F6-4CB9-B882-F271937B7D60}" name="CZ14" dataDxfId="77">
      <calculatedColumnFormula>IFERROR(
    _xlfn.MINIFS(
        'Combined Runs'!$P:$P,
        'Combined Runs'!$K:$K, P$4,
        'Combined Runs'!$J:$J, "*" &amp; $B5 &amp; "&amp;0&amp;cPVVE&amp;Ex&amp;Chiller__PumpCtrl*"
    ),
    ""
)</calculatedColumnFormula>
    </tableColumn>
    <tableColumn id="16" xr3:uid="{20145457-B3A8-4969-946D-D50DF50ABABB}" name="CZ15" dataDxfId="76">
      <calculatedColumnFormula>IFERROR(
    _xlfn.MINIFS(
        'Combined Runs'!$P:$P,
        'Combined Runs'!$K:$K, Q$4,
        'Combined Runs'!$J:$J, "*" &amp; $B5 &amp; "&amp;0&amp;cPVVE&amp;Ex&amp;Chiller__PumpCtrl*"
    ),
    ""
)</calculatedColumnFormula>
    </tableColumn>
    <tableColumn id="17" xr3:uid="{B236861B-DF35-4B3E-A81F-FD628FF86BFB}" name="CZ16" dataDxfId="75">
      <calculatedColumnFormula>IFERROR(
    _xlfn.MINIFS(
        'Combined Runs'!$P:$P,
        'Combined Runs'!$K:$K, R$4,
        'Combined Runs'!$J:$J, "*" &amp; $B5 &amp; "&amp;0&amp;cPVVE&amp;Ex&amp;Chiller__PumpCtrl*"
    ),
    ""
)</calculatedColumnFormula>
    </tableColumn>
    <tableColumn id="18" xr3:uid="{E34E786F-60D9-4021-8482-B5B9ED94DA9D}" name="Min Across All CZ" dataDxfId="74">
      <calculatedColumnFormula>MIN(Table2[[#This Row],[CZ01]:[CZ16]])</calculatedColumnFormula>
    </tableColumn>
    <tableColumn id="20" xr3:uid="{1C64ED3D-0C87-45BD-93E7-4C17A0805A7D}" name="Average Across All CZ2" dataDxfId="73">
      <calculatedColumnFormula>AVERAGE(Table2[[#This Row],[CZ01]:[CZ16]])</calculatedColumnFormula>
    </tableColumn>
    <tableColumn id="21" xr3:uid="{870017D4-4C47-4BB2-BB6F-28904131F3FC}" name="Max  Across All CZ3" dataDxfId="72">
      <calculatedColumnFormula>MAX(Table2[[#This Row],[CZ01]:[CZ16]])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015F8F-1033-46D1-8FD5-C9857D2F0B71}" name="Table24" displayName="Table24" ref="B17:U26" totalsRowShown="0" headerRowDxfId="71" headerRowBorderDxfId="70" tableBorderDxfId="69" totalsRowBorderDxfId="68">
  <autoFilter ref="B17:U26" xr:uid="{7F015F8F-1033-46D1-8FD5-C9857D2F0B71}"/>
  <tableColumns count="20">
    <tableColumn id="1" xr3:uid="{ECE2DD8B-CA9E-4F6C-8352-5AD7CE77DF18}" name="Building Type" dataDxfId="67"/>
    <tableColumn id="2" xr3:uid="{0DEA6DCB-EA9C-4689-9E6D-8AE90ACD0CD3}" name="CZ01" dataDxfId="66">
      <calculatedColumnFormula>IFERROR(
    _xlfn.MINIFS(
        'Combined Runs'!$P:$P,
        'Combined Runs'!$K:$K, C$17,
        'Combined Runs'!$J:$J, "*" &amp; $B18 &amp; "&amp;0&amp;cPVVE&amp;New&amp;Chiller__PumpCtrl*"
    ),
    ""
)</calculatedColumnFormula>
    </tableColumn>
    <tableColumn id="3" xr3:uid="{4F404DC5-FD50-4F8B-9EA0-C91C7ABF8ECE}" name="CZ02" dataDxfId="65">
      <calculatedColumnFormula>IFERROR(
    _xlfn.MINIFS(
        'Combined Runs'!$P:$P,
        'Combined Runs'!$K:$K, D$17,
        'Combined Runs'!$J:$J, "*" &amp; $B18 &amp; "&amp;0&amp;cPVVE&amp;New&amp;Chiller__PumpCtrl*"
    ),
    ""
)</calculatedColumnFormula>
    </tableColumn>
    <tableColumn id="4" xr3:uid="{93F17E4B-2FA4-443E-9406-BE62FF05B5A0}" name="CZ03" dataDxfId="64">
      <calculatedColumnFormula>IFERROR(
    _xlfn.MINIFS(
        'Combined Runs'!$P:$P,
        'Combined Runs'!$K:$K, E$17,
        'Combined Runs'!$J:$J, "*" &amp; $B18 &amp; "&amp;0&amp;cPVVE&amp;New&amp;Chiller__PumpCtrl*"
    ),
    ""
)</calculatedColumnFormula>
    </tableColumn>
    <tableColumn id="5" xr3:uid="{81F888C9-EE62-4B43-A556-0EB40098C1DF}" name="CZ04" dataDxfId="63">
      <calculatedColumnFormula>IFERROR(
    _xlfn.MINIFS(
        'Combined Runs'!$P:$P,
        'Combined Runs'!$K:$K, F$17,
        'Combined Runs'!$J:$J, "*" &amp; $B18 &amp; "&amp;0&amp;cPVVE&amp;New&amp;Chiller__PumpCtrl*"
    ),
    ""
)</calculatedColumnFormula>
    </tableColumn>
    <tableColumn id="6" xr3:uid="{9D7835A2-43C2-4586-9904-69DF1689E1B1}" name="CZ05" dataDxfId="62">
      <calculatedColumnFormula>IFERROR(
    _xlfn.MINIFS(
        'Combined Runs'!$P:$P,
        'Combined Runs'!$K:$K, G$17,
        'Combined Runs'!$J:$J, "*" &amp; $B18 &amp; "&amp;0&amp;cPVVE&amp;New&amp;Chiller__PumpCtrl*"
    ),
    ""
)</calculatedColumnFormula>
    </tableColumn>
    <tableColumn id="7" xr3:uid="{B3299DAD-BAA9-4462-BF95-54C18D73A78E}" name="CZ06" dataDxfId="61">
      <calculatedColumnFormula>IFERROR(
    _xlfn.MINIFS(
        'Combined Runs'!$P:$P,
        'Combined Runs'!$K:$K, H$17,
        'Combined Runs'!$J:$J, "*" &amp; $B18 &amp; "&amp;0&amp;cPVVE&amp;New&amp;Chiller__PumpCtrl*"
    ),
    ""
)</calculatedColumnFormula>
    </tableColumn>
    <tableColumn id="8" xr3:uid="{912DB968-1706-4B56-9647-9C6AE1B295C0}" name="CZ07" dataDxfId="60">
      <calculatedColumnFormula>IFERROR(
    _xlfn.MINIFS(
        'Combined Runs'!$P:$P,
        'Combined Runs'!$K:$K, I$17,
        'Combined Runs'!$J:$J, "*" &amp; $B18 &amp; "&amp;0&amp;cPVVE&amp;New&amp;Chiller__PumpCtrl*"
    ),
    ""
)</calculatedColumnFormula>
    </tableColumn>
    <tableColumn id="9" xr3:uid="{2DC95FF2-A33A-4341-A906-0DB4AFCE17E4}" name="CZ08" dataDxfId="59">
      <calculatedColumnFormula>IFERROR(
    _xlfn.MINIFS(
        'Combined Runs'!$P:$P,
        'Combined Runs'!$K:$K, J$17,
        'Combined Runs'!$J:$J, "*" &amp; $B18 &amp; "&amp;0&amp;cPVVE&amp;New&amp;Chiller__PumpCtrl*"
    ),
    ""
)</calculatedColumnFormula>
    </tableColumn>
    <tableColumn id="10" xr3:uid="{787A44B1-01FF-4F57-9B80-3FD503C338B7}" name="CZ09" dataDxfId="58">
      <calculatedColumnFormula>IFERROR(
    _xlfn.MINIFS(
        'Combined Runs'!$P:$P,
        'Combined Runs'!$K:$K, K$17,
        'Combined Runs'!$J:$J, "*" &amp; $B18 &amp; "&amp;0&amp;cPVVE&amp;New&amp;Chiller__PumpCtrl*"
    ),
    ""
)</calculatedColumnFormula>
    </tableColumn>
    <tableColumn id="11" xr3:uid="{AF219561-335A-48B8-A2CD-813D54249FAF}" name="CZ10" dataDxfId="57">
      <calculatedColumnFormula>IFERROR(
    _xlfn.MINIFS(
        'Combined Runs'!$P:$P,
        'Combined Runs'!$K:$K, L$17,
        'Combined Runs'!$J:$J, "*" &amp; $B18 &amp; "&amp;0&amp;cPVVE&amp;New&amp;Chiller__PumpCtrl*"
    ),
    ""
)</calculatedColumnFormula>
    </tableColumn>
    <tableColumn id="12" xr3:uid="{1E09A285-4E9B-4FE1-A159-A187518D4EB0}" name="CZ11" dataDxfId="56">
      <calculatedColumnFormula>IFERROR(
    _xlfn.MINIFS(
        'Combined Runs'!$P:$P,
        'Combined Runs'!$K:$K, M$17,
        'Combined Runs'!$J:$J, "*" &amp; $B18 &amp; "&amp;0&amp;cPVVE&amp;New&amp;Chiller__PumpCtrl*"
    ),
    ""
)</calculatedColumnFormula>
    </tableColumn>
    <tableColumn id="13" xr3:uid="{DB08813C-67E3-40CC-B97B-B34778D58CE6}" name="CZ12" dataDxfId="55">
      <calculatedColumnFormula>IFERROR(
    _xlfn.MINIFS(
        'Combined Runs'!$P:$P,
        'Combined Runs'!$K:$K, N$17,
        'Combined Runs'!$J:$J, "*" &amp; $B18 &amp; "&amp;0&amp;cPVVE&amp;New&amp;Chiller__PumpCtrl*"
    ),
    ""
)</calculatedColumnFormula>
    </tableColumn>
    <tableColumn id="14" xr3:uid="{4D3E748F-78EE-4483-8E70-7ABBA0DF717C}" name="CZ13" dataDxfId="54">
      <calculatedColumnFormula>IFERROR(
    _xlfn.MINIFS(
        'Combined Runs'!$P:$P,
        'Combined Runs'!$K:$K, O$17,
        'Combined Runs'!$J:$J, "*" &amp; $B18 &amp; "&amp;0&amp;cPVVE&amp;New&amp;Chiller__PumpCtrl*"
    ),
    ""
)</calculatedColumnFormula>
    </tableColumn>
    <tableColumn id="15" xr3:uid="{DC764582-68C3-4CFD-B0C4-F6E625104D4D}" name="CZ14" dataDxfId="53">
      <calculatedColumnFormula>IFERROR(
    _xlfn.MINIFS(
        'Combined Runs'!$P:$P,
        'Combined Runs'!$K:$K, P$17,
        'Combined Runs'!$J:$J, "*" &amp; $B18 &amp; "&amp;0&amp;cPVVE&amp;New&amp;Chiller__PumpCtrl*"
    ),
    ""
)</calculatedColumnFormula>
    </tableColumn>
    <tableColumn id="16" xr3:uid="{3582859B-C690-4AC5-BD68-225767EF6633}" name="CZ15" dataDxfId="52">
      <calculatedColumnFormula>IFERROR(
    _xlfn.MINIFS(
        'Combined Runs'!$P:$P,
        'Combined Runs'!$K:$K, Q$17,
        'Combined Runs'!$J:$J, "*" &amp; $B18 &amp; "&amp;0&amp;cPVVE&amp;New&amp;Chiller__PumpCtrl*"
    ),
    ""
)</calculatedColumnFormula>
    </tableColumn>
    <tableColumn id="17" xr3:uid="{6AE68050-ECEF-4199-9960-F5D84FB50E76}" name="CZ16" dataDxfId="51">
      <calculatedColumnFormula>IFERROR(
    _xlfn.MINIFS(
        'Combined Runs'!$P:$P,
        'Combined Runs'!$K:$K, R$17,
        'Combined Runs'!$J:$J, "*" &amp; $B18 &amp; "&amp;0&amp;cPVVE&amp;New&amp;Chiller__PumpCtrl*"
    ),
    ""
)</calculatedColumnFormula>
    </tableColumn>
    <tableColumn id="18" xr3:uid="{73605BC6-6A9B-40CA-90CB-5A9C1A1DF55A}" name="Min Across All CZ" dataDxfId="50">
      <calculatedColumnFormula>MIN(Table24[[#This Row],[CZ01]:[CZ16]])</calculatedColumnFormula>
    </tableColumn>
    <tableColumn id="19" xr3:uid="{1A9E30D6-16DB-4FA8-A5ED-247B5FB4E382}" name="Average Across All CZ2" dataDxfId="49">
      <calculatedColumnFormula>AVERAGE(Table24[[#This Row],[CZ01]:[CZ16]])</calculatedColumnFormula>
    </tableColumn>
    <tableColumn id="20" xr3:uid="{9C388715-1434-4B61-BB0B-8D742CB925AB}" name="Max  Across All CZ3" dataDxfId="48">
      <calculatedColumnFormula>MAX(Table24[[#This Row],[CZ01]:[CZ16]])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0E2B70-AA24-45CB-868E-B7D7113817AD}" name="Table1" displayName="Table1" ref="B4:U13" totalsRowShown="0" headerRowDxfId="47" headerRowBorderDxfId="46" tableBorderDxfId="45" totalsRowBorderDxfId="44">
  <autoFilter ref="B4:U13" xr:uid="{860E2B70-AA24-45CB-868E-B7D7113817AD}"/>
  <tableColumns count="20">
    <tableColumn id="1" xr3:uid="{7E29C538-F8B4-4B31-87DB-6AB3CFFE8DBB}" name="Building Type" dataDxfId="43"/>
    <tableColumn id="2" xr3:uid="{6DB57D08-1CA2-4CC4-8C66-8ECC57937387}" name="CZ01" dataDxfId="42">
      <calculatedColumnFormula>'Design flow rate'!C5*0.7</calculatedColumnFormula>
    </tableColumn>
    <tableColumn id="3" xr3:uid="{0B0FBD3E-86A6-4B85-8E4D-4353F8F1CB1F}" name="CZ02" dataDxfId="41">
      <calculatedColumnFormula>'Design flow rate'!D5*0.7</calculatedColumnFormula>
    </tableColumn>
    <tableColumn id="4" xr3:uid="{DFE31609-512D-49D9-A37A-7BCE98BCA593}" name="CZ03" dataDxfId="40">
      <calculatedColumnFormula>'Design flow rate'!E5*0.7</calculatedColumnFormula>
    </tableColumn>
    <tableColumn id="5" xr3:uid="{CB5C876E-1F83-41C0-B2DC-E1E972842D7C}" name="CZ04" dataDxfId="39">
      <calculatedColumnFormula>'Design flow rate'!F5*0.7</calculatedColumnFormula>
    </tableColumn>
    <tableColumn id="6" xr3:uid="{018F98D7-CE3C-4BE8-99E8-476867A0D032}" name="CZ05" dataDxfId="38">
      <calculatedColumnFormula>'Design flow rate'!G5*0.7</calculatedColumnFormula>
    </tableColumn>
    <tableColumn id="7" xr3:uid="{68033441-F84E-435E-B6C0-E632CED09589}" name="CZ06" dataDxfId="37">
      <calculatedColumnFormula>'Design flow rate'!H5*0.7</calculatedColumnFormula>
    </tableColumn>
    <tableColumn id="8" xr3:uid="{741D76B9-F82E-4968-98F7-24DF9D39824E}" name="CZ07" dataDxfId="36">
      <calculatedColumnFormula>'Design flow rate'!I5*0.7</calculatedColumnFormula>
    </tableColumn>
    <tableColumn id="9" xr3:uid="{1C255D11-1184-4DEF-B24F-2875C898A90D}" name="CZ08" dataDxfId="35">
      <calculatedColumnFormula>'Design flow rate'!J5*0.7</calculatedColumnFormula>
    </tableColumn>
    <tableColumn id="10" xr3:uid="{DDB70ACF-14AA-4E57-B14E-11F7F515F71D}" name="CZ09" dataDxfId="34">
      <calculatedColumnFormula>'Design flow rate'!K5*0.7</calculatedColumnFormula>
    </tableColumn>
    <tableColumn id="11" xr3:uid="{A06E2CF3-82F7-4A8B-BCAF-B6A9D8C77E47}" name="CZ10" dataDxfId="33">
      <calculatedColumnFormula>'Design flow rate'!L5*0.7</calculatedColumnFormula>
    </tableColumn>
    <tableColumn id="12" xr3:uid="{90D59F60-D138-4826-A5FA-D33433C7FDB2}" name="CZ11" dataDxfId="32">
      <calculatedColumnFormula>'Design flow rate'!M5*0.7</calculatedColumnFormula>
    </tableColumn>
    <tableColumn id="13" xr3:uid="{0095AF9D-299D-4DF4-B2ED-504F57B78E98}" name="CZ12" dataDxfId="31">
      <calculatedColumnFormula>'Design flow rate'!N5*0.7</calculatedColumnFormula>
    </tableColumn>
    <tableColumn id="14" xr3:uid="{6F571005-1F94-4EBC-A074-2526374BAE8D}" name="CZ13" dataDxfId="30">
      <calculatedColumnFormula>'Design flow rate'!O5*0.7</calculatedColumnFormula>
    </tableColumn>
    <tableColumn id="15" xr3:uid="{BA546CF2-F132-4FD7-8C3B-1A279B12EE4F}" name="CZ14" dataDxfId="29">
      <calculatedColumnFormula>'Design flow rate'!P5*0.7</calculatedColumnFormula>
    </tableColumn>
    <tableColumn id="16" xr3:uid="{4D33CCB8-6E8C-4E08-9E8F-C8E2AC029665}" name="CZ15" dataDxfId="28">
      <calculatedColumnFormula>'Design flow rate'!Q5*0.7</calculatedColumnFormula>
    </tableColumn>
    <tableColumn id="17" xr3:uid="{076C8DED-4153-4839-BF28-26FDE057861A}" name="CZ16" dataDxfId="27">
      <calculatedColumnFormula>'Design flow rate'!R5*0.7</calculatedColumnFormula>
    </tableColumn>
    <tableColumn id="18" xr3:uid="{E280CBBA-C6FD-40E3-B065-DC98FC109C43}" name="Min Across All CZ" dataDxfId="26">
      <calculatedColumnFormula>'Design flow rate'!S5*0.7</calculatedColumnFormula>
    </tableColumn>
    <tableColumn id="19" xr3:uid="{4C571D75-6543-42BD-A8D8-143F7F1018CB}" name="Average Across All CZ2" dataDxfId="25">
      <calculatedColumnFormula>'Design flow rate'!T5*0.7</calculatedColumnFormula>
    </tableColumn>
    <tableColumn id="20" xr3:uid="{DFFD5F7C-DB6C-4F1F-B9E4-49C553233CE1}" name="Max  Across All CZ3" dataDxfId="24">
      <calculatedColumnFormula>'Design flow rate'!U5*0.7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3BF2CE-1EFC-4556-8007-D1BCAD79AE59}" name="Table15" displayName="Table15" ref="B17:U26" totalsRowShown="0" headerRowDxfId="23" headerRowBorderDxfId="22" tableBorderDxfId="21" totalsRowBorderDxfId="20">
  <autoFilter ref="B17:U26" xr:uid="{6E3BF2CE-1EFC-4556-8007-D1BCAD79AE59}"/>
  <tableColumns count="20">
    <tableColumn id="1" xr3:uid="{FFC851E8-81A9-4EDE-8969-96606DEABADB}" name="Building Type" dataDxfId="19"/>
    <tableColumn id="2" xr3:uid="{DB5691DF-29A8-4E83-B4F4-20CE1FAA2313}" name="CZ01" dataDxfId="18">
      <calculatedColumnFormula>'Design flow rate'!C18*0.7</calculatedColumnFormula>
    </tableColumn>
    <tableColumn id="3" xr3:uid="{9BD2A7D5-E2CD-4E93-B884-B7BE2E9DDEAF}" name="CZ02" dataDxfId="17">
      <calculatedColumnFormula>'Design flow rate'!D18*0.7</calculatedColumnFormula>
    </tableColumn>
    <tableColumn id="4" xr3:uid="{D3726F40-8DB5-4A31-96E1-0BC3C4A84E20}" name="CZ03" dataDxfId="16">
      <calculatedColumnFormula>'Design flow rate'!E18*0.7</calculatedColumnFormula>
    </tableColumn>
    <tableColumn id="5" xr3:uid="{214ACD3A-C536-4F35-AE8C-0E86952B7465}" name="CZ04" dataDxfId="15">
      <calculatedColumnFormula>'Design flow rate'!F18*0.7</calculatedColumnFormula>
    </tableColumn>
    <tableColumn id="6" xr3:uid="{62E3DC84-E3F7-4A54-8D95-4CB1DE262F12}" name="CZ05" dataDxfId="14">
      <calculatedColumnFormula>'Design flow rate'!G18*0.7</calculatedColumnFormula>
    </tableColumn>
    <tableColumn id="7" xr3:uid="{270E115C-7BF3-4387-B299-6B5346B2163F}" name="CZ06" dataDxfId="13">
      <calculatedColumnFormula>'Design flow rate'!H18*0.7</calculatedColumnFormula>
    </tableColumn>
    <tableColumn id="8" xr3:uid="{1239320E-CA27-4C26-B8FE-01F721B04283}" name="CZ07" dataDxfId="12">
      <calculatedColumnFormula>'Design flow rate'!I18*0.7</calculatedColumnFormula>
    </tableColumn>
    <tableColumn id="9" xr3:uid="{59E983A6-966F-4D8A-8717-C609C2A38B7A}" name="CZ08" dataDxfId="11">
      <calculatedColumnFormula>'Design flow rate'!J18*0.7</calculatedColumnFormula>
    </tableColumn>
    <tableColumn id="10" xr3:uid="{E3C67E61-902B-4979-B04E-654EC396D577}" name="CZ09" dataDxfId="10">
      <calculatedColumnFormula>'Design flow rate'!K18*0.7</calculatedColumnFormula>
    </tableColumn>
    <tableColumn id="11" xr3:uid="{3007FD2E-D2D9-4FC4-A6FB-98E30533AB81}" name="CZ10" dataDxfId="9">
      <calculatedColumnFormula>'Design flow rate'!L18*0.7</calculatedColumnFormula>
    </tableColumn>
    <tableColumn id="12" xr3:uid="{B18EEA8B-7B96-42DC-A21A-B503CD248A11}" name="CZ11" dataDxfId="8">
      <calculatedColumnFormula>'Design flow rate'!M18*0.7</calculatedColumnFormula>
    </tableColumn>
    <tableColumn id="13" xr3:uid="{04FAE884-E52D-4CB8-AEF3-9EE66DD4844E}" name="CZ12" dataDxfId="7">
      <calculatedColumnFormula>'Design flow rate'!N18*0.7</calculatedColumnFormula>
    </tableColumn>
    <tableColumn id="14" xr3:uid="{F4638744-FB8A-4EEE-BBFC-E5EB7C366723}" name="CZ13" dataDxfId="6">
      <calculatedColumnFormula>'Design flow rate'!O18*0.7</calculatedColumnFormula>
    </tableColumn>
    <tableColumn id="15" xr3:uid="{29EBE62A-7501-4576-B584-EF898ED13F70}" name="CZ14" dataDxfId="5">
      <calculatedColumnFormula>'Design flow rate'!P18*0.7</calculatedColumnFormula>
    </tableColumn>
    <tableColumn id="16" xr3:uid="{247439A6-0CEF-472D-9107-0571A527EA39}" name="CZ15" dataDxfId="4">
      <calculatedColumnFormula>'Design flow rate'!Q18*0.7</calculatedColumnFormula>
    </tableColumn>
    <tableColumn id="17" xr3:uid="{B9AE81A1-9258-44B5-8848-926A132312FC}" name="CZ16" dataDxfId="3">
      <calculatedColumnFormula>'Design flow rate'!R18*0.7</calculatedColumnFormula>
    </tableColumn>
    <tableColumn id="18" xr3:uid="{64FA2095-74A5-40FB-8747-E7FF0B5FE91B}" name="Min Across All CZ" dataDxfId="2">
      <calculatedColumnFormula>'Design flow rate'!S18*0.7</calculatedColumnFormula>
    </tableColumn>
    <tableColumn id="19" xr3:uid="{E37C81CD-E2AD-4D39-9E13-520BD29F890F}" name="Average Across All CZ2" dataDxfId="1">
      <calculatedColumnFormula>'Design flow rate'!T18*0.7</calculatedColumnFormula>
    </tableColumn>
    <tableColumn id="20" xr3:uid="{7ED94B75-F76A-4F7B-B6CD-2425E7F9B9FA}" name="Max  Across All CZ3" dataDxfId="0">
      <calculatedColumnFormula>'Design flow rate'!U18*0.7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1664D-C0DE-4113-BA95-74E4E46BC4C7}">
  <dimension ref="A1:W26"/>
  <sheetViews>
    <sheetView topLeftCell="B1" workbookViewId="0">
      <selection activeCell="V3" sqref="V3"/>
    </sheetView>
  </sheetViews>
  <sheetFormatPr defaultRowHeight="15" x14ac:dyDescent="0.25"/>
  <cols>
    <col min="2" max="2" width="26" bestFit="1" customWidth="1"/>
    <col min="19" max="19" width="22" customWidth="1"/>
    <col min="20" max="20" width="14.5703125" customWidth="1"/>
    <col min="21" max="21" width="17.140625" customWidth="1"/>
    <col min="22" max="22" width="12.85546875" bestFit="1" customWidth="1"/>
  </cols>
  <sheetData>
    <row r="1" spans="1:23" x14ac:dyDescent="0.25">
      <c r="A1" t="s">
        <v>1</v>
      </c>
      <c r="B1" s="1" t="s">
        <v>2</v>
      </c>
      <c r="V1" s="1" t="s">
        <v>648</v>
      </c>
      <c r="W1" s="1"/>
    </row>
    <row r="2" spans="1:23" x14ac:dyDescent="0.25">
      <c r="B2" s="1" t="s">
        <v>651</v>
      </c>
      <c r="V2" s="1"/>
      <c r="W2" s="1"/>
    </row>
    <row r="3" spans="1:23" x14ac:dyDescent="0.25">
      <c r="B3" t="s">
        <v>640</v>
      </c>
      <c r="S3" s="23" t="s">
        <v>33</v>
      </c>
      <c r="T3" s="23"/>
      <c r="U3" s="23"/>
      <c r="V3" s="1">
        <v>995</v>
      </c>
      <c r="W3" s="1" t="s">
        <v>643</v>
      </c>
    </row>
    <row r="4" spans="1:23" x14ac:dyDescent="0.25">
      <c r="B4" s="5" t="s">
        <v>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6" t="s">
        <v>19</v>
      </c>
      <c r="L4" s="6" t="s">
        <v>20</v>
      </c>
      <c r="M4" s="6" t="s">
        <v>21</v>
      </c>
      <c r="N4" s="6" t="s">
        <v>22</v>
      </c>
      <c r="O4" s="6" t="s">
        <v>23</v>
      </c>
      <c r="P4" s="6" t="s">
        <v>24</v>
      </c>
      <c r="Q4" s="6" t="s">
        <v>25</v>
      </c>
      <c r="R4" s="7" t="s">
        <v>26</v>
      </c>
      <c r="S4" s="6" t="s">
        <v>642</v>
      </c>
      <c r="T4" s="6" t="s">
        <v>644</v>
      </c>
      <c r="U4" s="6" t="s">
        <v>645</v>
      </c>
    </row>
    <row r="5" spans="1:23" x14ac:dyDescent="0.25">
      <c r="B5" s="3" t="s">
        <v>3</v>
      </c>
      <c r="C5" s="2">
        <f>IFERROR(
    _xlfn.MINIFS(
        'Combined Runs'!$P:$P,
        'Combined Runs'!$K:$K, C$4,
        'Combined Runs'!$J:$J, "*" &amp; $B5 &amp; "&amp;0&amp;cPVVE&amp;Ex&amp;Chiller__PumpCtrl*"
    ),
    ""
)</f>
        <v>0.139982</v>
      </c>
      <c r="D5" s="2">
        <f>IFERROR(
    _xlfn.MINIFS(
        'Combined Runs'!$P:$P,
        'Combined Runs'!$K:$K, D$4,
        'Combined Runs'!$J:$J, "*" &amp; $B5 &amp; "&amp;0&amp;cPVVE&amp;Ex&amp;Chiller__PumpCtrl*"
    ),
    ""
)</f>
        <v>0.17999299999999999</v>
      </c>
      <c r="E5" s="2">
        <f>IFERROR(
    _xlfn.MINIFS(
        'Combined Runs'!$P:$P,
        'Combined Runs'!$K:$K, E$4,
        'Combined Runs'!$J:$J, "*" &amp; $B5 &amp; "&amp;0&amp;cPVVE&amp;Ex&amp;Chiller__PumpCtrl*"
    ),
    ""
)</f>
        <v>0.16917399999999999</v>
      </c>
      <c r="F5" s="2">
        <f>IFERROR(
    _xlfn.MINIFS(
        'Combined Runs'!$P:$P,
        'Combined Runs'!$K:$K, F$4,
        'Combined Runs'!$J:$J, "*" &amp; $B5 &amp; "&amp;0&amp;cPVVE&amp;Ex&amp;Chiller__PumpCtrl*"
    ),
    ""
)</f>
        <v>0.182252</v>
      </c>
      <c r="G5" s="2">
        <f>IFERROR(
    _xlfn.MINIFS(
        'Combined Runs'!$P:$P,
        'Combined Runs'!$K:$K, G$4,
        'Combined Runs'!$J:$J, "*" &amp; $B5 &amp; "&amp;0&amp;cPVVE&amp;Ex&amp;Chiller__PumpCtrl*"
    ),
    ""
)</f>
        <v>0.15990499999999999</v>
      </c>
      <c r="H5" s="2">
        <f>IFERROR(
    _xlfn.MINIFS(
        'Combined Runs'!$P:$P,
        'Combined Runs'!$K:$K, H$4,
        'Combined Runs'!$J:$J, "*" &amp; $B5 &amp; "&amp;0&amp;cPVVE&amp;Ex&amp;Chiller__PumpCtrl*"
    ),
    ""
)</f>
        <v>0.16672899999999999</v>
      </c>
      <c r="I5" s="2">
        <f>IFERROR(
    _xlfn.MINIFS(
        'Combined Runs'!$P:$P,
        'Combined Runs'!$K:$K, I$4,
        'Combined Runs'!$J:$J, "*" &amp; $B5 &amp; "&amp;0&amp;cPVVE&amp;Ex&amp;Chiller__PumpCtrl*"
    ),
    ""
)</f>
        <v>0.170988</v>
      </c>
      <c r="J5" s="2">
        <f>IFERROR(
    _xlfn.MINIFS(
        'Combined Runs'!$P:$P,
        'Combined Runs'!$K:$K, J$4,
        'Combined Runs'!$J:$J, "*" &amp; $B5 &amp; "&amp;0&amp;cPVVE&amp;Ex&amp;Chiller__PumpCtrl*"
    ),
    ""
)</f>
        <v>0.183533</v>
      </c>
      <c r="K5" s="2">
        <f>IFERROR(
    _xlfn.MINIFS(
        'Combined Runs'!$P:$P,
        'Combined Runs'!$K:$K, K$4,
        'Combined Runs'!$J:$J, "*" &amp; $B5 &amp; "&amp;0&amp;cPVVE&amp;Ex&amp;Chiller__PumpCtrl*"
    ),
    ""
)</f>
        <v>0.186054</v>
      </c>
      <c r="L5" s="2">
        <f>IFERROR(
    _xlfn.MINIFS(
        'Combined Runs'!$P:$P,
        'Combined Runs'!$K:$K, L$4,
        'Combined Runs'!$J:$J, "*" &amp; $B5 &amp; "&amp;0&amp;cPVVE&amp;Ex&amp;Chiller__PumpCtrl*"
    ),
    ""
)</f>
        <v>0.199597</v>
      </c>
      <c r="M5" s="2">
        <f>IFERROR(
    _xlfn.MINIFS(
        'Combined Runs'!$P:$P,
        'Combined Runs'!$K:$K, M$4,
        'Combined Runs'!$J:$J, "*" &amp; $B5 &amp; "&amp;0&amp;cPVVE&amp;Ex&amp;Chiller__PumpCtrl*"
    ),
    ""
)</f>
        <v>0.20177899999999999</v>
      </c>
      <c r="N5" s="2">
        <f>IFERROR(
    _xlfn.MINIFS(
        'Combined Runs'!$P:$P,
        'Combined Runs'!$K:$K, N$4,
        'Combined Runs'!$J:$J, "*" &amp; $B5 &amp; "&amp;0&amp;cPVVE&amp;Ex&amp;Chiller__PumpCtrl*"
    ),
    ""
)</f>
        <v>0.19683100000000001</v>
      </c>
      <c r="O5" s="2">
        <f>IFERROR(
    _xlfn.MINIFS(
        'Combined Runs'!$P:$P,
        'Combined Runs'!$K:$K, O$4,
        'Combined Runs'!$J:$J, "*" &amp; $B5 &amp; "&amp;0&amp;cPVVE&amp;Ex&amp;Chiller__PumpCtrl*"
    ),
    ""
)</f>
        <v>0.203123</v>
      </c>
      <c r="P5" s="2">
        <f>IFERROR(
    _xlfn.MINIFS(
        'Combined Runs'!$P:$P,
        'Combined Runs'!$K:$K, P$4,
        'Combined Runs'!$J:$J, "*" &amp; $B5 &amp; "&amp;0&amp;cPVVE&amp;Ex&amp;Chiller__PumpCtrl*"
    ),
    ""
)</f>
        <v>0.20268600000000001</v>
      </c>
      <c r="Q5" s="2">
        <f>IFERROR(
    _xlfn.MINIFS(
        'Combined Runs'!$P:$P,
        'Combined Runs'!$K:$K, Q$4,
        'Combined Runs'!$J:$J, "*" &amp; $B5 &amp; "&amp;0&amp;cPVVE&amp;Ex&amp;Chiller__PumpCtrl*"
    ),
    ""
)</f>
        <v>0.209815</v>
      </c>
      <c r="R5" s="2">
        <f>IFERROR(
    _xlfn.MINIFS(
        'Combined Runs'!$P:$P,
        'Combined Runs'!$K:$K, R$4,
        'Combined Runs'!$J:$J, "*" &amp; $B5 &amp; "&amp;0&amp;cPVVE&amp;Ex&amp;Chiller__PumpCtrl*"
    ),
    ""
)</f>
        <v>0.17796200000000001</v>
      </c>
      <c r="S5" s="6">
        <f>MIN(Table2[[#This Row],[CZ01]:[CZ16]])</f>
        <v>0.139982</v>
      </c>
      <c r="T5" s="6">
        <f>AVERAGE(Table2[[#This Row],[CZ01]:[CZ16]])</f>
        <v>0.18315018749999998</v>
      </c>
      <c r="U5" s="6">
        <f>MAX(Table2[[#This Row],[CZ01]:[CZ16]])</f>
        <v>0.209815</v>
      </c>
    </row>
    <row r="6" spans="1:23" x14ac:dyDescent="0.25">
      <c r="B6" s="3" t="s">
        <v>4</v>
      </c>
      <c r="C6" s="2">
        <f>IFERROR(
    _xlfn.MINIFS(
        'Combined Runs'!$P:$P,
        'Combined Runs'!$K:$K, C$4,
        'Combined Runs'!$J:$J, "*" &amp; $B6 &amp; "&amp;0&amp;cPVVE&amp;Ex&amp;Chiller__PumpCtrl*"
    ),
    ""
)</f>
        <v>2.3234999999999999E-2</v>
      </c>
      <c r="D6" s="2">
        <f>IFERROR(
    _xlfn.MINIFS(
        'Combined Runs'!$P:$P,
        'Combined Runs'!$K:$K, D$4,
        'Combined Runs'!$J:$J, "*" &amp; $B6 &amp; "&amp;0&amp;cPVVE&amp;Ex&amp;Chiller__PumpCtrl*"
    ),
    ""
)</f>
        <v>2.9836999999999999E-2</v>
      </c>
      <c r="E6" s="2">
        <f>IFERROR(
    _xlfn.MINIFS(
        'Combined Runs'!$P:$P,
        'Combined Runs'!$K:$K, E$4,
        'Combined Runs'!$J:$J, "*" &amp; $B6 &amp; "&amp;0&amp;cPVVE&amp;Ex&amp;Chiller__PumpCtrl*"
    ),
    ""
)</f>
        <v>2.8303999999999999E-2</v>
      </c>
      <c r="F6" s="2">
        <f>IFERROR(
    _xlfn.MINIFS(
        'Combined Runs'!$P:$P,
        'Combined Runs'!$K:$K, F$4,
        'Combined Runs'!$J:$J, "*" &amp; $B6 &amp; "&amp;0&amp;cPVVE&amp;Ex&amp;Chiller__PumpCtrl*"
    ),
    ""
)</f>
        <v>3.0299E-2</v>
      </c>
      <c r="G6" s="2">
        <f>IFERROR(
    _xlfn.MINIFS(
        'Combined Runs'!$P:$P,
        'Combined Runs'!$K:$K, G$4,
        'Combined Runs'!$J:$J, "*" &amp; $B6 &amp; "&amp;0&amp;cPVVE&amp;Ex&amp;Chiller__PumpCtrl*"
    ),
    ""
)</f>
        <v>2.6648000000000002E-2</v>
      </c>
      <c r="H6" s="2">
        <f>IFERROR(
    _xlfn.MINIFS(
        'Combined Runs'!$P:$P,
        'Combined Runs'!$K:$K, H$4,
        'Combined Runs'!$J:$J, "*" &amp; $B6 &amp; "&amp;0&amp;cPVVE&amp;Ex&amp;Chiller__PumpCtrl*"
    ),
    ""
)</f>
        <v>2.7890999999999999E-2</v>
      </c>
      <c r="I6" s="2">
        <f>IFERROR(
    _xlfn.MINIFS(
        'Combined Runs'!$P:$P,
        'Combined Runs'!$K:$K, I$4,
        'Combined Runs'!$J:$J, "*" &amp; $B6 &amp; "&amp;0&amp;cPVVE&amp;Ex&amp;Chiller__PumpCtrl*"
    ),
    ""
)</f>
        <v>2.8580999999999999E-2</v>
      </c>
      <c r="J6" s="2">
        <f>IFERROR(
    _xlfn.MINIFS(
        'Combined Runs'!$P:$P,
        'Combined Runs'!$K:$K, J$4,
        'Combined Runs'!$J:$J, "*" &amp; $B6 &amp; "&amp;0&amp;cPVVE&amp;Ex&amp;Chiller__PumpCtrl*"
    ),
    ""
)</f>
        <v>3.056E-2</v>
      </c>
      <c r="K6" s="2">
        <f>IFERROR(
    _xlfn.MINIFS(
        'Combined Runs'!$P:$P,
        'Combined Runs'!$K:$K, K$4,
        'Combined Runs'!$J:$J, "*" &amp; $B6 &amp; "&amp;0&amp;cPVVE&amp;Ex&amp;Chiller__PumpCtrl*"
    ),
    ""
)</f>
        <v>3.1379999999999998E-2</v>
      </c>
      <c r="L6" s="2">
        <f>IFERROR(
    _xlfn.MINIFS(
        'Combined Runs'!$P:$P,
        'Combined Runs'!$K:$K, L$4,
        'Combined Runs'!$J:$J, "*" &amp; $B6 &amp; "&amp;0&amp;cPVVE&amp;Ex&amp;Chiller__PumpCtrl*"
    ),
    ""
)</f>
        <v>3.2509000000000003E-2</v>
      </c>
      <c r="M6" s="2">
        <f>IFERROR(
    _xlfn.MINIFS(
        'Combined Runs'!$P:$P,
        'Combined Runs'!$K:$K, M$4,
        'Combined Runs'!$J:$J, "*" &amp; $B6 &amp; "&amp;0&amp;cPVVE&amp;Ex&amp;Chiller__PumpCtrl*"
    ),
    ""
)</f>
        <v>3.2988999999999997E-2</v>
      </c>
      <c r="N6" s="2">
        <f>IFERROR(
    _xlfn.MINIFS(
        'Combined Runs'!$P:$P,
        'Combined Runs'!$K:$K, N$4,
        'Combined Runs'!$J:$J, "*" &amp; $B6 &amp; "&amp;0&amp;cPVVE&amp;Ex&amp;Chiller__PumpCtrl*"
    ),
    ""
)</f>
        <v>3.1694E-2</v>
      </c>
      <c r="O6" s="2">
        <f>IFERROR(
    _xlfn.MINIFS(
        'Combined Runs'!$P:$P,
        'Combined Runs'!$K:$K, O$4,
        'Combined Runs'!$J:$J, "*" &amp; $B6 &amp; "&amp;0&amp;cPVVE&amp;Ex&amp;Chiller__PumpCtrl*"
    ),
    ""
)</f>
        <v>3.3064000000000003E-2</v>
      </c>
      <c r="P6" s="2">
        <f>IFERROR(
    _xlfn.MINIFS(
        'Combined Runs'!$P:$P,
        'Combined Runs'!$K:$K, P$4,
        'Combined Runs'!$J:$J, "*" &amp; $B6 &amp; "&amp;0&amp;cPVVE&amp;Ex&amp;Chiller__PumpCtrl*"
    ),
    ""
)</f>
        <v>3.2953999999999997E-2</v>
      </c>
      <c r="Q6" s="2">
        <f>IFERROR(
    _xlfn.MINIFS(
        'Combined Runs'!$P:$P,
        'Combined Runs'!$K:$K, Q$4,
        'Combined Runs'!$J:$J, "*" &amp; $B6 &amp; "&amp;0&amp;cPVVE&amp;Ex&amp;Chiller__PumpCtrl*"
    ),
    ""
)</f>
        <v>3.4018E-2</v>
      </c>
      <c r="R6" s="4">
        <f>IFERROR(
    _xlfn.MINIFS(
        'Combined Runs'!$P:$P,
        'Combined Runs'!$K:$K, R$4,
        'Combined Runs'!$J:$J, "*" &amp; $B6 &amp; "&amp;0&amp;cPVVE&amp;Ex&amp;Chiller__PumpCtrl*"
    ),
    ""
)</f>
        <v>2.8822E-2</v>
      </c>
      <c r="S6" s="2">
        <f>MIN(Table2[[#This Row],[CZ01]:[CZ16]])</f>
        <v>2.3234999999999999E-2</v>
      </c>
      <c r="T6" s="2">
        <f>AVERAGE(Table2[[#This Row],[CZ01]:[CZ16]])</f>
        <v>3.0174062499999998E-2</v>
      </c>
      <c r="U6" s="2">
        <f>MAX(Table2[[#This Row],[CZ01]:[CZ16]])</f>
        <v>3.4018E-2</v>
      </c>
    </row>
    <row r="7" spans="1:23" x14ac:dyDescent="0.25">
      <c r="B7" s="3" t="s">
        <v>5</v>
      </c>
      <c r="C7" s="2">
        <f>IFERROR(
    _xlfn.MINIFS(
        'Combined Runs'!$P:$P,
        'Combined Runs'!$K:$K, C$4,
        'Combined Runs'!$J:$J, "*" &amp; $B7 &amp; "&amp;0&amp;cPVVE&amp;Ex&amp;Chiller__PumpCtrl*"
    ),
    ""
)</f>
        <v>0.35826799999999998</v>
      </c>
      <c r="D7" s="2">
        <f>IFERROR(
    _xlfn.MINIFS(
        'Combined Runs'!$P:$P,
        'Combined Runs'!$K:$K, D$4,
        'Combined Runs'!$J:$J, "*" &amp; $B7 &amp; "&amp;0&amp;cPVVE&amp;Ex&amp;Chiller__PumpCtrl*"
    ),
    ""
)</f>
        <v>0.42491099999999998</v>
      </c>
      <c r="E7" s="2">
        <f>IFERROR(
    _xlfn.MINIFS(
        'Combined Runs'!$P:$P,
        'Combined Runs'!$K:$K, E$4,
        'Combined Runs'!$J:$J, "*" &amp; $B7 &amp; "&amp;0&amp;cPVVE&amp;Ex&amp;Chiller__PumpCtrl*"
    ),
    ""
)</f>
        <v>0.41103099999999998</v>
      </c>
      <c r="F7" s="2">
        <f>IFERROR(
    _xlfn.MINIFS(
        'Combined Runs'!$P:$P,
        'Combined Runs'!$K:$K, F$4,
        'Combined Runs'!$J:$J, "*" &amp; $B7 &amp; "&amp;0&amp;cPVVE&amp;Ex&amp;Chiller__PumpCtrl*"
    ),
    ""
)</f>
        <v>0.42887700000000001</v>
      </c>
      <c r="G7" s="2">
        <f>IFERROR(
    _xlfn.MINIFS(
        'Combined Runs'!$P:$P,
        'Combined Runs'!$K:$K, G$4,
        'Combined Runs'!$J:$J, "*" &amp; $B7 &amp; "&amp;0&amp;cPVVE&amp;Ex&amp;Chiller__PumpCtrl*"
    ),
    ""
)</f>
        <v>0.39022000000000001</v>
      </c>
      <c r="H7" s="2">
        <f>IFERROR(
    _xlfn.MINIFS(
        'Combined Runs'!$P:$P,
        'Combined Runs'!$K:$K, H$4,
        'Combined Runs'!$J:$J, "*" &amp; $B7 &amp; "&amp;0&amp;cPVVE&amp;Ex&amp;Chiller__PumpCtrl*"
    ),
    ""
)</f>
        <v>0.40231800000000001</v>
      </c>
      <c r="I7" s="2">
        <f>IFERROR(
    _xlfn.MINIFS(
        'Combined Runs'!$P:$P,
        'Combined Runs'!$K:$K, I$4,
        'Combined Runs'!$J:$J, "*" &amp; $B7 &amp; "&amp;0&amp;cPVVE&amp;Ex&amp;Chiller__PumpCtrl*"
    ),
    ""
)</f>
        <v>0.409715</v>
      </c>
      <c r="J7" s="2">
        <f>IFERROR(
    _xlfn.MINIFS(
        'Combined Runs'!$P:$P,
        'Combined Runs'!$K:$K, J$4,
        'Combined Runs'!$J:$J, "*" &amp; $B7 &amp; "&amp;0&amp;cPVVE&amp;Ex&amp;Chiller__PumpCtrl*"
    ),
    ""
)</f>
        <v>0.43177599999999999</v>
      </c>
      <c r="K7" s="2">
        <f>IFERROR(
    _xlfn.MINIFS(
        'Combined Runs'!$P:$P,
        'Combined Runs'!$K:$K, K$4,
        'Combined Runs'!$J:$J, "*" &amp; $B7 &amp; "&amp;0&amp;cPVVE&amp;Ex&amp;Chiller__PumpCtrl*"
    ),
    ""
)</f>
        <v>0.43871500000000002</v>
      </c>
      <c r="L7" s="2">
        <f>IFERROR(
    _xlfn.MINIFS(
        'Combined Runs'!$P:$P,
        'Combined Runs'!$K:$K, L$4,
        'Combined Runs'!$J:$J, "*" &amp; $B7 &amp; "&amp;0&amp;cPVVE&amp;Ex&amp;Chiller__PumpCtrl*"
    ),
    ""
)</f>
        <v>0.445301</v>
      </c>
      <c r="M7" s="2">
        <f>IFERROR(
    _xlfn.MINIFS(
        'Combined Runs'!$P:$P,
        'Combined Runs'!$K:$K, M$4,
        'Combined Runs'!$J:$J, "*" &amp; $B7 &amp; "&amp;0&amp;cPVVE&amp;Ex&amp;Chiller__PumpCtrl*"
    ),
    ""
)</f>
        <v>0.458148</v>
      </c>
      <c r="N7" s="2">
        <f>IFERROR(
    _xlfn.MINIFS(
        'Combined Runs'!$P:$P,
        'Combined Runs'!$K:$K, N$4,
        'Combined Runs'!$J:$J, "*" &amp; $B7 &amp; "&amp;0&amp;cPVVE&amp;Ex&amp;Chiller__PumpCtrl*"
    ),
    ""
)</f>
        <v>0.44756699999999999</v>
      </c>
      <c r="O7" s="2">
        <f>IFERROR(
    _xlfn.MINIFS(
        'Combined Runs'!$P:$P,
        'Combined Runs'!$K:$K, O$4,
        'Combined Runs'!$J:$J, "*" &amp; $B7 &amp; "&amp;0&amp;cPVVE&amp;Ex&amp;Chiller__PumpCtrl*"
    ),
    ""
)</f>
        <v>0.46046300000000001</v>
      </c>
      <c r="P7" s="2">
        <f>IFERROR(
    _xlfn.MINIFS(
        'Combined Runs'!$P:$P,
        'Combined Runs'!$K:$K, P$4,
        'Combined Runs'!$J:$J, "*" &amp; $B7 &amp; "&amp;0&amp;cPVVE&amp;Ex&amp;Chiller__PumpCtrl*"
    ),
    ""
)</f>
        <v>0.46065200000000001</v>
      </c>
      <c r="Q7" s="2">
        <f>IFERROR(
    _xlfn.MINIFS(
        'Combined Runs'!$P:$P,
        'Combined Runs'!$K:$K, Q$4,
        'Combined Runs'!$J:$J, "*" &amp; $B7 &amp; "&amp;0&amp;cPVVE&amp;Ex&amp;Chiller__PumpCtrl*"
    ),
    ""
)</f>
        <v>0.47101300000000001</v>
      </c>
      <c r="R7" s="4">
        <f>IFERROR(
    _xlfn.MINIFS(
        'Combined Runs'!$P:$P,
        'Combined Runs'!$K:$K, R$4,
        'Combined Runs'!$J:$J, "*" &amp; $B7 &amp; "&amp;0&amp;cPVVE&amp;Ex&amp;Chiller__PumpCtrl*"
    ),
    ""
)</f>
        <v>0.41778900000000002</v>
      </c>
      <c r="S7" s="2">
        <f>MIN(Table2[[#This Row],[CZ01]:[CZ16]])</f>
        <v>0.35826799999999998</v>
      </c>
      <c r="T7" s="2">
        <f>AVERAGE(Table2[[#This Row],[CZ01]:[CZ16]])</f>
        <v>0.42854775000000001</v>
      </c>
      <c r="U7" s="2">
        <f>MAX(Table2[[#This Row],[CZ01]:[CZ16]])</f>
        <v>0.47101300000000001</v>
      </c>
    </row>
    <row r="8" spans="1:23" x14ac:dyDescent="0.25">
      <c r="B8" s="3" t="s">
        <v>6</v>
      </c>
      <c r="C8" s="2">
        <f>IFERROR(
    _xlfn.MINIFS(
        'Combined Runs'!$P:$P,
        'Combined Runs'!$K:$K, C$4,
        'Combined Runs'!$J:$J, "*" &amp; $B8 &amp; "&amp;0&amp;cPVVE&amp;Ex&amp;Chiller__PumpCtrl*"
    ),
    ""
)</f>
        <v>0.16796900000000001</v>
      </c>
      <c r="D8" s="2">
        <f>IFERROR(
    _xlfn.MINIFS(
        'Combined Runs'!$P:$P,
        'Combined Runs'!$K:$K, D$4,
        'Combined Runs'!$J:$J, "*" &amp; $B8 &amp; "&amp;0&amp;cPVVE&amp;Ex&amp;Chiller__PumpCtrl*"
    ),
    ""
)</f>
        <v>0.20667099999999999</v>
      </c>
      <c r="E8" s="2">
        <f>IFERROR(
    _xlfn.MINIFS(
        'Combined Runs'!$P:$P,
        'Combined Runs'!$K:$K, E$4,
        'Combined Runs'!$J:$J, "*" &amp; $B8 &amp; "&amp;0&amp;cPVVE&amp;Ex&amp;Chiller__PumpCtrl*"
    ),
    ""
)</f>
        <v>0.19656199999999999</v>
      </c>
      <c r="F8" s="2">
        <f>IFERROR(
    _xlfn.MINIFS(
        'Combined Runs'!$P:$P,
        'Combined Runs'!$K:$K, F$4,
        'Combined Runs'!$J:$J, "*" &amp; $B8 &amp; "&amp;0&amp;cPVVE&amp;Ex&amp;Chiller__PumpCtrl*"
    ),
    ""
)</f>
        <v>0.20941899999999999</v>
      </c>
      <c r="G8" s="2">
        <f>IFERROR(
    _xlfn.MINIFS(
        'Combined Runs'!$P:$P,
        'Combined Runs'!$K:$K, G$4,
        'Combined Runs'!$J:$J, "*" &amp; $B8 &amp; "&amp;0&amp;cPVVE&amp;Ex&amp;Chiller__PumpCtrl*"
    ),
    ""
)</f>
        <v>0.189554</v>
      </c>
      <c r="H8" s="2">
        <f>IFERROR(
    _xlfn.MINIFS(
        'Combined Runs'!$P:$P,
        'Combined Runs'!$K:$K, H$4,
        'Combined Runs'!$J:$J, "*" &amp; $B8 &amp; "&amp;0&amp;cPVVE&amp;Ex&amp;Chiller__PumpCtrl*"
    ),
    ""
)</f>
        <v>0.19725200000000001</v>
      </c>
      <c r="I8" s="2">
        <f>IFERROR(
    _xlfn.MINIFS(
        'Combined Runs'!$P:$P,
        'Combined Runs'!$K:$K, I$4,
        'Combined Runs'!$J:$J, "*" &amp; $B8 &amp; "&amp;0&amp;cPVVE&amp;Ex&amp;Chiller__PumpCtrl*"
    ),
    ""
)</f>
        <v>0.20213800000000001</v>
      </c>
      <c r="J8" s="2">
        <f>IFERROR(
    _xlfn.MINIFS(
        'Combined Runs'!$P:$P,
        'Combined Runs'!$K:$K, J$4,
        'Combined Runs'!$J:$J, "*" &amp; $B8 &amp; "&amp;0&amp;cPVVE&amp;Ex&amp;Chiller__PumpCtrl*"
    ),
    ""
)</f>
        <v>0.21241599999999999</v>
      </c>
      <c r="K8" s="2">
        <f>IFERROR(
    _xlfn.MINIFS(
        'Combined Runs'!$P:$P,
        'Combined Runs'!$K:$K, K$4,
        'Combined Runs'!$J:$J, "*" &amp; $B8 &amp; "&amp;0&amp;cPVVE&amp;Ex&amp;Chiller__PumpCtrl*"
    ),
    ""
)</f>
        <v>0.21684600000000001</v>
      </c>
      <c r="L8" s="2">
        <f>IFERROR(
    _xlfn.MINIFS(
        'Combined Runs'!$P:$P,
        'Combined Runs'!$K:$K, L$4,
        'Combined Runs'!$J:$J, "*" &amp; $B8 &amp; "&amp;0&amp;cPVVE&amp;Ex&amp;Chiller__PumpCtrl*"
    ),
    ""
)</f>
        <v>0.23069700000000001</v>
      </c>
      <c r="M8" s="2">
        <f>IFERROR(
    _xlfn.MINIFS(
        'Combined Runs'!$P:$P,
        'Combined Runs'!$K:$K, M$4,
        'Combined Runs'!$J:$J, "*" &amp; $B8 &amp; "&amp;0&amp;cPVVE&amp;Ex&amp;Chiller__PumpCtrl*"
    ),
    ""
)</f>
        <v>0.22750600000000001</v>
      </c>
      <c r="N8" s="2">
        <f>IFERROR(
    _xlfn.MINIFS(
        'Combined Runs'!$P:$P,
        'Combined Runs'!$K:$K, N$4,
        'Combined Runs'!$J:$J, "*" &amp; $B8 &amp; "&amp;0&amp;cPVVE&amp;Ex&amp;Chiller__PumpCtrl*"
    ),
    ""
)</f>
        <v>0.222464</v>
      </c>
      <c r="O8" s="2">
        <f>IFERROR(
    _xlfn.MINIFS(
        'Combined Runs'!$P:$P,
        'Combined Runs'!$K:$K, O$4,
        'Combined Runs'!$J:$J, "*" &amp; $B8 &amp; "&amp;0&amp;cPVVE&amp;Ex&amp;Chiller__PumpCtrl*"
    ),
    ""
)</f>
        <v>0.229875</v>
      </c>
      <c r="P8" s="2">
        <f>IFERROR(
    _xlfn.MINIFS(
        'Combined Runs'!$P:$P,
        'Combined Runs'!$K:$K, P$4,
        'Combined Runs'!$J:$J, "*" &amp; $B8 &amp; "&amp;0&amp;cPVVE&amp;Ex&amp;Chiller__PumpCtrl*"
    ),
    ""
)</f>
        <v>0.228766</v>
      </c>
      <c r="Q8" s="2">
        <f>IFERROR(
    _xlfn.MINIFS(
        'Combined Runs'!$P:$P,
        'Combined Runs'!$K:$K, Q$4,
        'Combined Runs'!$J:$J, "*" &amp; $B8 &amp; "&amp;0&amp;cPVVE&amp;Ex&amp;Chiller__PumpCtrl*"
    ),
    ""
)</f>
        <v>0.23611499999999999</v>
      </c>
      <c r="R8" s="4">
        <f>IFERROR(
    _xlfn.MINIFS(
        'Combined Runs'!$P:$P,
        'Combined Runs'!$K:$K, R$4,
        'Combined Runs'!$J:$J, "*" &amp; $B8 &amp; "&amp;0&amp;cPVVE&amp;Ex&amp;Chiller__PumpCtrl*"
    ),
    ""
)</f>
        <v>0.20724899999999999</v>
      </c>
      <c r="S8" s="2">
        <f>MIN(Table2[[#This Row],[CZ01]:[CZ16]])</f>
        <v>0.16796900000000001</v>
      </c>
      <c r="T8" s="2">
        <f>AVERAGE(Table2[[#This Row],[CZ01]:[CZ16]])</f>
        <v>0.21134368749999996</v>
      </c>
      <c r="U8" s="2">
        <f>MAX(Table2[[#This Row],[CZ01]:[CZ16]])</f>
        <v>0.23611499999999999</v>
      </c>
    </row>
    <row r="9" spans="1:23" x14ac:dyDescent="0.25">
      <c r="B9" s="3" t="s">
        <v>7</v>
      </c>
      <c r="C9" s="2">
        <f>IFERROR(
    _xlfn.MINIFS(
        'Combined Runs'!$P:$P,
        'Combined Runs'!$K:$K, C$4,
        'Combined Runs'!$J:$J, "*" &amp; $B9 &amp; "&amp;0&amp;cPVVE&amp;Ex&amp;Chiller__PumpCtrl*"
    ),
    ""
)</f>
        <v>2.1413000000000001E-2</v>
      </c>
      <c r="D9" s="2">
        <f>IFERROR(
    _xlfn.MINIFS(
        'Combined Runs'!$P:$P,
        'Combined Runs'!$K:$K, D$4,
        'Combined Runs'!$J:$J, "*" &amp; $B9 &amp; "&amp;0&amp;cPVVE&amp;Ex&amp;Chiller__PumpCtrl*"
    ),
    ""
)</f>
        <v>2.7234000000000001E-2</v>
      </c>
      <c r="E9" s="2">
        <f>IFERROR(
    _xlfn.MINIFS(
        'Combined Runs'!$P:$P,
        'Combined Runs'!$K:$K, E$4,
        'Combined Runs'!$J:$J, "*" &amp; $B9 &amp; "&amp;0&amp;cPVVE&amp;Ex&amp;Chiller__PumpCtrl*"
    ),
    ""
)</f>
        <v>2.5770999999999999E-2</v>
      </c>
      <c r="F9" s="2">
        <f>IFERROR(
    _xlfn.MINIFS(
        'Combined Runs'!$P:$P,
        'Combined Runs'!$K:$K, F$4,
        'Combined Runs'!$J:$J, "*" &amp; $B9 &amp; "&amp;0&amp;cPVVE&amp;Ex&amp;Chiller__PumpCtrl*"
    ),
    ""
)</f>
        <v>2.7591000000000001E-2</v>
      </c>
      <c r="G9" s="2">
        <f>IFERROR(
    _xlfn.MINIFS(
        'Combined Runs'!$P:$P,
        'Combined Runs'!$K:$K, G$4,
        'Combined Runs'!$J:$J, "*" &amp; $B9 &amp; "&amp;0&amp;cPVVE&amp;Ex&amp;Chiller__PumpCtrl*"
    ),
    ""
)</f>
        <v>2.4223999999999999E-2</v>
      </c>
      <c r="H9" s="2">
        <f>IFERROR(
    _xlfn.MINIFS(
        'Combined Runs'!$P:$P,
        'Combined Runs'!$K:$K, H$4,
        'Combined Runs'!$J:$J, "*" &amp; $B9 &amp; "&amp;0&amp;cPVVE&amp;Ex&amp;Chiller__PumpCtrl*"
    ),
    ""
)</f>
        <v>2.5253999999999999E-2</v>
      </c>
      <c r="I9" s="2">
        <f>IFERROR(
    _xlfn.MINIFS(
        'Combined Runs'!$P:$P,
        'Combined Runs'!$K:$K, I$4,
        'Combined Runs'!$J:$J, "*" &amp; $B9 &amp; "&amp;0&amp;cPVVE&amp;Ex&amp;Chiller__PumpCtrl*"
    ),
    ""
)</f>
        <v>2.5727E-2</v>
      </c>
      <c r="J9" s="2">
        <f>IFERROR(
    _xlfn.MINIFS(
        'Combined Runs'!$P:$P,
        'Combined Runs'!$K:$K, J$4,
        'Combined Runs'!$J:$J, "*" &amp; $B9 &amp; "&amp;0&amp;cPVVE&amp;Ex&amp;Chiller__PumpCtrl*"
    ),
    ""
)</f>
        <v>2.7682999999999999E-2</v>
      </c>
      <c r="K9" s="2">
        <f>IFERROR(
    _xlfn.MINIFS(
        'Combined Runs'!$P:$P,
        'Combined Runs'!$K:$K, K$4,
        'Combined Runs'!$J:$J, "*" &amp; $B9 &amp; "&amp;0&amp;cPVVE&amp;Ex&amp;Chiller__PumpCtrl*"
    ),
    ""
)</f>
        <v>2.7879999999999999E-2</v>
      </c>
      <c r="L9" s="2">
        <f>IFERROR(
    _xlfn.MINIFS(
        'Combined Runs'!$P:$P,
        'Combined Runs'!$K:$K, L$4,
        'Combined Runs'!$J:$J, "*" &amp; $B9 &amp; "&amp;0&amp;cPVVE&amp;Ex&amp;Chiller__PumpCtrl*"
    ),
    ""
)</f>
        <v>2.9388999999999998E-2</v>
      </c>
      <c r="M9" s="2">
        <f>IFERROR(
    _xlfn.MINIFS(
        'Combined Runs'!$P:$P,
        'Combined Runs'!$K:$K, M$4,
        'Combined Runs'!$J:$J, "*" &amp; $B9 &amp; "&amp;0&amp;cPVVE&amp;Ex&amp;Chiller__PumpCtrl*"
    ),
    ""
)</f>
        <v>3.0311000000000001E-2</v>
      </c>
      <c r="N9" s="2">
        <f>IFERROR(
    _xlfn.MINIFS(
        'Combined Runs'!$P:$P,
        'Combined Runs'!$K:$K, N$4,
        'Combined Runs'!$J:$J, "*" &amp; $B9 &amp; "&amp;0&amp;cPVVE&amp;Ex&amp;Chiller__PumpCtrl*"
    ),
    ""
)</f>
        <v>2.9225999999999999E-2</v>
      </c>
      <c r="O9" s="2">
        <f>IFERROR(
    _xlfn.MINIFS(
        'Combined Runs'!$P:$P,
        'Combined Runs'!$K:$K, O$4,
        'Combined Runs'!$J:$J, "*" &amp; $B9 &amp; "&amp;0&amp;cPVVE&amp;Ex&amp;Chiller__PumpCtrl*"
    ),
    ""
)</f>
        <v>3.0408000000000001E-2</v>
      </c>
      <c r="P9" s="2">
        <f>IFERROR(
    _xlfn.MINIFS(
        'Combined Runs'!$P:$P,
        'Combined Runs'!$K:$K, P$4,
        'Combined Runs'!$J:$J, "*" &amp; $B9 &amp; "&amp;0&amp;cPVVE&amp;Ex&amp;Chiller__PumpCtrl*"
    ),
    ""
)</f>
        <v>3.0594E-2</v>
      </c>
      <c r="Q9" s="2">
        <f>IFERROR(
    _xlfn.MINIFS(
        'Combined Runs'!$P:$P,
        'Combined Runs'!$K:$K, Q$4,
        'Combined Runs'!$J:$J, "*" &amp; $B9 &amp; "&amp;0&amp;cPVVE&amp;Ex&amp;Chiller__PumpCtrl*"
    ),
    ""
)</f>
        <v>3.1351999999999998E-2</v>
      </c>
      <c r="R9" s="4">
        <f>IFERROR(
    _xlfn.MINIFS(
        'Combined Runs'!$P:$P,
        'Combined Runs'!$K:$K, R$4,
        'Combined Runs'!$J:$J, "*" &amp; $B9 &amp; "&amp;0&amp;cPVVE&amp;Ex&amp;Chiller__PumpCtrl*"
    ),
    ""
)</f>
        <v>2.6835999999999999E-2</v>
      </c>
      <c r="S9" s="2">
        <f>MIN(Table2[[#This Row],[CZ01]:[CZ16]])</f>
        <v>2.1413000000000001E-2</v>
      </c>
      <c r="T9" s="2">
        <f>AVERAGE(Table2[[#This Row],[CZ01]:[CZ16]])</f>
        <v>2.7555812499999999E-2</v>
      </c>
      <c r="U9" s="2">
        <f>MAX(Table2[[#This Row],[CZ01]:[CZ16]])</f>
        <v>3.1351999999999998E-2</v>
      </c>
    </row>
    <row r="10" spans="1:23" x14ac:dyDescent="0.25">
      <c r="B10" s="3" t="s">
        <v>8</v>
      </c>
      <c r="C10" s="2">
        <f>IFERROR(
    _xlfn.MINIFS(
        'Combined Runs'!$P:$P,
        'Combined Runs'!$K:$K, C$4,
        'Combined Runs'!$J:$J, "*" &amp; $B10 &amp; "&amp;0&amp;cPVVE&amp;Ex&amp;Chiller__PumpCtrl*"
    ),
    ""
)</f>
        <v>0.13852</v>
      </c>
      <c r="D10" s="2">
        <f>IFERROR(
    _xlfn.MINIFS(
        'Combined Runs'!$P:$P,
        'Combined Runs'!$K:$K, D$4,
        'Combined Runs'!$J:$J, "*" &amp; $B10 &amp; "&amp;0&amp;cPVVE&amp;Ex&amp;Chiller__PumpCtrl*"
    ),
    ""
)</f>
        <v>0.17260600000000001</v>
      </c>
      <c r="E10" s="2">
        <f>IFERROR(
    _xlfn.MINIFS(
        'Combined Runs'!$P:$P,
        'Combined Runs'!$K:$K, E$4,
        'Combined Runs'!$J:$J, "*" &amp; $B10 &amp; "&amp;0&amp;cPVVE&amp;Ex&amp;Chiller__PumpCtrl*"
    ),
    ""
)</f>
        <v>0.163161</v>
      </c>
      <c r="F10" s="2">
        <f>IFERROR(
    _xlfn.MINIFS(
        'Combined Runs'!$P:$P,
        'Combined Runs'!$K:$K, F$4,
        'Combined Runs'!$J:$J, "*" &amp; $B10 &amp; "&amp;0&amp;cPVVE&amp;Ex&amp;Chiller__PumpCtrl*"
    ),
    ""
)</f>
        <v>0.17377799999999999</v>
      </c>
      <c r="G10" s="2">
        <f>IFERROR(
    _xlfn.MINIFS(
        'Combined Runs'!$P:$P,
        'Combined Runs'!$K:$K, G$4,
        'Combined Runs'!$J:$J, "*" &amp; $B10 &amp; "&amp;0&amp;cPVVE&amp;Ex&amp;Chiller__PumpCtrl*"
    ),
    ""
)</f>
        <v>0.15770700000000001</v>
      </c>
      <c r="H10" s="2">
        <f>IFERROR(
    _xlfn.MINIFS(
        'Combined Runs'!$P:$P,
        'Combined Runs'!$K:$K, H$4,
        'Combined Runs'!$J:$J, "*" &amp; $B10 &amp; "&amp;0&amp;cPVVE&amp;Ex&amp;Chiller__PumpCtrl*"
    ),
    ""
)</f>
        <v>0.15958</v>
      </c>
      <c r="I10" s="2">
        <f>IFERROR(
    _xlfn.MINIFS(
        'Combined Runs'!$P:$P,
        'Combined Runs'!$K:$K, I$4,
        'Combined Runs'!$J:$J, "*" &amp; $B10 &amp; "&amp;0&amp;cPVVE&amp;Ex&amp;Chiller__PumpCtrl*"
    ),
    ""
)</f>
        <v>0.16061</v>
      </c>
      <c r="J10" s="2">
        <f>IFERROR(
    _xlfn.MINIFS(
        'Combined Runs'!$P:$P,
        'Combined Runs'!$K:$K, J$4,
        'Combined Runs'!$J:$J, "*" &amp; $B10 &amp; "&amp;0&amp;cPVVE&amp;Ex&amp;Chiller__PumpCtrl*"
    ),
    ""
)</f>
        <v>0.172795</v>
      </c>
      <c r="K10" s="2">
        <f>IFERROR(
    _xlfn.MINIFS(
        'Combined Runs'!$P:$P,
        'Combined Runs'!$K:$K, K$4,
        'Combined Runs'!$J:$J, "*" &amp; $B10 &amp; "&amp;0&amp;cPVVE&amp;Ex&amp;Chiller__PumpCtrl*"
    ),
    ""
)</f>
        <v>0.176593</v>
      </c>
      <c r="L10" s="2">
        <f>IFERROR(
    _xlfn.MINIFS(
        'Combined Runs'!$P:$P,
        'Combined Runs'!$K:$K, L$4,
        'Combined Runs'!$J:$J, "*" &amp; $B10 &amp; "&amp;0&amp;cPVVE&amp;Ex&amp;Chiller__PumpCtrl*"
    ),
    ""
)</f>
        <v>0.17672499999999999</v>
      </c>
      <c r="M10" s="2">
        <f>IFERROR(
    _xlfn.MINIFS(
        'Combined Runs'!$P:$P,
        'Combined Runs'!$K:$K, M$4,
        'Combined Runs'!$J:$J, "*" &amp; $B10 &amp; "&amp;0&amp;cPVVE&amp;Ex&amp;Chiller__PumpCtrl*"
    ),
    ""
)</f>
        <v>0.186832</v>
      </c>
      <c r="N10" s="2">
        <f>IFERROR(
    _xlfn.MINIFS(
        'Combined Runs'!$P:$P,
        'Combined Runs'!$K:$K, N$4,
        'Combined Runs'!$J:$J, "*" &amp; $B10 &amp; "&amp;0&amp;cPVVE&amp;Ex&amp;Chiller__PumpCtrl*"
    ),
    ""
)</f>
        <v>0.18038599999999999</v>
      </c>
      <c r="O10" s="2">
        <f>IFERROR(
    _xlfn.MINIFS(
        'Combined Runs'!$P:$P,
        'Combined Runs'!$K:$K, O$4,
        'Combined Runs'!$J:$J, "*" &amp; $B10 &amp; "&amp;0&amp;cPVVE&amp;Ex&amp;Chiller__PumpCtrl*"
    ),
    ""
)</f>
        <v>0.184673</v>
      </c>
      <c r="P10" s="2">
        <f>IFERROR(
    _xlfn.MINIFS(
        'Combined Runs'!$P:$P,
        'Combined Runs'!$K:$K, P$4,
        'Combined Runs'!$J:$J, "*" &amp; $B10 &amp; "&amp;0&amp;cPVVE&amp;Ex&amp;Chiller__PumpCtrl*"
    ),
    ""
)</f>
        <v>0.187807</v>
      </c>
      <c r="Q10" s="2">
        <f>IFERROR(
    _xlfn.MINIFS(
        'Combined Runs'!$P:$P,
        'Combined Runs'!$K:$K, Q$4,
        'Combined Runs'!$J:$J, "*" &amp; $B10 &amp; "&amp;0&amp;cPVVE&amp;Ex&amp;Chiller__PumpCtrl*"
    ),
    ""
)</f>
        <v>0.18993199999999999</v>
      </c>
      <c r="R10" s="4">
        <f>IFERROR(
    _xlfn.MINIFS(
        'Combined Runs'!$P:$P,
        'Combined Runs'!$K:$K, R$4,
        'Combined Runs'!$J:$J, "*" &amp; $B10 &amp; "&amp;0&amp;cPVVE&amp;Ex&amp;Chiller__PumpCtrl*"
    ),
    ""
)</f>
        <v>0.17327000000000001</v>
      </c>
      <c r="S10" s="2">
        <f>MIN(Table2[[#This Row],[CZ01]:[CZ16]])</f>
        <v>0.13852</v>
      </c>
      <c r="T10" s="2">
        <f>AVERAGE(Table2[[#This Row],[CZ01]:[CZ16]])</f>
        <v>0.17218593749999997</v>
      </c>
      <c r="U10" s="2">
        <f>MAX(Table2[[#This Row],[CZ01]:[CZ16]])</f>
        <v>0.18993199999999999</v>
      </c>
    </row>
    <row r="11" spans="1:23" x14ac:dyDescent="0.25">
      <c r="B11" s="3" t="s">
        <v>9</v>
      </c>
      <c r="C11" s="2">
        <f>IFERROR(
    _xlfn.MINIFS(
        'Combined Runs'!$P:$P,
        'Combined Runs'!$K:$K, C$4,
        'Combined Runs'!$J:$J, "*" &amp; $B11 &amp; "&amp;0&amp;cPVVE&amp;Ex&amp;Chiller__PumpCtrl*"
    ),
    ""
)</f>
        <v>1.0408000000000001E-2</v>
      </c>
      <c r="D11" s="2">
        <f>IFERROR(
    _xlfn.MINIFS(
        'Combined Runs'!$P:$P,
        'Combined Runs'!$K:$K, D$4,
        'Combined Runs'!$J:$J, "*" &amp; $B11 &amp; "&amp;0&amp;cPVVE&amp;Ex&amp;Chiller__PumpCtrl*"
    ),
    ""
)</f>
        <v>1.2959999999999999E-2</v>
      </c>
      <c r="E11" s="2">
        <f>IFERROR(
    _xlfn.MINIFS(
        'Combined Runs'!$P:$P,
        'Combined Runs'!$K:$K, E$4,
        'Combined Runs'!$J:$J, "*" &amp; $B11 &amp; "&amp;0&amp;cPVVE&amp;Ex&amp;Chiller__PumpCtrl*"
    ),
    ""
)</f>
        <v>1.2449E-2</v>
      </c>
      <c r="F11" s="2">
        <f>IFERROR(
    _xlfn.MINIFS(
        'Combined Runs'!$P:$P,
        'Combined Runs'!$K:$K, F$4,
        'Combined Runs'!$J:$J, "*" &amp; $B11 &amp; "&amp;0&amp;cPVVE&amp;Ex&amp;Chiller__PumpCtrl*"
    ),
    ""
)</f>
        <v>1.3129E-2</v>
      </c>
      <c r="G11" s="2">
        <f>IFERROR(
    _xlfn.MINIFS(
        'Combined Runs'!$P:$P,
        'Combined Runs'!$K:$K, G$4,
        'Combined Runs'!$J:$J, "*" &amp; $B11 &amp; "&amp;0&amp;cPVVE&amp;Ex&amp;Chiller__PumpCtrl*"
    ),
    ""
)</f>
        <v>1.1868E-2</v>
      </c>
      <c r="H11" s="2">
        <f>IFERROR(
    _xlfn.MINIFS(
        'Combined Runs'!$P:$P,
        'Combined Runs'!$K:$K, H$4,
        'Combined Runs'!$J:$J, "*" &amp; $B11 &amp; "&amp;0&amp;cPVVE&amp;Ex&amp;Chiller__PumpCtrl*"
    ),
    ""
)</f>
        <v>1.2127000000000001E-2</v>
      </c>
      <c r="I11" s="2">
        <f>IFERROR(
    _xlfn.MINIFS(
        'Combined Runs'!$P:$P,
        'Combined Runs'!$K:$K, I$4,
        'Combined Runs'!$J:$J, "*" &amp; $B11 &amp; "&amp;0&amp;cPVVE&amp;Ex&amp;Chiller__PumpCtrl*"
    ),
    ""
)</f>
        <v>1.2135E-2</v>
      </c>
      <c r="J11" s="2">
        <f>IFERROR(
    _xlfn.MINIFS(
        'Combined Runs'!$P:$P,
        'Combined Runs'!$K:$K, J$4,
        'Combined Runs'!$J:$J, "*" &amp; $B11 &amp; "&amp;0&amp;cPVVE&amp;Ex&amp;Chiller__PumpCtrl*"
    ),
    ""
)</f>
        <v>1.3076000000000001E-2</v>
      </c>
      <c r="K11" s="2">
        <f>IFERROR(
    _xlfn.MINIFS(
        'Combined Runs'!$P:$P,
        'Combined Runs'!$K:$K, K$4,
        'Combined Runs'!$J:$J, "*" &amp; $B11 &amp; "&amp;0&amp;cPVVE&amp;Ex&amp;Chiller__PumpCtrl*"
    ),
    ""
)</f>
        <v>1.3679999999999999E-2</v>
      </c>
      <c r="L11" s="2">
        <f>IFERROR(
    _xlfn.MINIFS(
        'Combined Runs'!$P:$P,
        'Combined Runs'!$K:$K, L$4,
        'Combined Runs'!$J:$J, "*" &amp; $B11 &amp; "&amp;0&amp;cPVVE&amp;Ex&amp;Chiller__PumpCtrl*"
    ),
    ""
)</f>
        <v>1.2827E-2</v>
      </c>
      <c r="M11" s="2">
        <f>IFERROR(
    _xlfn.MINIFS(
        'Combined Runs'!$P:$P,
        'Combined Runs'!$K:$K, M$4,
        'Combined Runs'!$J:$J, "*" &amp; $B11 &amp; "&amp;0&amp;cPVVE&amp;Ex&amp;Chiller__PumpCtrl*"
    ),
    ""
)</f>
        <v>1.4156999999999999E-2</v>
      </c>
      <c r="N11" s="2">
        <f>IFERROR(
    _xlfn.MINIFS(
        'Combined Runs'!$P:$P,
        'Combined Runs'!$K:$K, N$4,
        'Combined Runs'!$J:$J, "*" &amp; $B11 &amp; "&amp;0&amp;cPVVE&amp;Ex&amp;Chiller__PumpCtrl*"
    ),
    ""
)</f>
        <v>1.3259999999999999E-2</v>
      </c>
      <c r="O11" s="2">
        <f>IFERROR(
    _xlfn.MINIFS(
        'Combined Runs'!$P:$P,
        'Combined Runs'!$K:$K, O$4,
        'Combined Runs'!$J:$J, "*" &amp; $B11 &amp; "&amp;0&amp;cPVVE&amp;Ex&amp;Chiller__PumpCtrl*"
    ),
    ""
)</f>
        <v>1.3761000000000001E-2</v>
      </c>
      <c r="P11" s="2">
        <f>IFERROR(
    _xlfn.MINIFS(
        'Combined Runs'!$P:$P,
        'Combined Runs'!$K:$K, P$4,
        'Combined Runs'!$J:$J, "*" &amp; $B11 &amp; "&amp;0&amp;cPVVE&amp;Ex&amp;Chiller__PumpCtrl*"
    ),
    ""
)</f>
        <v>1.4047E-2</v>
      </c>
      <c r="Q11" s="2">
        <f>IFERROR(
    _xlfn.MINIFS(
        'Combined Runs'!$P:$P,
        'Combined Runs'!$K:$K, Q$4,
        'Combined Runs'!$J:$J, "*" &amp; $B11 &amp; "&amp;0&amp;cPVVE&amp;Ex&amp;Chiller__PumpCtrl*"
    ),
    ""
)</f>
        <v>1.4126E-2</v>
      </c>
      <c r="R11" s="4">
        <f>IFERROR(
    _xlfn.MINIFS(
        'Combined Runs'!$P:$P,
        'Combined Runs'!$K:$K, R$4,
        'Combined Runs'!$J:$J, "*" &amp; $B11 &amp; "&amp;0&amp;cPVVE&amp;Ex&amp;Chiller__PumpCtrl*"
    ),
    ""
)</f>
        <v>1.2971999999999999E-2</v>
      </c>
      <c r="S11" s="2">
        <f>MIN(Table2[[#This Row],[CZ01]:[CZ16]])</f>
        <v>1.0408000000000001E-2</v>
      </c>
      <c r="T11" s="2">
        <f>AVERAGE(Table2[[#This Row],[CZ01]:[CZ16]])</f>
        <v>1.2936375000000002E-2</v>
      </c>
      <c r="U11" s="2">
        <f>MAX(Table2[[#This Row],[CZ01]:[CZ16]])</f>
        <v>1.4156999999999999E-2</v>
      </c>
    </row>
    <row r="12" spans="1:23" x14ac:dyDescent="0.25">
      <c r="B12" s="8" t="s">
        <v>10</v>
      </c>
      <c r="C12" s="9">
        <f>IFERROR(
    _xlfn.MINIFS(
        'Combined Runs'!$P:$P,
        'Combined Runs'!$K:$K, C$4,
        'Combined Runs'!$J:$J, "*" &amp; $B12 &amp; "&amp;0&amp;cPVVE&amp;Ex&amp;Chiller__PumpCtrl*"
    ),
    ""
)</f>
        <v>9.1895000000000004E-2</v>
      </c>
      <c r="D12" s="9">
        <f>IFERROR(
    _xlfn.MINIFS(
        'Combined Runs'!$P:$P,
        'Combined Runs'!$K:$K, D$4,
        'Combined Runs'!$J:$J, "*" &amp; $B12 &amp; "&amp;0&amp;cPVVE&amp;Ex&amp;Chiller__PumpCtrl*"
    ),
    ""
)</f>
        <v>0.122211</v>
      </c>
      <c r="E12" s="9">
        <f>IFERROR(
    _xlfn.MINIFS(
        'Combined Runs'!$P:$P,
        'Combined Runs'!$K:$K, E$4,
        'Combined Runs'!$J:$J, "*" &amp; $B12 &amp; "&amp;0&amp;cPVVE&amp;Ex&amp;Chiller__PumpCtrl*"
    ),
    ""
)</f>
        <v>0.115581</v>
      </c>
      <c r="F12" s="9">
        <f>IFERROR(
    _xlfn.MINIFS(
        'Combined Runs'!$P:$P,
        'Combined Runs'!$K:$K, F$4,
        'Combined Runs'!$J:$J, "*" &amp; $B12 &amp; "&amp;0&amp;cPVVE&amp;Ex&amp;Chiller__PumpCtrl*"
    ),
    ""
)</f>
        <v>0.12519</v>
      </c>
      <c r="G12" s="9">
        <f>IFERROR(
    _xlfn.MINIFS(
        'Combined Runs'!$P:$P,
        'Combined Runs'!$K:$K, G$4,
        'Combined Runs'!$J:$J, "*" &amp; $B12 &amp; "&amp;0&amp;cPVVE&amp;Ex&amp;Chiller__PumpCtrl*"
    ),
    ""
)</f>
        <v>0.10995099999999999</v>
      </c>
      <c r="H12" s="9">
        <f>IFERROR(
    _xlfn.MINIFS(
        'Combined Runs'!$P:$P,
        'Combined Runs'!$K:$K, H$4,
        'Combined Runs'!$J:$J, "*" &amp; $B12 &amp; "&amp;0&amp;cPVVE&amp;Ex&amp;Chiller__PumpCtrl*"
    ),
    ""
)</f>
        <v>0.117493</v>
      </c>
      <c r="I12" s="9">
        <f>IFERROR(
    _xlfn.MINIFS(
        'Combined Runs'!$P:$P,
        'Combined Runs'!$K:$K, I$4,
        'Combined Runs'!$J:$J, "*" &amp; $B12 &amp; "&amp;0&amp;cPVVE&amp;Ex&amp;Chiller__PumpCtrl*"
    ),
    ""
)</f>
        <v>0.122761</v>
      </c>
      <c r="J12" s="9">
        <f>IFERROR(
    _xlfn.MINIFS(
        'Combined Runs'!$P:$P,
        'Combined Runs'!$K:$K, J$4,
        'Combined Runs'!$J:$J, "*" &amp; $B12 &amp; "&amp;0&amp;cPVVE&amp;Ex&amp;Chiller__PumpCtrl*"
    ),
    ""
)</f>
        <v>0.12847700000000001</v>
      </c>
      <c r="K12" s="9">
        <f>IFERROR(
    _xlfn.MINIFS(
        'Combined Runs'!$P:$P,
        'Combined Runs'!$K:$K, K$4,
        'Combined Runs'!$J:$J, "*" &amp; $B12 &amp; "&amp;0&amp;cPVVE&amp;Ex&amp;Chiller__PumpCtrl*"
    ),
    ""
)</f>
        <v>0.134213</v>
      </c>
      <c r="L12" s="9">
        <f>IFERROR(
    _xlfn.MINIFS(
        'Combined Runs'!$P:$P,
        'Combined Runs'!$K:$K, L$4,
        'Combined Runs'!$J:$J, "*" &amp; $B12 &amp; "&amp;0&amp;cPVVE&amp;Ex&amp;Chiller__PumpCtrl*"
    ),
    ""
)</f>
        <v>0.14449500000000001</v>
      </c>
      <c r="M12" s="9">
        <f>IFERROR(
    _xlfn.MINIFS(
        'Combined Runs'!$P:$P,
        'Combined Runs'!$K:$K, M$4,
        'Combined Runs'!$J:$J, "*" &amp; $B12 &amp; "&amp;0&amp;cPVVE&amp;Ex&amp;Chiller__PumpCtrl*"
    ),
    ""
)</f>
        <v>0.13647100000000001</v>
      </c>
      <c r="N12" s="9">
        <f>IFERROR(
    _xlfn.MINIFS(
        'Combined Runs'!$P:$P,
        'Combined Runs'!$K:$K, N$4,
        'Combined Runs'!$J:$J, "*" &amp; $B12 &amp; "&amp;0&amp;cPVVE&amp;Ex&amp;Chiller__PumpCtrl*"
    ),
    ""
)</f>
        <v>0.13198399999999999</v>
      </c>
      <c r="O12" s="9">
        <f>IFERROR(
    _xlfn.MINIFS(
        'Combined Runs'!$P:$P,
        'Combined Runs'!$K:$K, O$4,
        'Combined Runs'!$J:$J, "*" &amp; $B12 &amp; "&amp;0&amp;cPVVE&amp;Ex&amp;Chiller__PumpCtrl*"
    ),
    ""
)</f>
        <v>0.13885</v>
      </c>
      <c r="P12" s="9">
        <f>IFERROR(
    _xlfn.MINIFS(
        'Combined Runs'!$P:$P,
        'Combined Runs'!$K:$K, P$4,
        'Combined Runs'!$J:$J, "*" &amp; $B12 &amp; "&amp;0&amp;cPVVE&amp;Ex&amp;Chiller__PumpCtrl*"
    ),
    ""
)</f>
        <v>0.13558000000000001</v>
      </c>
      <c r="Q12" s="9">
        <f>IFERROR(
    _xlfn.MINIFS(
        'Combined Runs'!$P:$P,
        'Combined Runs'!$K:$K, Q$4,
        'Combined Runs'!$J:$J, "*" &amp; $B12 &amp; "&amp;0&amp;cPVVE&amp;Ex&amp;Chiller__PumpCtrl*"
    ),
    ""
)</f>
        <v>0.142898</v>
      </c>
      <c r="R12" s="10">
        <f>IFERROR(
    _xlfn.MINIFS(
        'Combined Runs'!$P:$P,
        'Combined Runs'!$K:$K, R$4,
        'Combined Runs'!$J:$J, "*" &amp; $B12 &amp; "&amp;0&amp;cPVVE&amp;Ex&amp;Chiller__PumpCtrl*"
    ),
    ""
)</f>
        <v>0.11765399999999999</v>
      </c>
      <c r="S12" s="2">
        <f>MIN(Table2[[#This Row],[CZ01]:[CZ16]])</f>
        <v>9.1895000000000004E-2</v>
      </c>
      <c r="T12" s="2">
        <f>AVERAGE(Table2[[#This Row],[CZ01]:[CZ16]])</f>
        <v>0.1259815</v>
      </c>
      <c r="U12" s="2">
        <f>MAX(Table2[[#This Row],[CZ01]:[CZ16]])</f>
        <v>0.14449500000000001</v>
      </c>
    </row>
    <row r="13" spans="1:23" x14ac:dyDescent="0.25">
      <c r="B13" s="8" t="s">
        <v>639</v>
      </c>
      <c r="C13" s="9">
        <f>IFERROR(
    _xlfn.MINIFS(
        'Combined Runs'!$P:$P,
        'Combined Runs'!$K:$K, C$4,
        'Combined Runs'!$J:$J, "*" &amp; $B13 &amp; "&amp;0&amp;cPVVE&amp;Ex&amp;Chiller__PumpCtrl*"
    ),
    ""
)</f>
        <v>1.7149000000000001E-2</v>
      </c>
      <c r="D13" s="9">
        <f>IFERROR(
    _xlfn.MINIFS(
        'Combined Runs'!$P:$P,
        'Combined Runs'!$K:$K, D$4,
        'Combined Runs'!$J:$J, "*" &amp; $B13 &amp; "&amp;0&amp;cPVVE&amp;Ex&amp;Chiller__PumpCtrl*"
    ),
    ""
)</f>
        <v>2.2915000000000001E-2</v>
      </c>
      <c r="E13" s="9">
        <f>IFERROR(
    _xlfn.MINIFS(
        'Combined Runs'!$P:$P,
        'Combined Runs'!$K:$K, E$4,
        'Combined Runs'!$J:$J, "*" &amp; $B13 &amp; "&amp;0&amp;cPVVE&amp;Ex&amp;Chiller__PumpCtrl*"
    ),
    ""
)</f>
        <v>2.1573999999999999E-2</v>
      </c>
      <c r="F13" s="9">
        <f>IFERROR(
    _xlfn.MINIFS(
        'Combined Runs'!$P:$P,
        'Combined Runs'!$K:$K, F$4,
        'Combined Runs'!$J:$J, "*" &amp; $B13 &amp; "&amp;0&amp;cPVVE&amp;Ex&amp;Chiller__PumpCtrl*"
    ),
    ""
)</f>
        <v>2.3234999999999999E-2</v>
      </c>
      <c r="G13" s="9">
        <f>IFERROR(
    _xlfn.MINIFS(
        'Combined Runs'!$P:$P,
        'Combined Runs'!$K:$K, G$4,
        'Combined Runs'!$J:$J, "*" &amp; $B13 &amp; "&amp;0&amp;cPVVE&amp;Ex&amp;Chiller__PumpCtrl*"
    ),
    ""
)</f>
        <v>1.9890000000000001E-2</v>
      </c>
      <c r="H13" s="9">
        <f>IFERROR(
    _xlfn.MINIFS(
        'Combined Runs'!$P:$P,
        'Combined Runs'!$K:$K, H$4,
        'Combined Runs'!$J:$J, "*" &amp; $B13 &amp; "&amp;0&amp;cPVVE&amp;Ex&amp;Chiller__PumpCtrl*"
    ),
    ""
)</f>
        <v>2.0983000000000002E-2</v>
      </c>
      <c r="I13" s="9">
        <f>IFERROR(
    _xlfn.MINIFS(
        'Combined Runs'!$P:$P,
        'Combined Runs'!$K:$K, I$4,
        'Combined Runs'!$J:$J, "*" &amp; $B13 &amp; "&amp;0&amp;cPVVE&amp;Ex&amp;Chiller__PumpCtrl*"
    ),
    ""
)</f>
        <v>2.1398E-2</v>
      </c>
      <c r="J13" s="9">
        <f>IFERROR(
    _xlfn.MINIFS(
        'Combined Runs'!$P:$P,
        'Combined Runs'!$K:$K, J$4,
        'Combined Runs'!$J:$J, "*" &amp; $B13 &amp; "&amp;0&amp;cPVVE&amp;Ex&amp;Chiller__PumpCtrl*"
    ),
    ""
)</f>
        <v>2.3476E-2</v>
      </c>
      <c r="K13" s="9">
        <f>IFERROR(
    _xlfn.MINIFS(
        'Combined Runs'!$P:$P,
        'Combined Runs'!$K:$K, K$4,
        'Combined Runs'!$J:$J, "*" &amp; $B13 &amp; "&amp;0&amp;cPVVE&amp;Ex&amp;Chiller__PumpCtrl*"
    ),
    ""
)</f>
        <v>2.3525000000000001E-2</v>
      </c>
      <c r="L13" s="9">
        <f>IFERROR(
    _xlfn.MINIFS(
        'Combined Runs'!$P:$P,
        'Combined Runs'!$K:$K, L$4,
        'Combined Runs'!$J:$J, "*" &amp; $B13 &amp; "&amp;0&amp;cPVVE&amp;Ex&amp;Chiller__PumpCtrl*"
    ),
    ""
)</f>
        <v>2.5634000000000001E-2</v>
      </c>
      <c r="M13" s="9">
        <f>IFERROR(
    _xlfn.MINIFS(
        'Combined Runs'!$P:$P,
        'Combined Runs'!$K:$K, M$4,
        'Combined Runs'!$J:$J, "*" &amp; $B13 &amp; "&amp;0&amp;cPVVE&amp;Ex&amp;Chiller__PumpCtrl*"
    ),
    ""
)</f>
        <v>2.6544000000000002E-2</v>
      </c>
      <c r="N13" s="9">
        <f>IFERROR(
    _xlfn.MINIFS(
        'Combined Runs'!$P:$P,
        'Combined Runs'!$K:$K, N$4,
        'Combined Runs'!$J:$J, "*" &amp; $B13 &amp; "&amp;0&amp;cPVVE&amp;Ex&amp;Chiller__PumpCtrl*"
    ),
    ""
)</f>
        <v>2.5669000000000001E-2</v>
      </c>
      <c r="O13" s="9">
        <f>IFERROR(
    _xlfn.MINIFS(
        'Combined Runs'!$P:$P,
        'Combined Runs'!$K:$K, O$4,
        'Combined Runs'!$J:$J, "*" &amp; $B13 &amp; "&amp;0&amp;cPVVE&amp;Ex&amp;Chiller__PumpCtrl*"
    ),
    ""
)</f>
        <v>2.6879E-2</v>
      </c>
      <c r="P13" s="9">
        <f>IFERROR(
    _xlfn.MINIFS(
        'Combined Runs'!$P:$P,
        'Combined Runs'!$K:$K, P$4,
        'Combined Runs'!$J:$J, "*" &amp; $B13 &amp; "&amp;0&amp;cPVVE&amp;Ex&amp;Chiller__PumpCtrl*"
    ),
    ""
)</f>
        <v>2.6589999999999999E-2</v>
      </c>
      <c r="Q13" s="9">
        <f>IFERROR(
    _xlfn.MINIFS(
        'Combined Runs'!$P:$P,
        'Combined Runs'!$K:$K, Q$4,
        'Combined Runs'!$J:$J, "*" &amp; $B13 &amp; "&amp;0&amp;cPVVE&amp;Ex&amp;Chiller__PumpCtrl*"
    ),
    ""
)</f>
        <v>2.7525999999999998E-2</v>
      </c>
      <c r="R13" s="10">
        <f>IFERROR(
    _xlfn.MINIFS(
        'Combined Runs'!$P:$P,
        'Combined Runs'!$K:$K, R$4,
        'Combined Runs'!$J:$J, "*" &amp; $B13 &amp; "&amp;0&amp;cPVVE&amp;Ex&amp;Chiller__PumpCtrl*"
    ),
    ""
)</f>
        <v>2.3196000000000001E-2</v>
      </c>
      <c r="S13" s="9">
        <f>MIN(Table2[[#This Row],[CZ01]:[CZ16]])</f>
        <v>1.7149000000000001E-2</v>
      </c>
      <c r="T13" s="9">
        <f>AVERAGE(Table2[[#This Row],[CZ01]:[CZ16]])</f>
        <v>2.3511437499999999E-2</v>
      </c>
      <c r="U13" s="9">
        <f>MAX(Table2[[#This Row],[CZ01]:[CZ16]])</f>
        <v>2.7525999999999998E-2</v>
      </c>
    </row>
    <row r="16" spans="1:23" x14ac:dyDescent="0.25">
      <c r="B16" t="s">
        <v>641</v>
      </c>
      <c r="S16" s="23" t="s">
        <v>33</v>
      </c>
      <c r="T16" s="23"/>
      <c r="U16" s="23"/>
    </row>
    <row r="17" spans="2:21" x14ac:dyDescent="0.25">
      <c r="B17" s="5" t="s">
        <v>0</v>
      </c>
      <c r="C17" s="6" t="s">
        <v>11</v>
      </c>
      <c r="D17" s="6" t="s">
        <v>12</v>
      </c>
      <c r="E17" s="6" t="s">
        <v>13</v>
      </c>
      <c r="F17" s="6" t="s">
        <v>14</v>
      </c>
      <c r="G17" s="6" t="s">
        <v>15</v>
      </c>
      <c r="H17" s="6" t="s">
        <v>16</v>
      </c>
      <c r="I17" s="6" t="s">
        <v>17</v>
      </c>
      <c r="J17" s="6" t="s">
        <v>18</v>
      </c>
      <c r="K17" s="6" t="s">
        <v>19</v>
      </c>
      <c r="L17" s="6" t="s">
        <v>20</v>
      </c>
      <c r="M17" s="6" t="s">
        <v>21</v>
      </c>
      <c r="N17" s="6" t="s">
        <v>22</v>
      </c>
      <c r="O17" s="6" t="s">
        <v>23</v>
      </c>
      <c r="P17" s="6" t="s">
        <v>24</v>
      </c>
      <c r="Q17" s="6" t="s">
        <v>25</v>
      </c>
      <c r="R17" s="7" t="s">
        <v>26</v>
      </c>
      <c r="S17" s="6" t="s">
        <v>642</v>
      </c>
      <c r="T17" s="6" t="s">
        <v>644</v>
      </c>
      <c r="U17" s="6" t="s">
        <v>645</v>
      </c>
    </row>
    <row r="18" spans="2:21" x14ac:dyDescent="0.25">
      <c r="B18" s="3" t="s">
        <v>3</v>
      </c>
      <c r="C18" s="2">
        <f>IFERROR(
    _xlfn.MINIFS(
        'Combined Runs'!$P:$P,
        'Combined Runs'!$K:$K, C$17,
        'Combined Runs'!$J:$J, "*" &amp; $B18 &amp; "&amp;0&amp;cPVVE&amp;New&amp;Chiller__PumpCtrl*"
    ),
    ""
)</f>
        <v>0.10838</v>
      </c>
      <c r="D18" s="2">
        <f>IFERROR(
    _xlfn.MINIFS(
        'Combined Runs'!$P:$P,
        'Combined Runs'!$K:$K, D$17,
        'Combined Runs'!$J:$J, "*" &amp; $B18 &amp; "&amp;0&amp;cPVVE&amp;New&amp;Chiller__PumpCtrl*"
    ),
    ""
)</f>
        <v>0.15099399999999999</v>
      </c>
      <c r="E18" s="2">
        <f>IFERROR(
    _xlfn.MINIFS(
        'Combined Runs'!$P:$P,
        'Combined Runs'!$K:$K, E$17,
        'Combined Runs'!$J:$J, "*" &amp; $B18 &amp; "&amp;0&amp;cPVVE&amp;New&amp;Chiller__PumpCtrl*"
    ),
    ""
)</f>
        <v>0.14011100000000001</v>
      </c>
      <c r="F18" s="2">
        <f>IFERROR(
    _xlfn.MINIFS(
        'Combined Runs'!$P:$P,
        'Combined Runs'!$K:$K, F$17,
        'Combined Runs'!$J:$J, "*" &amp; $B18 &amp; "&amp;0&amp;cPVVE&amp;New&amp;Chiller__PumpCtrl*"
    ),
    ""
)</f>
        <v>0.153114</v>
      </c>
      <c r="G18" s="2">
        <f>IFERROR(
    _xlfn.MINIFS(
        'Combined Runs'!$P:$P,
        'Combined Runs'!$K:$K, G$17,
        'Combined Runs'!$J:$J, "*" &amp; $B18 &amp; "&amp;0&amp;cPVVE&amp;New&amp;Chiller__PumpCtrl*"
    ),
    ""
)</f>
        <v>0.13086300000000001</v>
      </c>
      <c r="H18" s="2">
        <f>IFERROR(
    _xlfn.MINIFS(
        'Combined Runs'!$P:$P,
        'Combined Runs'!$K:$K, H$17,
        'Combined Runs'!$J:$J, "*" &amp; $B18 &amp; "&amp;0&amp;cPVVE&amp;New&amp;Chiller__PumpCtrl*"
    ),
    ""
)</f>
        <v>0.13883499999999999</v>
      </c>
      <c r="I18" s="2">
        <f>IFERROR(
    _xlfn.MINIFS(
        'Combined Runs'!$P:$P,
        'Combined Runs'!$K:$K, I$17,
        'Combined Runs'!$J:$J, "*" &amp; $B18 &amp; "&amp;0&amp;cPVVE&amp;New&amp;Chiller__PumpCtrl*"
    ),
    ""
)</f>
        <v>0.14277899999999999</v>
      </c>
      <c r="J18" s="2">
        <f>IFERROR(
    _xlfn.MINIFS(
        'Combined Runs'!$P:$P,
        'Combined Runs'!$K:$K, J$17,
        'Combined Runs'!$J:$J, "*" &amp; $B18 &amp; "&amp;0&amp;cPVVE&amp;New&amp;Chiller__PumpCtrl*"
    ),
    ""
)</f>
        <v>0.155472</v>
      </c>
      <c r="K18" s="2">
        <f>IFERROR(
    _xlfn.MINIFS(
        'Combined Runs'!$P:$P,
        'Combined Runs'!$K:$K, K$17,
        'Combined Runs'!$J:$J, "*" &amp; $B18 &amp; "&amp;0&amp;cPVVE&amp;New&amp;Chiller__PumpCtrl*"
    ),
    ""
)</f>
        <v>0.15692800000000001</v>
      </c>
      <c r="L18" s="2">
        <f>IFERROR(
    _xlfn.MINIFS(
        'Combined Runs'!$P:$P,
        'Combined Runs'!$K:$K, L$17,
        'Combined Runs'!$J:$J, "*" &amp; $B18 &amp; "&amp;0&amp;cPVVE&amp;New&amp;Chiller__PumpCtrl*"
    ),
    ""
)</f>
        <v>0.172093</v>
      </c>
      <c r="M18" s="2">
        <f>IFERROR(
    _xlfn.MINIFS(
        'Combined Runs'!$P:$P,
        'Combined Runs'!$K:$K, M$17,
        'Combined Runs'!$J:$J, "*" &amp; $B18 &amp; "&amp;0&amp;cPVVE&amp;New&amp;Chiller__PumpCtrl*"
    ),
    ""
)</f>
        <v>0.15734300000000001</v>
      </c>
      <c r="N18" s="2">
        <f>IFERROR(
    _xlfn.MINIFS(
        'Combined Runs'!$P:$P,
        'Combined Runs'!$K:$K, N$17,
        'Combined Runs'!$J:$J, "*" &amp; $B18 &amp; "&amp;0&amp;cPVVE&amp;New&amp;Chiller__PumpCtrl*"
    ),
    ""
)</f>
        <v>0.15750800000000001</v>
      </c>
      <c r="O18" s="2">
        <f>IFERROR(
    _xlfn.MINIFS(
        'Combined Runs'!$P:$P,
        'Combined Runs'!$K:$K, O$17,
        'Combined Runs'!$J:$J, "*" &amp; $B18 &amp; "&amp;0&amp;cPVVE&amp;New&amp;Chiller__PumpCtrl*"
    ),
    ""
)</f>
        <v>0.16219800000000001</v>
      </c>
      <c r="P18" s="2">
        <f>IFERROR(
    _xlfn.MINIFS(
        'Combined Runs'!$P:$P,
        'Combined Runs'!$K:$K, P$17,
        'Combined Runs'!$J:$J, "*" &amp; $B18 &amp; "&amp;0&amp;cPVVE&amp;New&amp;Chiller__PumpCtrl*"
    ),
    ""
)</f>
        <v>0.16201199999999999</v>
      </c>
      <c r="Q18" s="2">
        <f>IFERROR(
    _xlfn.MINIFS(
        'Combined Runs'!$P:$P,
        'Combined Runs'!$K:$K, Q$17,
        'Combined Runs'!$J:$J, "*" &amp; $B18 &amp; "&amp;0&amp;cPVVE&amp;New&amp;Chiller__PumpCtrl*"
    ),
    ""
)</f>
        <v>0.169102</v>
      </c>
      <c r="R18" s="2">
        <f>IFERROR(
    _xlfn.MINIFS(
        'Combined Runs'!$P:$P,
        'Combined Runs'!$K:$K, R$17,
        'Combined Runs'!$J:$J, "*" &amp; $B18 &amp; "&amp;0&amp;cPVVE&amp;New&amp;Chiller__PumpCtrl*"
    ),
    ""
)</f>
        <v>0.14082600000000001</v>
      </c>
      <c r="S18" s="6">
        <f>MIN(Table24[[#This Row],[CZ01]:[CZ16]])</f>
        <v>0.10838</v>
      </c>
      <c r="T18" s="6">
        <f>AVERAGE(Table24[[#This Row],[CZ01]:[CZ16]])</f>
        <v>0.14990987500000003</v>
      </c>
      <c r="U18" s="6">
        <f>MAX(Table24[[#This Row],[CZ01]:[CZ16]])</f>
        <v>0.172093</v>
      </c>
    </row>
    <row r="19" spans="2:21" x14ac:dyDescent="0.25">
      <c r="B19" s="3" t="s">
        <v>4</v>
      </c>
      <c r="C19" s="2">
        <f>IFERROR(
    _xlfn.MINIFS(
        'Combined Runs'!$P:$P,
        'Combined Runs'!$K:$K, C$17,
        'Combined Runs'!$J:$J, "*" &amp; $B19 &amp; "&amp;0&amp;cPVVE&amp;New&amp;Chiller__PumpCtrl*"
    ),
    ""
)</f>
        <v>1.6483999999999999E-2</v>
      </c>
      <c r="D19" s="2">
        <f>IFERROR(
    _xlfn.MINIFS(
        'Combined Runs'!$P:$P,
        'Combined Runs'!$K:$K, D$17,
        'Combined Runs'!$J:$J, "*" &amp; $B19 &amp; "&amp;0&amp;cPVVE&amp;New&amp;Chiller__PumpCtrl*"
    ),
    ""
)</f>
        <v>2.3709999999999998E-2</v>
      </c>
      <c r="E19" s="2">
        <f>IFERROR(
    _xlfn.MINIFS(
        'Combined Runs'!$P:$P,
        'Combined Runs'!$K:$K, E$17,
        'Combined Runs'!$J:$J, "*" &amp; $B19 &amp; "&amp;0&amp;cPVVE&amp;New&amp;Chiller__PumpCtrl*"
    ),
    ""
)</f>
        <v>2.2182E-2</v>
      </c>
      <c r="F19" s="2">
        <f>IFERROR(
    _xlfn.MINIFS(
        'Combined Runs'!$P:$P,
        'Combined Runs'!$K:$K, F$17,
        'Combined Runs'!$J:$J, "*" &amp; $B19 &amp; "&amp;0&amp;cPVVE&amp;New&amp;Chiller__PumpCtrl*"
    ),
    ""
)</f>
        <v>2.4118000000000001E-2</v>
      </c>
      <c r="G19" s="2">
        <f>IFERROR(
    _xlfn.MINIFS(
        'Combined Runs'!$P:$P,
        'Combined Runs'!$K:$K, G$17,
        'Combined Runs'!$J:$J, "*" &amp; $B19 &amp; "&amp;0&amp;cPVVE&amp;New&amp;Chiller__PumpCtrl*"
    ),
    ""
)</f>
        <v>2.0516E-2</v>
      </c>
      <c r="H19" s="2">
        <f>IFERROR(
    _xlfn.MINIFS(
        'Combined Runs'!$P:$P,
        'Combined Runs'!$K:$K, H$17,
        'Combined Runs'!$J:$J, "*" &amp; $B19 &amp; "&amp;0&amp;cPVVE&amp;New&amp;Chiller__PumpCtrl*"
    ),
    ""
)</f>
        <v>2.2175E-2</v>
      </c>
      <c r="I19" s="2">
        <f>IFERROR(
    _xlfn.MINIFS(
        'Combined Runs'!$P:$P,
        'Combined Runs'!$K:$K, I$17,
        'Combined Runs'!$J:$J, "*" &amp; $B19 &amp; "&amp;0&amp;cPVVE&amp;New&amp;Chiller__PumpCtrl*"
    ),
    ""
)</f>
        <v>2.2814999999999998E-2</v>
      </c>
      <c r="J19" s="2">
        <f>IFERROR(
    _xlfn.MINIFS(
        'Combined Runs'!$P:$P,
        'Combined Runs'!$K:$K, J$17,
        'Combined Runs'!$J:$J, "*" &amp; $B19 &amp; "&amp;0&amp;cPVVE&amp;New&amp;Chiller__PumpCtrl*"
    ),
    ""
)</f>
        <v>2.4767999999999998E-2</v>
      </c>
      <c r="K19" s="2">
        <f>IFERROR(
    _xlfn.MINIFS(
        'Combined Runs'!$P:$P,
        'Combined Runs'!$K:$K, K$17,
        'Combined Runs'!$J:$J, "*" &amp; $B19 &amp; "&amp;0&amp;cPVVE&amp;New&amp;Chiller__PumpCtrl*"
    ),
    ""
)</f>
        <v>2.4957E-2</v>
      </c>
      <c r="L19" s="2">
        <f>IFERROR(
    _xlfn.MINIFS(
        'Combined Runs'!$P:$P,
        'Combined Runs'!$K:$K, L$17,
        'Combined Runs'!$J:$J, "*" &amp; $B19 &amp; "&amp;0&amp;cPVVE&amp;New&amp;Chiller__PumpCtrl*"
    ),
    ""
)</f>
        <v>2.6980000000000001E-2</v>
      </c>
      <c r="M19" s="2">
        <f>IFERROR(
    _xlfn.MINIFS(
        'Combined Runs'!$P:$P,
        'Combined Runs'!$K:$K, M$17,
        'Combined Runs'!$J:$J, "*" &amp; $B19 &amp; "&amp;0&amp;cPVVE&amp;New&amp;Chiller__PumpCtrl*"
    ),
    ""
)</f>
        <v>2.3272000000000001E-2</v>
      </c>
      <c r="N19" s="2">
        <f>IFERROR(
    _xlfn.MINIFS(
        'Combined Runs'!$P:$P,
        'Combined Runs'!$K:$K, N$17,
        'Combined Runs'!$J:$J, "*" &amp; $B19 &amp; "&amp;0&amp;cPVVE&amp;New&amp;Chiller__PumpCtrl*"
    ),
    ""
)</f>
        <v>2.3081999999999998E-2</v>
      </c>
      <c r="O19" s="2">
        <f>IFERROR(
    _xlfn.MINIFS(
        'Combined Runs'!$P:$P,
        'Combined Runs'!$K:$K, O$17,
        'Combined Runs'!$J:$J, "*" &amp; $B19 &amp; "&amp;0&amp;cPVVE&amp;New&amp;Chiller__PumpCtrl*"
    ),
    ""
)</f>
        <v>2.4129000000000001E-2</v>
      </c>
      <c r="P19" s="2">
        <f>IFERROR(
    _xlfn.MINIFS(
        'Combined Runs'!$P:$P,
        'Combined Runs'!$K:$K, P$17,
        'Combined Runs'!$J:$J, "*" &amp; $B19 &amp; "&amp;0&amp;cPVVE&amp;New&amp;Chiller__PumpCtrl*"
    ),
    ""
)</f>
        <v>2.4184000000000001E-2</v>
      </c>
      <c r="Q19" s="2">
        <f>IFERROR(
    _xlfn.MINIFS(
        'Combined Runs'!$P:$P,
        'Combined Runs'!$K:$K, Q$17,
        'Combined Runs'!$J:$J, "*" &amp; $B19 &amp; "&amp;0&amp;cPVVE&amp;New&amp;Chiller__PumpCtrl*"
    ),
    ""
)</f>
        <v>2.5433999999999998E-2</v>
      </c>
      <c r="R19" s="4">
        <f>IFERROR(
    _xlfn.MINIFS(
        'Combined Runs'!$P:$P,
        'Combined Runs'!$K:$K, R$17,
        'Combined Runs'!$J:$J, "*" &amp; $B19 &amp; "&amp;0&amp;cPVVE&amp;New&amp;Chiller__PumpCtrl*"
    ),
    ""
)</f>
        <v>2.0577000000000002E-2</v>
      </c>
      <c r="S19" s="2">
        <f>MIN(Table24[[#This Row],[CZ01]:[CZ16]])</f>
        <v>1.6483999999999999E-2</v>
      </c>
      <c r="T19" s="2">
        <f>AVERAGE(Table24[[#This Row],[CZ01]:[CZ16]])</f>
        <v>2.3086437500000001E-2</v>
      </c>
      <c r="U19" s="2">
        <f>MAX(Table24[[#This Row],[CZ01]:[CZ16]])</f>
        <v>2.6980000000000001E-2</v>
      </c>
    </row>
    <row r="20" spans="2:21" x14ac:dyDescent="0.25">
      <c r="B20" s="3" t="s">
        <v>5</v>
      </c>
      <c r="C20" s="2">
        <f>IFERROR(
    _xlfn.MINIFS(
        'Combined Runs'!$P:$P,
        'Combined Runs'!$K:$K, C$17,
        'Combined Runs'!$J:$J, "*" &amp; $B20 &amp; "&amp;0&amp;cPVVE&amp;New&amp;Chiller__PumpCtrl*"
    ),
    ""
)</f>
        <v>0.25468600000000002</v>
      </c>
      <c r="D20" s="2">
        <f>IFERROR(
    _xlfn.MINIFS(
        'Combined Runs'!$P:$P,
        'Combined Runs'!$K:$K, D$17,
        'Combined Runs'!$J:$J, "*" &amp; $B20 &amp; "&amp;0&amp;cPVVE&amp;New&amp;Chiller__PumpCtrl*"
    ),
    ""
)</f>
        <v>0.30602800000000002</v>
      </c>
      <c r="E20" s="2">
        <f>IFERROR(
    _xlfn.MINIFS(
        'Combined Runs'!$P:$P,
        'Combined Runs'!$K:$K, E$17,
        'Combined Runs'!$J:$J, "*" &amp; $B20 &amp; "&amp;0&amp;cPVVE&amp;New&amp;Chiller__PumpCtrl*"
    ),
    ""
)</f>
        <v>0.29651699999999998</v>
      </c>
      <c r="F20" s="2">
        <f>IFERROR(
    _xlfn.MINIFS(
        'Combined Runs'!$P:$P,
        'Combined Runs'!$K:$K, F$17,
        'Combined Runs'!$J:$J, "*" &amp; $B20 &amp; "&amp;0&amp;cPVVE&amp;New&amp;Chiller__PumpCtrl*"
    ),
    ""
)</f>
        <v>0.30935099999999999</v>
      </c>
      <c r="G20" s="2">
        <f>IFERROR(
    _xlfn.MINIFS(
        'Combined Runs'!$P:$P,
        'Combined Runs'!$K:$K, G$17,
        'Combined Runs'!$J:$J, "*" &amp; $B20 &amp; "&amp;0&amp;cPVVE&amp;New&amp;Chiller__PumpCtrl*"
    ),
    ""
)</f>
        <v>0.27540300000000001</v>
      </c>
      <c r="H20" s="2">
        <f>IFERROR(
    _xlfn.MINIFS(
        'Combined Runs'!$P:$P,
        'Combined Runs'!$K:$K, H$17,
        'Combined Runs'!$J:$J, "*" &amp; $B20 &amp; "&amp;0&amp;cPVVE&amp;New&amp;Chiller__PumpCtrl*"
    ),
    ""
)</f>
        <v>0.28924</v>
      </c>
      <c r="I20" s="2">
        <f>IFERROR(
    _xlfn.MINIFS(
        'Combined Runs'!$P:$P,
        'Combined Runs'!$K:$K, I$17,
        'Combined Runs'!$J:$J, "*" &amp; $B20 &amp; "&amp;0&amp;cPVVE&amp;New&amp;Chiller__PumpCtrl*"
    ),
    ""
)</f>
        <v>0.29891899999999999</v>
      </c>
      <c r="J20" s="2">
        <f>IFERROR(
    _xlfn.MINIFS(
        'Combined Runs'!$P:$P,
        'Combined Runs'!$K:$K, J$17,
        'Combined Runs'!$J:$J, "*" &amp; $B20 &amp; "&amp;0&amp;cPVVE&amp;New&amp;Chiller__PumpCtrl*"
    ),
    ""
)</f>
        <v>0.31231700000000001</v>
      </c>
      <c r="K20" s="2">
        <f>IFERROR(
    _xlfn.MINIFS(
        'Combined Runs'!$P:$P,
        'Combined Runs'!$K:$K, K$17,
        'Combined Runs'!$J:$J, "*" &amp; $B20 &amp; "&amp;0&amp;cPVVE&amp;New&amp;Chiller__PumpCtrl*"
    ),
    ""
)</f>
        <v>0.30777100000000002</v>
      </c>
      <c r="L20" s="2">
        <f>IFERROR(
    _xlfn.MINIFS(
        'Combined Runs'!$P:$P,
        'Combined Runs'!$K:$K, L$17,
        'Combined Runs'!$J:$J, "*" &amp; $B20 &amp; "&amp;0&amp;cPVVE&amp;New&amp;Chiller__PumpCtrl*"
    ),
    ""
)</f>
        <v>0.33773199999999998</v>
      </c>
      <c r="M20" s="2">
        <f>IFERROR(
    _xlfn.MINIFS(
        'Combined Runs'!$P:$P,
        'Combined Runs'!$K:$K, M$17,
        'Combined Runs'!$J:$J, "*" &amp; $B20 &amp; "&amp;0&amp;cPVVE&amp;New&amp;Chiller__PumpCtrl*"
    ),
    ""
)</f>
        <v>0.33138200000000001</v>
      </c>
      <c r="N20" s="2">
        <f>IFERROR(
    _xlfn.MINIFS(
        'Combined Runs'!$P:$P,
        'Combined Runs'!$K:$K, N$17,
        'Combined Runs'!$J:$J, "*" &amp; $B20 &amp; "&amp;0&amp;cPVVE&amp;New&amp;Chiller__PumpCtrl*"
    ),
    ""
)</f>
        <v>0.32487300000000002</v>
      </c>
      <c r="O20" s="2">
        <f>IFERROR(
    _xlfn.MINIFS(
        'Combined Runs'!$P:$P,
        'Combined Runs'!$K:$K, O$17,
        'Combined Runs'!$J:$J, "*" &amp; $B20 &amp; "&amp;0&amp;cPVVE&amp;New&amp;Chiller__PumpCtrl*"
    ),
    ""
)</f>
        <v>0.33861400000000003</v>
      </c>
      <c r="P20" s="2">
        <f>IFERROR(
    _xlfn.MINIFS(
        'Combined Runs'!$P:$P,
        'Combined Runs'!$K:$K, P$17,
        'Combined Runs'!$J:$J, "*" &amp; $B20 &amp; "&amp;0&amp;cPVVE&amp;New&amp;Chiller__PumpCtrl*"
    ),
    ""
)</f>
        <v>0.33972999999999998</v>
      </c>
      <c r="Q20" s="2">
        <f>IFERROR(
    _xlfn.MINIFS(
        'Combined Runs'!$P:$P,
        'Combined Runs'!$K:$K, Q$17,
        'Combined Runs'!$J:$J, "*" &amp; $B20 &amp; "&amp;0&amp;cPVVE&amp;New&amp;Chiller__PumpCtrl*"
    ),
    ""
)</f>
        <v>0.35252899999999998</v>
      </c>
      <c r="R20" s="4">
        <f>IFERROR(
    _xlfn.MINIFS(
        'Combined Runs'!$P:$P,
        'Combined Runs'!$K:$K, R$17,
        'Combined Runs'!$J:$J, "*" &amp; $B20 &amp; "&amp;0&amp;cPVVE&amp;New&amp;Chiller__PumpCtrl*"
    ),
    ""
)</f>
        <v>0.29847800000000002</v>
      </c>
      <c r="S20" s="2">
        <f>MIN(Table24[[#This Row],[CZ01]:[CZ16]])</f>
        <v>0.25468600000000002</v>
      </c>
      <c r="T20" s="2">
        <f>AVERAGE(Table24[[#This Row],[CZ01]:[CZ16]])</f>
        <v>0.31084812500000003</v>
      </c>
      <c r="U20" s="2">
        <f>MAX(Table24[[#This Row],[CZ01]:[CZ16]])</f>
        <v>0.35252899999999998</v>
      </c>
    </row>
    <row r="21" spans="2:21" x14ac:dyDescent="0.25">
      <c r="B21" s="3" t="s">
        <v>6</v>
      </c>
      <c r="C21" s="2">
        <f>IFERROR(
    _xlfn.MINIFS(
        'Combined Runs'!$P:$P,
        'Combined Runs'!$K:$K, C$17,
        'Combined Runs'!$J:$J, "*" &amp; $B21 &amp; "&amp;0&amp;cPVVE&amp;New&amp;Chiller__PumpCtrl*"
    ),
    ""
)</f>
        <v>0.14296600000000001</v>
      </c>
      <c r="D21" s="2">
        <f>IFERROR(
    _xlfn.MINIFS(
        'Combined Runs'!$P:$P,
        'Combined Runs'!$K:$K, D$17,
        'Combined Runs'!$J:$J, "*" &amp; $B21 &amp; "&amp;0&amp;cPVVE&amp;New&amp;Chiller__PumpCtrl*"
    ),
    ""
)</f>
        <v>0.192381</v>
      </c>
      <c r="E21" s="2">
        <f>IFERROR(
    _xlfn.MINIFS(
        'Combined Runs'!$P:$P,
        'Combined Runs'!$K:$K, E$17,
        'Combined Runs'!$J:$J, "*" &amp; $B21 &amp; "&amp;0&amp;cPVVE&amp;New&amp;Chiller__PumpCtrl*"
    ),
    ""
)</f>
        <v>0.18088699999999999</v>
      </c>
      <c r="F21" s="2">
        <f>IFERROR(
    _xlfn.MINIFS(
        'Combined Runs'!$P:$P,
        'Combined Runs'!$K:$K, F$17,
        'Combined Runs'!$J:$J, "*" &amp; $B21 &amp; "&amp;0&amp;cPVVE&amp;New&amp;Chiller__PumpCtrl*"
    ),
    ""
)</f>
        <v>0.19470199999999999</v>
      </c>
      <c r="G21" s="2">
        <f>IFERROR(
    _xlfn.MINIFS(
        'Combined Runs'!$P:$P,
        'Combined Runs'!$K:$K, G$17,
        'Combined Runs'!$J:$J, "*" &amp; $B21 &amp; "&amp;0&amp;cPVVE&amp;New&amp;Chiller__PumpCtrl*"
    ),
    ""
)</f>
        <v>0.173009</v>
      </c>
      <c r="H21" s="2">
        <f>IFERROR(
    _xlfn.MINIFS(
        'Combined Runs'!$P:$P,
        'Combined Runs'!$K:$K, H$17,
        'Combined Runs'!$J:$J, "*" &amp; $B21 &amp; "&amp;0&amp;cPVVE&amp;New&amp;Chiller__PumpCtrl*"
    ),
    ""
)</f>
        <v>0.181613</v>
      </c>
      <c r="I21" s="2">
        <f>IFERROR(
    _xlfn.MINIFS(
        'Combined Runs'!$P:$P,
        'Combined Runs'!$K:$K, I$17,
        'Combined Runs'!$J:$J, "*" &amp; $B21 &amp; "&amp;0&amp;cPVVE&amp;New&amp;Chiller__PumpCtrl*"
    ),
    ""
)</f>
        <v>0.18485299999999999</v>
      </c>
      <c r="J21" s="2">
        <f>IFERROR(
    _xlfn.MINIFS(
        'Combined Runs'!$P:$P,
        'Combined Runs'!$K:$K, J$17,
        'Combined Runs'!$J:$J, "*" &amp; $B21 &amp; "&amp;0&amp;cPVVE&amp;New&amp;Chiller__PumpCtrl*"
    ),
    ""
)</f>
        <v>0.198022</v>
      </c>
      <c r="K21" s="2">
        <f>IFERROR(
    _xlfn.MINIFS(
        'Combined Runs'!$P:$P,
        'Combined Runs'!$K:$K, K$17,
        'Combined Runs'!$J:$J, "*" &amp; $B21 &amp; "&amp;0&amp;cPVVE&amp;New&amp;Chiller__PumpCtrl*"
    ),
    ""
)</f>
        <v>0.20270299999999999</v>
      </c>
      <c r="L21" s="2">
        <f>IFERROR(
    _xlfn.MINIFS(
        'Combined Runs'!$P:$P,
        'Combined Runs'!$K:$K, L$17,
        'Combined Runs'!$J:$J, "*" &amp; $B21 &amp; "&amp;0&amp;cPVVE&amp;New&amp;Chiller__PumpCtrl*"
    ),
    ""
)</f>
        <v>0.21410699999999999</v>
      </c>
      <c r="M21" s="2">
        <f>IFERROR(
    _xlfn.MINIFS(
        'Combined Runs'!$P:$P,
        'Combined Runs'!$K:$K, M$17,
        'Combined Runs'!$J:$J, "*" &amp; $B21 &amp; "&amp;0&amp;cPVVE&amp;New&amp;Chiller__PumpCtrl*"
    ),
    ""
)</f>
        <v>0.186168</v>
      </c>
      <c r="N21" s="2">
        <f>IFERROR(
    _xlfn.MINIFS(
        'Combined Runs'!$P:$P,
        'Combined Runs'!$K:$K, N$17,
        'Combined Runs'!$J:$J, "*" &amp; $B21 &amp; "&amp;0&amp;cPVVE&amp;New&amp;Chiller__PumpCtrl*"
    ),
    ""
)</f>
        <v>0.18704200000000001</v>
      </c>
      <c r="O21" s="2">
        <f>IFERROR(
    _xlfn.MINIFS(
        'Combined Runs'!$P:$P,
        'Combined Runs'!$K:$K, O$17,
        'Combined Runs'!$J:$J, "*" &amp; $B21 &amp; "&amp;0&amp;cPVVE&amp;New&amp;Chiller__PumpCtrl*"
    ),
    ""
)</f>
        <v>0.19139500000000001</v>
      </c>
      <c r="P21" s="2">
        <f>IFERROR(
    _xlfn.MINIFS(
        'Combined Runs'!$P:$P,
        'Combined Runs'!$K:$K, P$17,
        'Combined Runs'!$J:$J, "*" &amp; $B21 &amp; "&amp;0&amp;cPVVE&amp;New&amp;Chiller__PumpCtrl*"
    ),
    ""
)</f>
        <v>0.191414</v>
      </c>
      <c r="Q21" s="2">
        <f>IFERROR(
    _xlfn.MINIFS(
        'Combined Runs'!$P:$P,
        'Combined Runs'!$K:$K, Q$17,
        'Combined Runs'!$J:$J, "*" &amp; $B21 &amp; "&amp;0&amp;cPVVE&amp;New&amp;Chiller__PumpCtrl*"
    ),
    ""
)</f>
        <v>0.198188</v>
      </c>
      <c r="R21" s="4">
        <f>IFERROR(
    _xlfn.MINIFS(
        'Combined Runs'!$P:$P,
        'Combined Runs'!$K:$K, R$17,
        'Combined Runs'!$J:$J, "*" &amp; $B21 &amp; "&amp;0&amp;cPVVE&amp;New&amp;Chiller__PumpCtrl*"
    ),
    ""
)</f>
        <v>0.17371600000000001</v>
      </c>
      <c r="S21" s="2">
        <f>MIN(Table24[[#This Row],[CZ01]:[CZ16]])</f>
        <v>0.14296600000000001</v>
      </c>
      <c r="T21" s="2">
        <f>AVERAGE(Table24[[#This Row],[CZ01]:[CZ16]])</f>
        <v>0.187072875</v>
      </c>
      <c r="U21" s="2">
        <f>MAX(Table24[[#This Row],[CZ01]:[CZ16]])</f>
        <v>0.21410699999999999</v>
      </c>
    </row>
    <row r="22" spans="2:21" x14ac:dyDescent="0.25">
      <c r="B22" s="3" t="s">
        <v>7</v>
      </c>
      <c r="C22" s="2">
        <f>IFERROR(
    _xlfn.MINIFS(
        'Combined Runs'!$P:$P,
        'Combined Runs'!$K:$K, C$17,
        'Combined Runs'!$J:$J, "*" &amp; $B22 &amp; "&amp;0&amp;cPVVE&amp;New&amp;Chiller__PumpCtrl*"
    ),
    ""
)</f>
        <v>1.5308E-2</v>
      </c>
      <c r="D22" s="2">
        <f>IFERROR(
    _xlfn.MINIFS(
        'Combined Runs'!$P:$P,
        'Combined Runs'!$K:$K, D$17,
        'Combined Runs'!$J:$J, "*" &amp; $B22 &amp; "&amp;0&amp;cPVVE&amp;New&amp;Chiller__PumpCtrl*"
    ),
    ""
)</f>
        <v>1.9699999999999999E-2</v>
      </c>
      <c r="E22" s="2">
        <f>IFERROR(
    _xlfn.MINIFS(
        'Combined Runs'!$P:$P,
        'Combined Runs'!$K:$K, E$17,
        'Combined Runs'!$J:$J, "*" &amp; $B22 &amp; "&amp;0&amp;cPVVE&amp;New&amp;Chiller__PumpCtrl*"
    ),
    ""
)</f>
        <v>1.9036000000000001E-2</v>
      </c>
      <c r="F22" s="2">
        <f>IFERROR(
    _xlfn.MINIFS(
        'Combined Runs'!$P:$P,
        'Combined Runs'!$K:$K, F$17,
        'Combined Runs'!$J:$J, "*" &amp; $B22 &amp; "&amp;0&amp;cPVVE&amp;New&amp;Chiller__PumpCtrl*"
    ),
    ""
)</f>
        <v>2.0029000000000002E-2</v>
      </c>
      <c r="G22" s="2">
        <f>IFERROR(
    _xlfn.MINIFS(
        'Combined Runs'!$P:$P,
        'Combined Runs'!$K:$K, G$17,
        'Combined Runs'!$J:$J, "*" &amp; $B22 &amp; "&amp;0&amp;cPVVE&amp;New&amp;Chiller__PumpCtrl*"
    ),
    ""
)</f>
        <v>1.7631000000000001E-2</v>
      </c>
      <c r="H22" s="2">
        <f>IFERROR(
    _xlfn.MINIFS(
        'Combined Runs'!$P:$P,
        'Combined Runs'!$K:$K, H$17,
        'Combined Runs'!$J:$J, "*" &amp; $B22 &amp; "&amp;0&amp;cPVVE&amp;New&amp;Chiller__PumpCtrl*"
    ),
    ""
)</f>
        <v>1.8832999999999999E-2</v>
      </c>
      <c r="I22" s="2">
        <f>IFERROR(
    _xlfn.MINIFS(
        'Combined Runs'!$P:$P,
        'Combined Runs'!$K:$K, I$17,
        'Combined Runs'!$J:$J, "*" &amp; $B22 &amp; "&amp;0&amp;cPVVE&amp;New&amp;Chiller__PumpCtrl*"
    ),
    ""
)</f>
        <v>1.9460999999999999E-2</v>
      </c>
      <c r="J22" s="2">
        <f>IFERROR(
    _xlfn.MINIFS(
        'Combined Runs'!$P:$P,
        'Combined Runs'!$K:$K, J$17,
        'Combined Runs'!$J:$J, "*" &amp; $B22 &amp; "&amp;0&amp;cPVVE&amp;New&amp;Chiller__PumpCtrl*"
    ),
    ""
)</f>
        <v>2.0815E-2</v>
      </c>
      <c r="K22" s="2">
        <f>IFERROR(
    _xlfn.MINIFS(
        'Combined Runs'!$P:$P,
        'Combined Runs'!$K:$K, K$17,
        'Combined Runs'!$J:$J, "*" &amp; $B22 &amp; "&amp;0&amp;cPVVE&amp;New&amp;Chiller__PumpCtrl*"
    ),
    ""
)</f>
        <v>2.0021000000000001E-2</v>
      </c>
      <c r="L22" s="2">
        <f>IFERROR(
    _xlfn.MINIFS(
        'Combined Runs'!$P:$P,
        'Combined Runs'!$K:$K, L$17,
        'Combined Runs'!$J:$J, "*" &amp; $B22 &amp; "&amp;0&amp;cPVVE&amp;New&amp;Chiller__PumpCtrl*"
    ),
    ""
)</f>
        <v>2.2526000000000001E-2</v>
      </c>
      <c r="M22" s="2">
        <f>IFERROR(
    _xlfn.MINIFS(
        'Combined Runs'!$P:$P,
        'Combined Runs'!$K:$K, M$17,
        'Combined Runs'!$J:$J, "*" &amp; $B22 &amp; "&amp;0&amp;cPVVE&amp;New&amp;Chiller__PumpCtrl*"
    ),
    ""
)</f>
        <v>2.2187999999999999E-2</v>
      </c>
      <c r="N22" s="2">
        <f>IFERROR(
    _xlfn.MINIFS(
        'Combined Runs'!$P:$P,
        'Combined Runs'!$K:$K, N$17,
        'Combined Runs'!$J:$J, "*" &amp; $B22 &amp; "&amp;0&amp;cPVVE&amp;New&amp;Chiller__PumpCtrl*"
    ),
    ""
)</f>
        <v>2.1892999999999999E-2</v>
      </c>
      <c r="O22" s="2">
        <f>IFERROR(
    _xlfn.MINIFS(
        'Combined Runs'!$P:$P,
        'Combined Runs'!$K:$K, O$17,
        'Combined Runs'!$J:$J, "*" &amp; $B22 &amp; "&amp;0&amp;cPVVE&amp;New&amp;Chiller__PumpCtrl*"
    ),
    ""
)</f>
        <v>2.2957999999999999E-2</v>
      </c>
      <c r="P22" s="2">
        <f>IFERROR(
    _xlfn.MINIFS(
        'Combined Runs'!$P:$P,
        'Combined Runs'!$K:$K, P$17,
        'Combined Runs'!$J:$J, "*" &amp; $B22 &amp; "&amp;0&amp;cPVVE&amp;New&amp;Chiller__PumpCtrl*"
    ),
    ""
)</f>
        <v>2.2929999999999999E-2</v>
      </c>
      <c r="Q22" s="2">
        <f>IFERROR(
    _xlfn.MINIFS(
        'Combined Runs'!$P:$P,
        'Combined Runs'!$K:$K, Q$17,
        'Combined Runs'!$J:$J, "*" &amp; $B22 &amp; "&amp;0&amp;cPVVE&amp;New&amp;Chiller__PumpCtrl*"
    ),
    ""
)</f>
        <v>2.3675000000000002E-2</v>
      </c>
      <c r="R22" s="4">
        <f>IFERROR(
    _xlfn.MINIFS(
        'Combined Runs'!$P:$P,
        'Combined Runs'!$K:$K, R$17,
        'Combined Runs'!$J:$J, "*" &amp; $B22 &amp; "&amp;0&amp;cPVVE&amp;New&amp;Chiller__PumpCtrl*"
    ),
    ""
)</f>
        <v>1.9782000000000001E-2</v>
      </c>
      <c r="S22" s="2">
        <f>MIN(Table24[[#This Row],[CZ01]:[CZ16]])</f>
        <v>1.5308E-2</v>
      </c>
      <c r="T22" s="2">
        <f>AVERAGE(Table24[[#This Row],[CZ01]:[CZ16]])</f>
        <v>2.0424125000000001E-2</v>
      </c>
      <c r="U22" s="2">
        <f>MAX(Table24[[#This Row],[CZ01]:[CZ16]])</f>
        <v>2.3675000000000002E-2</v>
      </c>
    </row>
    <row r="23" spans="2:21" x14ac:dyDescent="0.25">
      <c r="B23" s="3" t="s">
        <v>8</v>
      </c>
      <c r="C23" s="2">
        <f>IFERROR(
    _xlfn.MINIFS(
        'Combined Runs'!$P:$P,
        'Combined Runs'!$K:$K, C$17,
        'Combined Runs'!$J:$J, "*" &amp; $B23 &amp; "&amp;0&amp;cPVVE&amp;New&amp;Chiller__PumpCtrl*"
    ),
    ""
)</f>
        <v>9.0241000000000002E-2</v>
      </c>
      <c r="D23" s="2">
        <f>IFERROR(
    _xlfn.MINIFS(
        'Combined Runs'!$P:$P,
        'Combined Runs'!$K:$K, D$17,
        'Combined Runs'!$J:$J, "*" &amp; $B23 &amp; "&amp;0&amp;cPVVE&amp;New&amp;Chiller__PumpCtrl*"
    ),
    ""
)</f>
        <v>0.112632</v>
      </c>
      <c r="E23" s="2">
        <f>IFERROR(
    _xlfn.MINIFS(
        'Combined Runs'!$P:$P,
        'Combined Runs'!$K:$K, E$17,
        'Combined Runs'!$J:$J, "*" &amp; $B23 &amp; "&amp;0&amp;cPVVE&amp;New&amp;Chiller__PumpCtrl*"
    ),
    ""
)</f>
        <v>0.106831</v>
      </c>
      <c r="F23" s="2">
        <f>IFERROR(
    _xlfn.MINIFS(
        'Combined Runs'!$P:$P,
        'Combined Runs'!$K:$K, F$17,
        'Combined Runs'!$J:$J, "*" &amp; $B23 &amp; "&amp;0&amp;cPVVE&amp;New&amp;Chiller__PumpCtrl*"
    ),
    ""
)</f>
        <v>0.113262</v>
      </c>
      <c r="G23" s="2">
        <f>IFERROR(
    _xlfn.MINIFS(
        'Combined Runs'!$P:$P,
        'Combined Runs'!$K:$K, G$17,
        'Combined Runs'!$J:$J, "*" &amp; $B23 &amp; "&amp;0&amp;cPVVE&amp;New&amp;Chiller__PumpCtrl*"
    ),
    ""
)</f>
        <v>0.101248</v>
      </c>
      <c r="H23" s="2">
        <f>IFERROR(
    _xlfn.MINIFS(
        'Combined Runs'!$P:$P,
        'Combined Runs'!$K:$K, H$17,
        'Combined Runs'!$J:$J, "*" &amp; $B23 &amp; "&amp;0&amp;cPVVE&amp;New&amp;Chiller__PumpCtrl*"
    ),
    ""
)</f>
        <v>0.104863</v>
      </c>
      <c r="I23" s="2">
        <f>IFERROR(
    _xlfn.MINIFS(
        'Combined Runs'!$P:$P,
        'Combined Runs'!$K:$K, I$17,
        'Combined Runs'!$J:$J, "*" &amp; $B23 &amp; "&amp;0&amp;cPVVE&amp;New&amp;Chiller__PumpCtrl*"
    ),
    ""
)</f>
        <v>0.107166</v>
      </c>
      <c r="J23" s="2">
        <f>IFERROR(
    _xlfn.MINIFS(
        'Combined Runs'!$P:$P,
        'Combined Runs'!$K:$K, J$17,
        'Combined Runs'!$J:$J, "*" &amp; $B23 &amp; "&amp;0&amp;cPVVE&amp;New&amp;Chiller__PumpCtrl*"
    ),
    ""
)</f>
        <v>0.113846</v>
      </c>
      <c r="K23" s="2">
        <f>IFERROR(
    _xlfn.MINIFS(
        'Combined Runs'!$P:$P,
        'Combined Runs'!$K:$K, K$17,
        'Combined Runs'!$J:$J, "*" &amp; $B23 &amp; "&amp;0&amp;cPVVE&amp;New&amp;Chiller__PumpCtrl*"
    ),
    ""
)</f>
        <v>0.111816</v>
      </c>
      <c r="L23" s="2">
        <f>IFERROR(
    _xlfn.MINIFS(
        'Combined Runs'!$P:$P,
        'Combined Runs'!$K:$K, L$17,
        'Combined Runs'!$J:$J, "*" &amp; $B23 &amp; "&amp;0&amp;cPVVE&amp;New&amp;Chiller__PumpCtrl*"
    ),
    ""
)</f>
        <v>0.12431499999999999</v>
      </c>
      <c r="M23" s="2">
        <f>IFERROR(
    _xlfn.MINIFS(
        'Combined Runs'!$P:$P,
        'Combined Runs'!$K:$K, M$17,
        'Combined Runs'!$J:$J, "*" &amp; $B23 &amp; "&amp;0&amp;cPVVE&amp;New&amp;Chiller__PumpCtrl*"
    ),
    ""
)</f>
        <v>0.123645</v>
      </c>
      <c r="N23" s="2">
        <f>IFERROR(
    _xlfn.MINIFS(
        'Combined Runs'!$P:$P,
        'Combined Runs'!$K:$K, N$17,
        'Combined Runs'!$J:$J, "*" &amp; $B23 &amp; "&amp;0&amp;cPVVE&amp;New&amp;Chiller__PumpCtrl*"
    ),
    ""
)</f>
        <v>0.121653</v>
      </c>
      <c r="O23" s="2">
        <f>IFERROR(
    _xlfn.MINIFS(
        'Combined Runs'!$P:$P,
        'Combined Runs'!$K:$K, O$17,
        'Combined Runs'!$J:$J, "*" &amp; $B23 &amp; "&amp;0&amp;cPVVE&amp;New&amp;Chiller__PumpCtrl*"
    ),
    ""
)</f>
        <v>0.125085</v>
      </c>
      <c r="P23" s="2">
        <f>IFERROR(
    _xlfn.MINIFS(
        'Combined Runs'!$P:$P,
        'Combined Runs'!$K:$K, P$17,
        'Combined Runs'!$J:$J, "*" &amp; $B23 &amp; "&amp;0&amp;cPVVE&amp;New&amp;Chiller__PumpCtrl*"
    ),
    ""
)</f>
        <v>0.12725400000000001</v>
      </c>
      <c r="Q23" s="2">
        <f>IFERROR(
    _xlfn.MINIFS(
        'Combined Runs'!$P:$P,
        'Combined Runs'!$K:$K, Q$17,
        'Combined Runs'!$J:$J, "*" &amp; $B23 &amp; "&amp;0&amp;cPVVE&amp;New&amp;Chiller__PumpCtrl*"
    ),
    ""
)</f>
        <v>0.131436</v>
      </c>
      <c r="R23" s="4">
        <f>IFERROR(
    _xlfn.MINIFS(
        'Combined Runs'!$P:$P,
        'Combined Runs'!$K:$K, R$17,
        'Combined Runs'!$J:$J, "*" &amp; $B23 &amp; "&amp;0&amp;cPVVE&amp;New&amp;Chiller__PumpCtrl*"
    ),
    ""
)</f>
        <v>0.11733499999999999</v>
      </c>
      <c r="S23" s="2">
        <f>MIN(Table24[[#This Row],[CZ01]:[CZ16]])</f>
        <v>9.0241000000000002E-2</v>
      </c>
      <c r="T23" s="2">
        <f>AVERAGE(Table24[[#This Row],[CZ01]:[CZ16]])</f>
        <v>0.11453925</v>
      </c>
      <c r="U23" s="2">
        <f>MAX(Table24[[#This Row],[CZ01]:[CZ16]])</f>
        <v>0.131436</v>
      </c>
    </row>
    <row r="24" spans="2:21" x14ac:dyDescent="0.25">
      <c r="B24" s="3" t="s">
        <v>9</v>
      </c>
      <c r="C24" s="2">
        <f>IFERROR(
    _xlfn.MINIFS(
        'Combined Runs'!$P:$P,
        'Combined Runs'!$K:$K, C$17,
        'Combined Runs'!$J:$J, "*" &amp; $B24 &amp; "&amp;0&amp;cPVVE&amp;New&amp;Chiller__PumpCtrl*"
    ),
    ""
)</f>
        <v>5.4019999999999997E-3</v>
      </c>
      <c r="D24" s="2">
        <f>IFERROR(
    _xlfn.MINIFS(
        'Combined Runs'!$P:$P,
        'Combined Runs'!$K:$K, D$17,
        'Combined Runs'!$J:$J, "*" &amp; $B24 &amp; "&amp;0&amp;cPVVE&amp;New&amp;Chiller__PumpCtrl*"
    ),
    ""
)</f>
        <v>6.9179999999999997E-3</v>
      </c>
      <c r="E24" s="2">
        <f>IFERROR(
    _xlfn.MINIFS(
        'Combined Runs'!$P:$P,
        'Combined Runs'!$K:$K, E$17,
        'Combined Runs'!$J:$J, "*" &amp; $B24 &amp; "&amp;0&amp;cPVVE&amp;New&amp;Chiller__PumpCtrl*"
    ),
    ""
)</f>
        <v>6.79E-3</v>
      </c>
      <c r="F24" s="2">
        <f>IFERROR(
    _xlfn.MINIFS(
        'Combined Runs'!$P:$P,
        'Combined Runs'!$K:$K, F$17,
        'Combined Runs'!$J:$J, "*" &amp; $B24 &amp; "&amp;0&amp;cPVVE&amp;New&amp;Chiller__PumpCtrl*"
    ),
    ""
)</f>
        <v>7.0429999999999998E-3</v>
      </c>
      <c r="G24" s="2">
        <f>IFERROR(
    _xlfn.MINIFS(
        'Combined Runs'!$P:$P,
        'Combined Runs'!$K:$K, G$17,
        'Combined Runs'!$J:$J, "*" &amp; $B24 &amp; "&amp;0&amp;cPVVE&amp;New&amp;Chiller__PumpCtrl*"
    ),
    ""
)</f>
        <v>6.2969999999999996E-3</v>
      </c>
      <c r="H24" s="2">
        <f>IFERROR(
    _xlfn.MINIFS(
        'Combined Runs'!$P:$P,
        'Combined Runs'!$K:$K, H$17,
        'Combined Runs'!$J:$J, "*" &amp; $B24 &amp; "&amp;0&amp;cPVVE&amp;New&amp;Chiller__PumpCtrl*"
    ),
    ""
)</f>
        <v>6.8069999999999997E-3</v>
      </c>
      <c r="I24" s="2">
        <f>IFERROR(
    _xlfn.MINIFS(
        'Combined Runs'!$P:$P,
        'Combined Runs'!$K:$K, I$17,
        'Combined Runs'!$J:$J, "*" &amp; $B24 &amp; "&amp;0&amp;cPVVE&amp;New&amp;Chiller__PumpCtrl*"
    ),
    ""
)</f>
        <v>6.9560000000000004E-3</v>
      </c>
      <c r="J24" s="2">
        <f>IFERROR(
    _xlfn.MINIFS(
        'Combined Runs'!$P:$P,
        'Combined Runs'!$K:$K, J$17,
        'Combined Runs'!$J:$J, "*" &amp; $B24 &amp; "&amp;0&amp;cPVVE&amp;New&amp;Chiller__PumpCtrl*"
    ),
    ""
)</f>
        <v>7.4400000000000004E-3</v>
      </c>
      <c r="K24" s="2">
        <f>IFERROR(
    _xlfn.MINIFS(
        'Combined Runs'!$P:$P,
        'Combined Runs'!$K:$K, K$17,
        'Combined Runs'!$J:$J, "*" &amp; $B24 &amp; "&amp;0&amp;cPVVE&amp;New&amp;Chiller__PumpCtrl*"
    ),
    ""
)</f>
        <v>6.9969999999999997E-3</v>
      </c>
      <c r="L24" s="2">
        <f>IFERROR(
    _xlfn.MINIFS(
        'Combined Runs'!$P:$P,
        'Combined Runs'!$K:$K, L$17,
        'Combined Runs'!$J:$J, "*" &amp; $B24 &amp; "&amp;0&amp;cPVVE&amp;New&amp;Chiller__PumpCtrl*"
    ),
    ""
)</f>
        <v>7.7640000000000001E-3</v>
      </c>
      <c r="M24" s="2">
        <f>IFERROR(
    _xlfn.MINIFS(
        'Combined Runs'!$P:$P,
        'Combined Runs'!$K:$K, M$17,
        'Combined Runs'!$J:$J, "*" &amp; $B24 &amp; "&amp;0&amp;cPVVE&amp;New&amp;Chiller__PumpCtrl*"
    ),
    ""
)</f>
        <v>7.6109999999999997E-3</v>
      </c>
      <c r="N24" s="2">
        <f>IFERROR(
    _xlfn.MINIFS(
        'Combined Runs'!$P:$P,
        'Combined Runs'!$K:$K, N$17,
        'Combined Runs'!$J:$J, "*" &amp; $B24 &amp; "&amp;0&amp;cPVVE&amp;New&amp;Chiller__PumpCtrl*"
    ),
    ""
)</f>
        <v>7.3070000000000001E-3</v>
      </c>
      <c r="O24" s="2">
        <f>IFERROR(
    _xlfn.MINIFS(
        'Combined Runs'!$P:$P,
        'Combined Runs'!$K:$K, O$17,
        'Combined Runs'!$J:$J, "*" &amp; $B24 &amp; "&amp;0&amp;cPVVE&amp;New&amp;Chiller__PumpCtrl*"
    ),
    ""
)</f>
        <v>7.7479999999999997E-3</v>
      </c>
      <c r="P24" s="2">
        <f>IFERROR(
    _xlfn.MINIFS(
        'Combined Runs'!$P:$P,
        'Combined Runs'!$K:$K, P$17,
        'Combined Runs'!$J:$J, "*" &amp; $B24 &amp; "&amp;0&amp;cPVVE&amp;New&amp;Chiller__PumpCtrl*"
    ),
    ""
)</f>
        <v>8.0239999999999999E-3</v>
      </c>
      <c r="Q24" s="2">
        <f>IFERROR(
    _xlfn.MINIFS(
        'Combined Runs'!$P:$P,
        'Combined Runs'!$K:$K, Q$17,
        'Combined Runs'!$J:$J, "*" &amp; $B24 &amp; "&amp;0&amp;cPVVE&amp;New&amp;Chiller__PumpCtrl*"
    ),
    ""
)</f>
        <v>8.2570000000000005E-3</v>
      </c>
      <c r="R24" s="4">
        <f>IFERROR(
    _xlfn.MINIFS(
        'Combined Runs'!$P:$P,
        'Combined Runs'!$K:$K, R$17,
        'Combined Runs'!$J:$J, "*" &amp; $B24 &amp; "&amp;0&amp;cPVVE&amp;New&amp;Chiller__PumpCtrl*"
    ),
    ""
)</f>
        <v>7.2760000000000003E-3</v>
      </c>
      <c r="S24" s="2">
        <f>MIN(Table24[[#This Row],[CZ01]:[CZ16]])</f>
        <v>5.4019999999999997E-3</v>
      </c>
      <c r="T24" s="2">
        <f>AVERAGE(Table24[[#This Row],[CZ01]:[CZ16]])</f>
        <v>7.164812500000001E-3</v>
      </c>
      <c r="U24" s="2">
        <f>MAX(Table24[[#This Row],[CZ01]:[CZ16]])</f>
        <v>8.2570000000000005E-3</v>
      </c>
    </row>
    <row r="25" spans="2:21" x14ac:dyDescent="0.25">
      <c r="B25" s="8" t="s">
        <v>10</v>
      </c>
      <c r="C25" s="9">
        <f>IFERROR(
    _xlfn.MINIFS(
        'Combined Runs'!$P:$P,
        'Combined Runs'!$K:$K, C$17,
        'Combined Runs'!$J:$J, "*" &amp; $B25 &amp; "&amp;0&amp;cPVVE&amp;New&amp;Chiller__PumpCtrl*"
    ),
    ""
)</f>
        <v>6.5632999999999997E-2</v>
      </c>
      <c r="D25" s="9">
        <f>IFERROR(
    _xlfn.MINIFS(
        'Combined Runs'!$P:$P,
        'Combined Runs'!$K:$K, D$17,
        'Combined Runs'!$J:$J, "*" &amp; $B25 &amp; "&amp;0&amp;cPVVE&amp;New&amp;Chiller__PumpCtrl*"
    ),
    ""
)</f>
        <v>0.11562500000000001</v>
      </c>
      <c r="E25" s="9">
        <f>IFERROR(
    _xlfn.MINIFS(
        'Combined Runs'!$P:$P,
        'Combined Runs'!$K:$K, E$17,
        'Combined Runs'!$J:$J, "*" &amp; $B25 &amp; "&amp;0&amp;cPVVE&amp;New&amp;Chiller__PumpCtrl*"
    ),
    ""
)</f>
        <v>0.107451</v>
      </c>
      <c r="F25" s="9">
        <f>IFERROR(
    _xlfn.MINIFS(
        'Combined Runs'!$P:$P,
        'Combined Runs'!$K:$K, F$17,
        'Combined Runs'!$J:$J, "*" &amp; $B25 &amp; "&amp;0&amp;cPVVE&amp;New&amp;Chiller__PumpCtrl*"
    ),
    ""
)</f>
        <v>0.11826299999999999</v>
      </c>
      <c r="G25" s="9">
        <f>IFERROR(
    _xlfn.MINIFS(
        'Combined Runs'!$P:$P,
        'Combined Runs'!$K:$K, G$17,
        'Combined Runs'!$J:$J, "*" &amp; $B25 &amp; "&amp;0&amp;cPVVE&amp;New&amp;Chiller__PumpCtrl*"
    ),
    ""
)</f>
        <v>0.10081900000000001</v>
      </c>
      <c r="H25" s="9">
        <f>IFERROR(
    _xlfn.MINIFS(
        'Combined Runs'!$P:$P,
        'Combined Runs'!$K:$K, H$17,
        'Combined Runs'!$J:$J, "*" &amp; $B25 &amp; "&amp;0&amp;cPVVE&amp;New&amp;Chiller__PumpCtrl*"
    ),
    ""
)</f>
        <v>0.10917499999999999</v>
      </c>
      <c r="I25" s="9">
        <f>IFERROR(
    _xlfn.MINIFS(
        'Combined Runs'!$P:$P,
        'Combined Runs'!$K:$K, I$17,
        'Combined Runs'!$J:$J, "*" &amp; $B25 &amp; "&amp;0&amp;cPVVE&amp;New&amp;Chiller__PumpCtrl*"
    ),
    ""
)</f>
        <v>0.111805</v>
      </c>
      <c r="J25" s="9">
        <f>IFERROR(
    _xlfn.MINIFS(
        'Combined Runs'!$P:$P,
        'Combined Runs'!$K:$K, J$17,
        'Combined Runs'!$J:$J, "*" &amp; $B25 &amp; "&amp;0&amp;cPVVE&amp;New&amp;Chiller__PumpCtrl*"
    ),
    ""
)</f>
        <v>0.122185</v>
      </c>
      <c r="K25" s="9">
        <f>IFERROR(
    _xlfn.MINIFS(
        'Combined Runs'!$P:$P,
        'Combined Runs'!$K:$K, K$17,
        'Combined Runs'!$J:$J, "*" &amp; $B25 &amp; "&amp;0&amp;cPVVE&amp;New&amp;Chiller__PumpCtrl*"
    ),
    ""
)</f>
        <v>0.130165</v>
      </c>
      <c r="L25" s="9">
        <f>IFERROR(
    _xlfn.MINIFS(
        'Combined Runs'!$P:$P,
        'Combined Runs'!$K:$K, L$17,
        'Combined Runs'!$J:$J, "*" &amp; $B25 &amp; "&amp;0&amp;cPVVE&amp;New&amp;Chiller__PumpCtrl*"
    ),
    ""
)</f>
        <v>0.13257099999999999</v>
      </c>
      <c r="M25" s="9">
        <f>IFERROR(
    _xlfn.MINIFS(
        'Combined Runs'!$P:$P,
        'Combined Runs'!$K:$K, M$17,
        'Combined Runs'!$J:$J, "*" &amp; $B25 &amp; "&amp;0&amp;cPVVE&amp;New&amp;Chiller__PumpCtrl*"
    ),
    ""
)</f>
        <v>9.4223000000000001E-2</v>
      </c>
      <c r="N25" s="9">
        <f>IFERROR(
    _xlfn.MINIFS(
        'Combined Runs'!$P:$P,
        'Combined Runs'!$K:$K, N$17,
        'Combined Runs'!$J:$J, "*" &amp; $B25 &amp; "&amp;0&amp;cPVVE&amp;New&amp;Chiller__PumpCtrl*"
    ),
    ""
)</f>
        <v>9.5507999999999996E-2</v>
      </c>
      <c r="O25" s="9">
        <f>IFERROR(
    _xlfn.MINIFS(
        'Combined Runs'!$P:$P,
        'Combined Runs'!$K:$K, O$17,
        'Combined Runs'!$J:$J, "*" &amp; $B25 &amp; "&amp;0&amp;cPVVE&amp;New&amp;Chiller__PumpCtrl*"
    ),
    ""
)</f>
        <v>9.9464999999999998E-2</v>
      </c>
      <c r="P25" s="9">
        <f>IFERROR(
    _xlfn.MINIFS(
        'Combined Runs'!$P:$P,
        'Combined Runs'!$K:$K, P$17,
        'Combined Runs'!$J:$J, "*" &amp; $B25 &amp; "&amp;0&amp;cPVVE&amp;New&amp;Chiller__PumpCtrl*"
    ),
    ""
)</f>
        <v>9.8530999999999994E-2</v>
      </c>
      <c r="Q25" s="9">
        <f>IFERROR(
    _xlfn.MINIFS(
        'Combined Runs'!$P:$P,
        'Combined Runs'!$K:$K, Q$17,
        'Combined Runs'!$J:$J, "*" &amp; $B25 &amp; "&amp;0&amp;cPVVE&amp;New&amp;Chiller__PumpCtrl*"
    ),
    ""
)</f>
        <v>0.10487200000000001</v>
      </c>
      <c r="R25" s="10">
        <f>IFERROR(
    _xlfn.MINIFS(
        'Combined Runs'!$P:$P,
        'Combined Runs'!$K:$K, R$17,
        'Combined Runs'!$J:$J, "*" &amp; $B25 &amp; "&amp;0&amp;cPVVE&amp;New&amp;Chiller__PumpCtrl*"
    ),
    ""
)</f>
        <v>8.3228999999999997E-2</v>
      </c>
      <c r="S25" s="2">
        <f>MIN(Table24[[#This Row],[CZ01]:[CZ16]])</f>
        <v>6.5632999999999997E-2</v>
      </c>
      <c r="T25" s="2">
        <f>AVERAGE(Table24[[#This Row],[CZ01]:[CZ16]])</f>
        <v>0.10559499999999998</v>
      </c>
      <c r="U25" s="2">
        <f>MAX(Table24[[#This Row],[CZ01]:[CZ16]])</f>
        <v>0.13257099999999999</v>
      </c>
    </row>
    <row r="26" spans="2:21" x14ac:dyDescent="0.25">
      <c r="B26" s="8" t="s">
        <v>639</v>
      </c>
      <c r="C26" s="9">
        <f>IFERROR(
    _xlfn.MINIFS(
        'Combined Runs'!$P:$P,
        'Combined Runs'!$K:$K, C$17,
        'Combined Runs'!$J:$J, "*" &amp; $B26 &amp; "&amp;0&amp;cPVVE&amp;New&amp;Chiller__PumpCtrl*"
    ),
    ""
)</f>
        <v>1.5125E-2</v>
      </c>
      <c r="D26" s="9">
        <f>IFERROR(
    _xlfn.MINIFS(
        'Combined Runs'!$P:$P,
        'Combined Runs'!$K:$K, D$17,
        'Combined Runs'!$J:$J, "*" &amp; $B26 &amp; "&amp;0&amp;cPVVE&amp;New&amp;Chiller__PumpCtrl*"
    ),
    ""
)</f>
        <v>1.9748000000000002E-2</v>
      </c>
      <c r="E26" s="9">
        <f>IFERROR(
    _xlfn.MINIFS(
        'Combined Runs'!$P:$P,
        'Combined Runs'!$K:$K, E$17,
        'Combined Runs'!$J:$J, "*" &amp; $B26 &amp; "&amp;0&amp;cPVVE&amp;New&amp;Chiller__PumpCtrl*"
    ),
    ""
)</f>
        <v>1.8617999999999999E-2</v>
      </c>
      <c r="F26" s="9">
        <f>IFERROR(
    _xlfn.MINIFS(
        'Combined Runs'!$P:$P,
        'Combined Runs'!$K:$K, F$17,
        'Combined Runs'!$J:$J, "*" &amp; $B26 &amp; "&amp;0&amp;cPVVE&amp;New&amp;Chiller__PumpCtrl*"
    ),
    ""
)</f>
        <v>2.0021000000000001E-2</v>
      </c>
      <c r="G26" s="9">
        <f>IFERROR(
    _xlfn.MINIFS(
        'Combined Runs'!$P:$P,
        'Combined Runs'!$K:$K, G$17,
        'Combined Runs'!$J:$J, "*" &amp; $B26 &amp; "&amp;0&amp;cPVVE&amp;New&amp;Chiller__PumpCtrl*"
    ),
    ""
)</f>
        <v>1.7273E-2</v>
      </c>
      <c r="H26" s="9">
        <f>IFERROR(
    _xlfn.MINIFS(
        'Combined Runs'!$P:$P,
        'Combined Runs'!$K:$K, H$17,
        'Combined Runs'!$J:$J, "*" &amp; $B26 &amp; "&amp;0&amp;cPVVE&amp;New&amp;Chiller__PumpCtrl*"
    ),
    ""
)</f>
        <v>1.8308999999999999E-2</v>
      </c>
      <c r="I26" s="9">
        <f>IFERROR(
    _xlfn.MINIFS(
        'Combined Runs'!$P:$P,
        'Combined Runs'!$K:$K, I$17,
        'Combined Runs'!$J:$J, "*" &amp; $B26 &amp; "&amp;0&amp;cPVVE&amp;New&amp;Chiller__PumpCtrl*"
    ),
    ""
)</f>
        <v>1.924E-2</v>
      </c>
      <c r="J26" s="9">
        <f>IFERROR(
    _xlfn.MINIFS(
        'Combined Runs'!$P:$P,
        'Combined Runs'!$K:$K, J$17,
        'Combined Runs'!$J:$J, "*" &amp; $B26 &amp; "&amp;0&amp;cPVVE&amp;New&amp;Chiller__PumpCtrl*"
    ),
    ""
)</f>
        <v>2.0362999999999999E-2</v>
      </c>
      <c r="K26" s="9">
        <f>IFERROR(
    _xlfn.MINIFS(
        'Combined Runs'!$P:$P,
        'Combined Runs'!$K:$K, K$17,
        'Combined Runs'!$J:$J, "*" &amp; $B26 &amp; "&amp;0&amp;cPVVE&amp;New&amp;Chiller__PumpCtrl*"
    ),
    ""
)</f>
        <v>2.0211E-2</v>
      </c>
      <c r="L26" s="9">
        <f>IFERROR(
    _xlfn.MINIFS(
        'Combined Runs'!$P:$P,
        'Combined Runs'!$K:$K, L$17,
        'Combined Runs'!$J:$J, "*" &amp; $B26 &amp; "&amp;0&amp;cPVVE&amp;New&amp;Chiller__PumpCtrl*"
    ),
    ""
)</f>
        <v>2.2665999999999999E-2</v>
      </c>
      <c r="M26" s="9">
        <f>IFERROR(
    _xlfn.MINIFS(
        'Combined Runs'!$P:$P,
        'Combined Runs'!$K:$K, M$17,
        'Combined Runs'!$J:$J, "*" &amp; $B26 &amp; "&amp;0&amp;cPVVE&amp;New&amp;Chiller__PumpCtrl*"
    ),
    ""
)</f>
        <v>2.2943999999999999E-2</v>
      </c>
      <c r="N26" s="9">
        <f>IFERROR(
    _xlfn.MINIFS(
        'Combined Runs'!$P:$P,
        'Combined Runs'!$K:$K, N$17,
        'Combined Runs'!$J:$J, "*" &amp; $B26 &amp; "&amp;0&amp;cPVVE&amp;New&amp;Chiller__PumpCtrl*"
    ),
    ""
)</f>
        <v>2.2620000000000001E-2</v>
      </c>
      <c r="O26" s="9">
        <f>IFERROR(
    _xlfn.MINIFS(
        'Combined Runs'!$P:$P,
        'Combined Runs'!$K:$K, O$17,
        'Combined Runs'!$J:$J, "*" &amp; $B26 &amp; "&amp;0&amp;cPVVE&amp;New&amp;Chiller__PumpCtrl*"
    ),
    ""
)</f>
        <v>2.3599999999999999E-2</v>
      </c>
      <c r="P26" s="9">
        <f>IFERROR(
    _xlfn.MINIFS(
        'Combined Runs'!$P:$P,
        'Combined Runs'!$K:$K, P$17,
        'Combined Runs'!$J:$J, "*" &amp; $B26 &amp; "&amp;0&amp;cPVVE&amp;New&amp;Chiller__PumpCtrl*"
    ),
    ""
)</f>
        <v>2.3699999999999999E-2</v>
      </c>
      <c r="Q26" s="9">
        <f>IFERROR(
    _xlfn.MINIFS(
        'Combined Runs'!$P:$P,
        'Combined Runs'!$K:$K, Q$17,
        'Combined Runs'!$J:$J, "*" &amp; $B26 &amp; "&amp;0&amp;cPVVE&amp;New&amp;Chiller__PumpCtrl*"
    ),
    ""
)</f>
        <v>2.4417999999999999E-2</v>
      </c>
      <c r="R26" s="10">
        <f>IFERROR(
    _xlfn.MINIFS(
        'Combined Runs'!$P:$P,
        'Combined Runs'!$K:$K, R$17,
        'Combined Runs'!$J:$J, "*" &amp; $B26 &amp; "&amp;0&amp;cPVVE&amp;New&amp;Chiller__PumpCtrl*"
    ),
    ""
)</f>
        <v>2.0212000000000001E-2</v>
      </c>
      <c r="S26" s="9">
        <f>MIN(Table24[[#This Row],[CZ01]:[CZ16]])</f>
        <v>1.5125E-2</v>
      </c>
      <c r="T26" s="9">
        <f>AVERAGE(Table24[[#This Row],[CZ01]:[CZ16]])</f>
        <v>2.0566749999999998E-2</v>
      </c>
      <c r="U26" s="9">
        <f>MAX(Table24[[#This Row],[CZ01]:[CZ16]])</f>
        <v>2.4417999999999999E-2</v>
      </c>
    </row>
  </sheetData>
  <mergeCells count="2">
    <mergeCell ref="S3:U3"/>
    <mergeCell ref="S16:U16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6271-E63D-4398-8678-C502A7192683}">
  <dimension ref="A1:X73"/>
  <sheetViews>
    <sheetView topLeftCell="A16" workbookViewId="0">
      <selection activeCell="M9" sqref="M9"/>
    </sheetView>
  </sheetViews>
  <sheetFormatPr defaultRowHeight="15" x14ac:dyDescent="0.25"/>
  <cols>
    <col min="2" max="2" width="44.28515625" bestFit="1" customWidth="1"/>
    <col min="19" max="19" width="17.28515625" customWidth="1"/>
    <col min="20" max="20" width="15" customWidth="1"/>
    <col min="21" max="21" width="11.7109375" customWidth="1"/>
    <col min="22" max="22" width="19.5703125" customWidth="1"/>
  </cols>
  <sheetData>
    <row r="1" spans="1:24" x14ac:dyDescent="0.25">
      <c r="A1" t="s">
        <v>1</v>
      </c>
      <c r="B1" s="1" t="s">
        <v>2</v>
      </c>
    </row>
    <row r="2" spans="1:24" x14ac:dyDescent="0.25">
      <c r="B2" s="1" t="s">
        <v>652</v>
      </c>
    </row>
    <row r="3" spans="1:24" x14ac:dyDescent="0.25">
      <c r="B3" t="s">
        <v>640</v>
      </c>
      <c r="S3" s="23" t="s">
        <v>650</v>
      </c>
      <c r="T3" s="23"/>
      <c r="U3" s="23"/>
    </row>
    <row r="4" spans="1:24" x14ac:dyDescent="0.25">
      <c r="B4" s="5" t="s">
        <v>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6" t="s">
        <v>19</v>
      </c>
      <c r="L4" s="6" t="s">
        <v>20</v>
      </c>
      <c r="M4" s="6" t="s">
        <v>21</v>
      </c>
      <c r="N4" s="6" t="s">
        <v>22</v>
      </c>
      <c r="O4" s="6" t="s">
        <v>23</v>
      </c>
      <c r="P4" s="6" t="s">
        <v>24</v>
      </c>
      <c r="Q4" s="6" t="s">
        <v>25</v>
      </c>
      <c r="R4" s="7" t="s">
        <v>26</v>
      </c>
      <c r="S4" s="6" t="s">
        <v>642</v>
      </c>
      <c r="T4" s="6" t="s">
        <v>644</v>
      </c>
      <c r="U4" s="6" t="s">
        <v>645</v>
      </c>
      <c r="W4" t="s">
        <v>648</v>
      </c>
    </row>
    <row r="5" spans="1:24" x14ac:dyDescent="0.25">
      <c r="B5" s="3" t="s">
        <v>3</v>
      </c>
      <c r="C5" s="2">
        <f>'Design flow rate'!C5*0.7</f>
        <v>9.7987399999999988E-2</v>
      </c>
      <c r="D5" s="2">
        <f>'Design flow rate'!D5*0.7</f>
        <v>0.12599509999999997</v>
      </c>
      <c r="E5" s="2">
        <f>'Design flow rate'!E5*0.7</f>
        <v>0.11842179999999998</v>
      </c>
      <c r="F5" s="2">
        <f>'Design flow rate'!F5*0.7</f>
        <v>0.12757639999999998</v>
      </c>
      <c r="G5" s="2">
        <f>'Design flow rate'!G5*0.7</f>
        <v>0.11193349999999999</v>
      </c>
      <c r="H5" s="2">
        <f>'Design flow rate'!H5*0.7</f>
        <v>0.11671029999999999</v>
      </c>
      <c r="I5" s="2">
        <f>'Design flow rate'!I5*0.7</f>
        <v>0.1196916</v>
      </c>
      <c r="J5" s="2">
        <f>'Design flow rate'!J5*0.7</f>
        <v>0.12847310000000001</v>
      </c>
      <c r="K5" s="2">
        <f>'Design flow rate'!K5*0.7</f>
        <v>0.13023779999999999</v>
      </c>
      <c r="L5" s="2">
        <f>'Design flow rate'!L5*0.7</f>
        <v>0.13971789999999998</v>
      </c>
      <c r="M5" s="2">
        <f>'Design flow rate'!M5*0.7</f>
        <v>0.14124529999999999</v>
      </c>
      <c r="N5" s="2">
        <f>'Design flow rate'!N5*0.7</f>
        <v>0.13778170000000001</v>
      </c>
      <c r="O5" s="2">
        <f>'Design flow rate'!O5*0.7</f>
        <v>0.14218609999999998</v>
      </c>
      <c r="P5" s="2">
        <f>'Design flow rate'!P5*0.7</f>
        <v>0.14188019999999998</v>
      </c>
      <c r="Q5" s="2">
        <f>'Design flow rate'!Q5*0.7</f>
        <v>0.14687049999999999</v>
      </c>
      <c r="R5" s="2">
        <f>'Design flow rate'!R5*0.7</f>
        <v>0.1245734</v>
      </c>
      <c r="S5" s="2">
        <f>'Design flow rate'!S5*0.7</f>
        <v>9.7987399999999988E-2</v>
      </c>
      <c r="T5" s="2">
        <f>'Design flow rate'!T5*0.7</f>
        <v>0.12820513124999997</v>
      </c>
      <c r="U5" s="2">
        <f>'Design flow rate'!U5*0.7</f>
        <v>0.14687049999999999</v>
      </c>
      <c r="W5">
        <v>995</v>
      </c>
      <c r="X5" t="s">
        <v>643</v>
      </c>
    </row>
    <row r="6" spans="1:24" x14ac:dyDescent="0.25">
      <c r="B6" s="3" t="s">
        <v>4</v>
      </c>
      <c r="C6" s="2">
        <f>'Design flow rate'!C6*0.7</f>
        <v>1.6264499999999998E-2</v>
      </c>
      <c r="D6" s="2">
        <f>'Design flow rate'!D6*0.7</f>
        <v>2.0885899999999999E-2</v>
      </c>
      <c r="E6" s="2">
        <f>'Design flow rate'!E6*0.7</f>
        <v>1.9812799999999998E-2</v>
      </c>
      <c r="F6" s="2">
        <f>'Design flow rate'!F6*0.7</f>
        <v>2.1209299999999997E-2</v>
      </c>
      <c r="G6" s="2">
        <f>'Design flow rate'!G6*0.7</f>
        <v>1.8653599999999999E-2</v>
      </c>
      <c r="H6" s="2">
        <f>'Design flow rate'!H6*0.7</f>
        <v>1.9523699999999998E-2</v>
      </c>
      <c r="I6" s="2">
        <f>'Design flow rate'!I6*0.7</f>
        <v>2.0006699999999999E-2</v>
      </c>
      <c r="J6" s="2">
        <f>'Design flow rate'!J6*0.7</f>
        <v>2.1391999999999998E-2</v>
      </c>
      <c r="K6" s="2">
        <f>'Design flow rate'!K6*0.7</f>
        <v>2.1965999999999996E-2</v>
      </c>
      <c r="L6" s="2">
        <f>'Design flow rate'!L6*0.7</f>
        <v>2.27563E-2</v>
      </c>
      <c r="M6" s="2">
        <f>'Design flow rate'!M6*0.7</f>
        <v>2.3092299999999996E-2</v>
      </c>
      <c r="N6" s="2">
        <f>'Design flow rate'!N6*0.7</f>
        <v>2.2185799999999999E-2</v>
      </c>
      <c r="O6" s="2">
        <f>'Design flow rate'!O6*0.7</f>
        <v>2.31448E-2</v>
      </c>
      <c r="P6" s="2">
        <f>'Design flow rate'!P6*0.7</f>
        <v>2.3067799999999996E-2</v>
      </c>
      <c r="Q6" s="2">
        <f>'Design flow rate'!Q6*0.7</f>
        <v>2.38126E-2</v>
      </c>
      <c r="R6" s="2">
        <f>'Design flow rate'!R6*0.7</f>
        <v>2.01754E-2</v>
      </c>
      <c r="S6" s="2">
        <f>'Design flow rate'!S6*0.7</f>
        <v>1.6264499999999998E-2</v>
      </c>
      <c r="T6" s="2">
        <f>'Design flow rate'!T6*0.7</f>
        <v>2.1121843749999997E-2</v>
      </c>
      <c r="U6" s="2">
        <f>'Design flow rate'!U6*0.7</f>
        <v>2.38126E-2</v>
      </c>
    </row>
    <row r="7" spans="1:24" x14ac:dyDescent="0.25">
      <c r="B7" s="3" t="s">
        <v>5</v>
      </c>
      <c r="C7" s="2">
        <f>'Design flow rate'!C7*0.7</f>
        <v>0.25078759999999994</v>
      </c>
      <c r="D7" s="2">
        <f>'Design flow rate'!D7*0.7</f>
        <v>0.29743769999999997</v>
      </c>
      <c r="E7" s="2">
        <f>'Design flow rate'!E7*0.7</f>
        <v>0.28772169999999997</v>
      </c>
      <c r="F7" s="2">
        <f>'Design flow rate'!F7*0.7</f>
        <v>0.30021389999999998</v>
      </c>
      <c r="G7" s="2">
        <f>'Design flow rate'!G7*0.7</f>
        <v>0.27315400000000001</v>
      </c>
      <c r="H7" s="2">
        <f>'Design flow rate'!H7*0.7</f>
        <v>0.2816226</v>
      </c>
      <c r="I7" s="2">
        <f>'Design flow rate'!I7*0.7</f>
        <v>0.28680049999999996</v>
      </c>
      <c r="J7" s="2">
        <f>'Design flow rate'!J7*0.7</f>
        <v>0.30224319999999999</v>
      </c>
      <c r="K7" s="2">
        <f>'Design flow rate'!K7*0.7</f>
        <v>0.3071005</v>
      </c>
      <c r="L7" s="2">
        <f>'Design flow rate'!L7*0.7</f>
        <v>0.31171070000000001</v>
      </c>
      <c r="M7" s="2">
        <f>'Design flow rate'!M7*0.7</f>
        <v>0.32070359999999998</v>
      </c>
      <c r="N7" s="2">
        <f>'Design flow rate'!N7*0.7</f>
        <v>0.31329689999999999</v>
      </c>
      <c r="O7" s="2">
        <f>'Design flow rate'!O7*0.7</f>
        <v>0.3223241</v>
      </c>
      <c r="P7" s="2">
        <f>'Design flow rate'!P7*0.7</f>
        <v>0.32245639999999998</v>
      </c>
      <c r="Q7" s="2">
        <f>'Design flow rate'!Q7*0.7</f>
        <v>0.32970909999999998</v>
      </c>
      <c r="R7" s="2">
        <f>'Design flow rate'!R7*0.7</f>
        <v>0.2924523</v>
      </c>
      <c r="S7" s="2">
        <f>'Design flow rate'!S7*0.7</f>
        <v>0.25078759999999994</v>
      </c>
      <c r="T7" s="2">
        <f>'Design flow rate'!T7*0.7</f>
        <v>0.29998342499999997</v>
      </c>
      <c r="U7" s="2">
        <f>'Design flow rate'!U7*0.7</f>
        <v>0.32970909999999998</v>
      </c>
    </row>
    <row r="8" spans="1:24" x14ac:dyDescent="0.25">
      <c r="B8" s="3" t="s">
        <v>6</v>
      </c>
      <c r="C8" s="2">
        <f>'Design flow rate'!C8*0.7</f>
        <v>0.1175783</v>
      </c>
      <c r="D8" s="2">
        <f>'Design flow rate'!D8*0.7</f>
        <v>0.14466969999999998</v>
      </c>
      <c r="E8" s="2">
        <f>'Design flow rate'!E8*0.7</f>
        <v>0.13759339999999998</v>
      </c>
      <c r="F8" s="2">
        <f>'Design flow rate'!F8*0.7</f>
        <v>0.14659329999999998</v>
      </c>
      <c r="G8" s="2">
        <f>'Design flow rate'!G8*0.7</f>
        <v>0.13268779999999999</v>
      </c>
      <c r="H8" s="2">
        <f>'Design flow rate'!H8*0.7</f>
        <v>0.13807639999999999</v>
      </c>
      <c r="I8" s="2">
        <f>'Design flow rate'!I8*0.7</f>
        <v>0.1414966</v>
      </c>
      <c r="J8" s="2">
        <f>'Design flow rate'!J8*0.7</f>
        <v>0.1486912</v>
      </c>
      <c r="K8" s="2">
        <f>'Design flow rate'!K8*0.7</f>
        <v>0.15179219999999999</v>
      </c>
      <c r="L8" s="2">
        <f>'Design flow rate'!L8*0.7</f>
        <v>0.16148789999999999</v>
      </c>
      <c r="M8" s="2">
        <f>'Design flow rate'!M8*0.7</f>
        <v>0.15925420000000001</v>
      </c>
      <c r="N8" s="2">
        <f>'Design flow rate'!N8*0.7</f>
        <v>0.1557248</v>
      </c>
      <c r="O8" s="2">
        <f>'Design flow rate'!O8*0.7</f>
        <v>0.16091249999999999</v>
      </c>
      <c r="P8" s="2">
        <f>'Design flow rate'!P8*0.7</f>
        <v>0.16013619999999998</v>
      </c>
      <c r="Q8" s="2">
        <f>'Design flow rate'!Q8*0.7</f>
        <v>0.1652805</v>
      </c>
      <c r="R8" s="2">
        <f>'Design flow rate'!R8*0.7</f>
        <v>0.14507429999999999</v>
      </c>
      <c r="S8" s="2">
        <f>'Design flow rate'!S8*0.7</f>
        <v>0.1175783</v>
      </c>
      <c r="T8" s="2">
        <f>'Design flow rate'!T8*0.7</f>
        <v>0.14794058124999995</v>
      </c>
      <c r="U8" s="2">
        <f>'Design flow rate'!U8*0.7</f>
        <v>0.1652805</v>
      </c>
    </row>
    <row r="9" spans="1:24" x14ac:dyDescent="0.25">
      <c r="B9" s="3" t="s">
        <v>7</v>
      </c>
      <c r="C9" s="2">
        <f>'Design flow rate'!C9*0.7</f>
        <v>1.49891E-2</v>
      </c>
      <c r="D9" s="2">
        <f>'Design flow rate'!D9*0.7</f>
        <v>1.9063799999999999E-2</v>
      </c>
      <c r="E9" s="2">
        <f>'Design flow rate'!E9*0.7</f>
        <v>1.8039699999999999E-2</v>
      </c>
      <c r="F9" s="2">
        <f>'Design flow rate'!F9*0.7</f>
        <v>1.93137E-2</v>
      </c>
      <c r="G9" s="2">
        <f>'Design flow rate'!G9*0.7</f>
        <v>1.6956799999999998E-2</v>
      </c>
      <c r="H9" s="2">
        <f>'Design flow rate'!H9*0.7</f>
        <v>1.7677799999999997E-2</v>
      </c>
      <c r="I9" s="2">
        <f>'Design flow rate'!I9*0.7</f>
        <v>1.8008899999999998E-2</v>
      </c>
      <c r="J9" s="2">
        <f>'Design flow rate'!J9*0.7</f>
        <v>1.9378099999999999E-2</v>
      </c>
      <c r="K9" s="2">
        <f>'Design flow rate'!K9*0.7</f>
        <v>1.9515999999999999E-2</v>
      </c>
      <c r="L9" s="2">
        <f>'Design flow rate'!L9*0.7</f>
        <v>2.0572299999999998E-2</v>
      </c>
      <c r="M9" s="2">
        <f>'Design flow rate'!M9*0.7</f>
        <v>2.1217699999999999E-2</v>
      </c>
      <c r="N9" s="2">
        <f>'Design flow rate'!N9*0.7</f>
        <v>2.0458199999999999E-2</v>
      </c>
      <c r="O9" s="2">
        <f>'Design flow rate'!O9*0.7</f>
        <v>2.1285599999999998E-2</v>
      </c>
      <c r="P9" s="2">
        <f>'Design flow rate'!P9*0.7</f>
        <v>2.1415799999999999E-2</v>
      </c>
      <c r="Q9" s="2">
        <f>'Design flow rate'!Q9*0.7</f>
        <v>2.1946399999999998E-2</v>
      </c>
      <c r="R9" s="2">
        <f>'Design flow rate'!R9*0.7</f>
        <v>1.8785199999999998E-2</v>
      </c>
      <c r="S9" s="2">
        <f>'Design flow rate'!S9*0.7</f>
        <v>1.49891E-2</v>
      </c>
      <c r="T9" s="2">
        <f>'Design flow rate'!T9*0.7</f>
        <v>1.9289068749999999E-2</v>
      </c>
      <c r="U9" s="2">
        <f>'Design flow rate'!U9*0.7</f>
        <v>2.1946399999999998E-2</v>
      </c>
    </row>
    <row r="10" spans="1:24" x14ac:dyDescent="0.25">
      <c r="B10" s="3" t="s">
        <v>8</v>
      </c>
      <c r="C10" s="2">
        <f>'Design flow rate'!C10*0.7</f>
        <v>9.6963999999999995E-2</v>
      </c>
      <c r="D10" s="2">
        <f>'Design flow rate'!D10*0.7</f>
        <v>0.12082419999999999</v>
      </c>
      <c r="E10" s="2">
        <f>'Design flow rate'!E10*0.7</f>
        <v>0.11421269999999999</v>
      </c>
      <c r="F10" s="2">
        <f>'Design flow rate'!F10*0.7</f>
        <v>0.12164459999999998</v>
      </c>
      <c r="G10" s="2">
        <f>'Design flow rate'!G10*0.7</f>
        <v>0.1103949</v>
      </c>
      <c r="H10" s="2">
        <f>'Design flow rate'!H10*0.7</f>
        <v>0.11170599999999999</v>
      </c>
      <c r="I10" s="2">
        <f>'Design flow rate'!I10*0.7</f>
        <v>0.112427</v>
      </c>
      <c r="J10" s="2">
        <f>'Design flow rate'!J10*0.7</f>
        <v>0.12095649999999999</v>
      </c>
      <c r="K10" s="2">
        <f>'Design flow rate'!K10*0.7</f>
        <v>0.12361509999999999</v>
      </c>
      <c r="L10" s="2">
        <f>'Design flow rate'!L10*0.7</f>
        <v>0.12370749999999998</v>
      </c>
      <c r="M10" s="2">
        <f>'Design flow rate'!M10*0.7</f>
        <v>0.13078239999999999</v>
      </c>
      <c r="N10" s="2">
        <f>'Design flow rate'!N10*0.7</f>
        <v>0.1262702</v>
      </c>
      <c r="O10" s="2">
        <f>'Design flow rate'!O10*0.7</f>
        <v>0.1292711</v>
      </c>
      <c r="P10" s="2">
        <f>'Design flow rate'!P10*0.7</f>
        <v>0.1314649</v>
      </c>
      <c r="Q10" s="2">
        <f>'Design flow rate'!Q10*0.7</f>
        <v>0.13295239999999997</v>
      </c>
      <c r="R10" s="2">
        <f>'Design flow rate'!R10*0.7</f>
        <v>0.12128899999999999</v>
      </c>
      <c r="S10" s="2">
        <f>'Design flow rate'!S10*0.7</f>
        <v>9.6963999999999995E-2</v>
      </c>
      <c r="T10" s="2">
        <f>'Design flow rate'!T10*0.7</f>
        <v>0.12053015624999996</v>
      </c>
      <c r="U10" s="2">
        <f>'Design flow rate'!U10*0.7</f>
        <v>0.13295239999999997</v>
      </c>
    </row>
    <row r="11" spans="1:24" x14ac:dyDescent="0.25">
      <c r="B11" s="3" t="s">
        <v>9</v>
      </c>
      <c r="C11" s="2">
        <f>'Design flow rate'!C11*0.7</f>
        <v>7.2855999999999997E-3</v>
      </c>
      <c r="D11" s="2">
        <f>'Design flow rate'!D11*0.7</f>
        <v>9.0719999999999985E-3</v>
      </c>
      <c r="E11" s="2">
        <f>'Design flow rate'!E11*0.7</f>
        <v>8.7142999999999995E-3</v>
      </c>
      <c r="F11" s="2">
        <f>'Design flow rate'!F11*0.7</f>
        <v>9.1903000000000002E-3</v>
      </c>
      <c r="G11" s="2">
        <f>'Design flow rate'!G11*0.7</f>
        <v>8.3076000000000001E-3</v>
      </c>
      <c r="H11" s="2">
        <f>'Design flow rate'!H11*0.7</f>
        <v>8.4889000000000006E-3</v>
      </c>
      <c r="I11" s="2">
        <f>'Design flow rate'!I11*0.7</f>
        <v>8.4944999999999986E-3</v>
      </c>
      <c r="J11" s="2">
        <f>'Design flow rate'!J11*0.7</f>
        <v>9.1532000000000002E-3</v>
      </c>
      <c r="K11" s="2">
        <f>'Design flow rate'!K11*0.7</f>
        <v>9.5759999999999994E-3</v>
      </c>
      <c r="L11" s="2">
        <f>'Design flow rate'!L11*0.7</f>
        <v>8.9788999999999997E-3</v>
      </c>
      <c r="M11" s="2">
        <f>'Design flow rate'!M11*0.7</f>
        <v>9.9098999999999993E-3</v>
      </c>
      <c r="N11" s="2">
        <f>'Design flow rate'!N11*0.7</f>
        <v>9.2819999999999986E-3</v>
      </c>
      <c r="O11" s="2">
        <f>'Design flow rate'!O11*0.7</f>
        <v>9.6326999999999992E-3</v>
      </c>
      <c r="P11" s="2">
        <f>'Design flow rate'!P11*0.7</f>
        <v>9.8329000000000003E-3</v>
      </c>
      <c r="Q11" s="2">
        <f>'Design flow rate'!Q11*0.7</f>
        <v>9.8881999999999998E-3</v>
      </c>
      <c r="R11" s="2">
        <f>'Design flow rate'!R11*0.7</f>
        <v>9.0803999999999989E-3</v>
      </c>
      <c r="S11" s="2">
        <f>'Design flow rate'!S11*0.7</f>
        <v>7.2855999999999997E-3</v>
      </c>
      <c r="T11" s="2">
        <f>'Design flow rate'!T11*0.7</f>
        <v>9.0554625E-3</v>
      </c>
      <c r="U11" s="2">
        <f>'Design flow rate'!U11*0.7</f>
        <v>9.9098999999999993E-3</v>
      </c>
    </row>
    <row r="12" spans="1:24" x14ac:dyDescent="0.25">
      <c r="B12" s="8" t="s">
        <v>10</v>
      </c>
      <c r="C12" s="2">
        <f>'Design flow rate'!C12*0.7</f>
        <v>6.4326499999999995E-2</v>
      </c>
      <c r="D12" s="2">
        <f>'Design flow rate'!D12*0.7</f>
        <v>8.554769999999999E-2</v>
      </c>
      <c r="E12" s="2">
        <f>'Design flow rate'!E12*0.7</f>
        <v>8.0906699999999998E-2</v>
      </c>
      <c r="F12" s="2">
        <f>'Design flow rate'!F12*0.7</f>
        <v>8.7632999999999989E-2</v>
      </c>
      <c r="G12" s="2">
        <f>'Design flow rate'!G12*0.7</f>
        <v>7.6965699999999984E-2</v>
      </c>
      <c r="H12" s="2">
        <f>'Design flow rate'!H12*0.7</f>
        <v>8.2245100000000002E-2</v>
      </c>
      <c r="I12" s="2">
        <f>'Design flow rate'!I12*0.7</f>
        <v>8.5932699999999987E-2</v>
      </c>
      <c r="J12" s="2">
        <f>'Design flow rate'!J12*0.7</f>
        <v>8.9933899999999997E-2</v>
      </c>
      <c r="K12" s="2">
        <f>'Design flow rate'!K12*0.7</f>
        <v>9.3949099999999994E-2</v>
      </c>
      <c r="L12" s="2">
        <f>'Design flow rate'!L12*0.7</f>
        <v>0.1011465</v>
      </c>
      <c r="M12" s="2">
        <f>'Design flow rate'!M12*0.7</f>
        <v>9.5529699999999995E-2</v>
      </c>
      <c r="N12" s="2">
        <f>'Design flow rate'!N12*0.7</f>
        <v>9.2388799999999993E-2</v>
      </c>
      <c r="O12" s="2">
        <f>'Design flow rate'!O12*0.7</f>
        <v>9.719499999999999E-2</v>
      </c>
      <c r="P12" s="2">
        <f>'Design flow rate'!P12*0.7</f>
        <v>9.4906000000000004E-2</v>
      </c>
      <c r="Q12" s="2">
        <f>'Design flow rate'!Q12*0.7</f>
        <v>0.1000286</v>
      </c>
      <c r="R12" s="2">
        <f>'Design flow rate'!R12*0.7</f>
        <v>8.2357799999999995E-2</v>
      </c>
      <c r="S12" s="2">
        <f>'Design flow rate'!S12*0.7</f>
        <v>6.4326499999999995E-2</v>
      </c>
      <c r="T12" s="2">
        <f>'Design flow rate'!T12*0.7</f>
        <v>8.8187049999999989E-2</v>
      </c>
      <c r="U12" s="2">
        <f>'Design flow rate'!U12*0.7</f>
        <v>0.1011465</v>
      </c>
    </row>
    <row r="13" spans="1:24" x14ac:dyDescent="0.25">
      <c r="B13" s="8" t="s">
        <v>639</v>
      </c>
      <c r="C13" s="9">
        <f>'Design flow rate'!C13*0.7</f>
        <v>1.2004300000000001E-2</v>
      </c>
      <c r="D13" s="9">
        <f>'Design flow rate'!D13*0.7</f>
        <v>1.6040499999999999E-2</v>
      </c>
      <c r="E13" s="9">
        <f>'Design flow rate'!E13*0.7</f>
        <v>1.5101799999999999E-2</v>
      </c>
      <c r="F13" s="9">
        <f>'Design flow rate'!F13*0.7</f>
        <v>1.6264499999999998E-2</v>
      </c>
      <c r="G13" s="9">
        <f>'Design flow rate'!G13*0.7</f>
        <v>1.3923E-2</v>
      </c>
      <c r="H13" s="9">
        <f>'Design flow rate'!H13*0.7</f>
        <v>1.4688100000000001E-2</v>
      </c>
      <c r="I13" s="9">
        <f>'Design flow rate'!I13*0.7</f>
        <v>1.49786E-2</v>
      </c>
      <c r="J13" s="9">
        <f>'Design flow rate'!J13*0.7</f>
        <v>1.6433199999999999E-2</v>
      </c>
      <c r="K13" s="9">
        <f>'Design flow rate'!K13*0.7</f>
        <v>1.6467499999999999E-2</v>
      </c>
      <c r="L13" s="9">
        <f>'Design flow rate'!L13*0.7</f>
        <v>1.7943799999999999E-2</v>
      </c>
      <c r="M13" s="9">
        <f>'Design flow rate'!M13*0.7</f>
        <v>1.8580800000000001E-2</v>
      </c>
      <c r="N13" s="9">
        <f>'Design flow rate'!N13*0.7</f>
        <v>1.79683E-2</v>
      </c>
      <c r="O13" s="9">
        <f>'Design flow rate'!O13*0.7</f>
        <v>1.88153E-2</v>
      </c>
      <c r="P13" s="9">
        <f>'Design flow rate'!P13*0.7</f>
        <v>1.8612999999999998E-2</v>
      </c>
      <c r="Q13" s="9">
        <f>'Design flow rate'!Q13*0.7</f>
        <v>1.9268199999999999E-2</v>
      </c>
      <c r="R13" s="10">
        <f>'Design flow rate'!R13*0.7</f>
        <v>1.62372E-2</v>
      </c>
      <c r="S13" s="2">
        <f>'Design flow rate'!S13*0.7</f>
        <v>1.2004300000000001E-2</v>
      </c>
      <c r="T13" s="2">
        <f>'Design flow rate'!T13*0.7</f>
        <v>1.6458006249999997E-2</v>
      </c>
      <c r="U13" s="2">
        <f>'Design flow rate'!U13*0.7</f>
        <v>1.9268199999999999E-2</v>
      </c>
    </row>
    <row r="16" spans="1:24" x14ac:dyDescent="0.25">
      <c r="B16" t="s">
        <v>641</v>
      </c>
      <c r="S16" s="23" t="s">
        <v>650</v>
      </c>
      <c r="T16" s="23"/>
      <c r="U16" s="23"/>
    </row>
    <row r="17" spans="2:21" x14ac:dyDescent="0.25">
      <c r="B17" s="5" t="s">
        <v>0</v>
      </c>
      <c r="C17" s="6" t="s">
        <v>11</v>
      </c>
      <c r="D17" s="6" t="s">
        <v>12</v>
      </c>
      <c r="E17" s="6" t="s">
        <v>13</v>
      </c>
      <c r="F17" s="6" t="s">
        <v>14</v>
      </c>
      <c r="G17" s="6" t="s">
        <v>15</v>
      </c>
      <c r="H17" s="6" t="s">
        <v>16</v>
      </c>
      <c r="I17" s="6" t="s">
        <v>17</v>
      </c>
      <c r="J17" s="6" t="s">
        <v>18</v>
      </c>
      <c r="K17" s="6" t="s">
        <v>19</v>
      </c>
      <c r="L17" s="6" t="s">
        <v>20</v>
      </c>
      <c r="M17" s="6" t="s">
        <v>21</v>
      </c>
      <c r="N17" s="6" t="s">
        <v>22</v>
      </c>
      <c r="O17" s="6" t="s">
        <v>23</v>
      </c>
      <c r="P17" s="6" t="s">
        <v>24</v>
      </c>
      <c r="Q17" s="6" t="s">
        <v>25</v>
      </c>
      <c r="R17" s="7" t="s">
        <v>26</v>
      </c>
      <c r="S17" s="6" t="s">
        <v>642</v>
      </c>
      <c r="T17" s="6" t="s">
        <v>644</v>
      </c>
      <c r="U17" s="6" t="s">
        <v>645</v>
      </c>
    </row>
    <row r="18" spans="2:21" x14ac:dyDescent="0.25">
      <c r="B18" s="3" t="s">
        <v>3</v>
      </c>
      <c r="C18" s="2">
        <f>'Design flow rate'!C18*0.7</f>
        <v>7.5866000000000003E-2</v>
      </c>
      <c r="D18" s="2">
        <f>'Design flow rate'!D18*0.7</f>
        <v>0.10569579999999999</v>
      </c>
      <c r="E18" s="2">
        <f>'Design flow rate'!E18*0.7</f>
        <v>9.8077700000000004E-2</v>
      </c>
      <c r="F18" s="2">
        <f>'Design flow rate'!F18*0.7</f>
        <v>0.10717979999999999</v>
      </c>
      <c r="G18" s="2">
        <f>'Design flow rate'!G18*0.7</f>
        <v>9.1604099999999994E-2</v>
      </c>
      <c r="H18" s="2">
        <f>'Design flow rate'!H18*0.7</f>
        <v>9.7184499999999979E-2</v>
      </c>
      <c r="I18" s="2">
        <f>'Design flow rate'!I18*0.7</f>
        <v>9.9945299999999987E-2</v>
      </c>
      <c r="J18" s="2">
        <f>'Design flow rate'!J18*0.7</f>
        <v>0.10883039999999999</v>
      </c>
      <c r="K18" s="2">
        <f>'Design flow rate'!K18*0.7</f>
        <v>0.10984960000000001</v>
      </c>
      <c r="L18" s="2">
        <f>'Design flow rate'!L18*0.7</f>
        <v>0.12046509999999999</v>
      </c>
      <c r="M18" s="2">
        <f>'Design flow rate'!M18*0.7</f>
        <v>0.1101401</v>
      </c>
      <c r="N18" s="2">
        <f>'Design flow rate'!N18*0.7</f>
        <v>0.1102556</v>
      </c>
      <c r="O18" s="2">
        <f>'Design flow rate'!O18*0.7</f>
        <v>0.1135386</v>
      </c>
      <c r="P18" s="2">
        <f>'Design flow rate'!P18*0.7</f>
        <v>0.11340839999999998</v>
      </c>
      <c r="Q18" s="2">
        <f>'Design flow rate'!Q18*0.7</f>
        <v>0.11837139999999999</v>
      </c>
      <c r="R18" s="2">
        <f>'Design flow rate'!R18*0.7</f>
        <v>9.8578200000000005E-2</v>
      </c>
      <c r="S18" s="2">
        <f>'Design flow rate'!S18*0.7</f>
        <v>7.5866000000000003E-2</v>
      </c>
      <c r="T18" s="2">
        <f>'Design flow rate'!T18*0.7</f>
        <v>0.10493691250000001</v>
      </c>
      <c r="U18" s="2">
        <f>'Design flow rate'!U18*0.7</f>
        <v>0.12046509999999999</v>
      </c>
    </row>
    <row r="19" spans="2:21" x14ac:dyDescent="0.25">
      <c r="B19" s="3" t="s">
        <v>4</v>
      </c>
      <c r="C19" s="2">
        <f>'Design flow rate'!C19*0.7</f>
        <v>1.1538799999999998E-2</v>
      </c>
      <c r="D19" s="2">
        <f>'Design flow rate'!D19*0.7</f>
        <v>1.6596999999999997E-2</v>
      </c>
      <c r="E19" s="2">
        <f>'Design flow rate'!E19*0.7</f>
        <v>1.5527399999999998E-2</v>
      </c>
      <c r="F19" s="2">
        <f>'Design flow rate'!F19*0.7</f>
        <v>1.6882599999999998E-2</v>
      </c>
      <c r="G19" s="2">
        <f>'Design flow rate'!G19*0.7</f>
        <v>1.4361199999999999E-2</v>
      </c>
      <c r="H19" s="2">
        <f>'Design flow rate'!H19*0.7</f>
        <v>1.55225E-2</v>
      </c>
      <c r="I19" s="2">
        <f>'Design flow rate'!I19*0.7</f>
        <v>1.5970499999999999E-2</v>
      </c>
      <c r="J19" s="2">
        <f>'Design flow rate'!J19*0.7</f>
        <v>1.7337599999999998E-2</v>
      </c>
      <c r="K19" s="2">
        <f>'Design flow rate'!K19*0.7</f>
        <v>1.74699E-2</v>
      </c>
      <c r="L19" s="2">
        <f>'Design flow rate'!L19*0.7</f>
        <v>1.8886E-2</v>
      </c>
      <c r="M19" s="2">
        <f>'Design flow rate'!M19*0.7</f>
        <v>1.62904E-2</v>
      </c>
      <c r="N19" s="2">
        <f>'Design flow rate'!N19*0.7</f>
        <v>1.6157399999999999E-2</v>
      </c>
      <c r="O19" s="2">
        <f>'Design flow rate'!O19*0.7</f>
        <v>1.68903E-2</v>
      </c>
      <c r="P19" s="2">
        <f>'Design flow rate'!P19*0.7</f>
        <v>1.6928800000000001E-2</v>
      </c>
      <c r="Q19" s="2">
        <f>'Design flow rate'!Q19*0.7</f>
        <v>1.7803799999999998E-2</v>
      </c>
      <c r="R19" s="2">
        <f>'Design flow rate'!R19*0.7</f>
        <v>1.4403900000000001E-2</v>
      </c>
      <c r="S19" s="2">
        <f>'Design flow rate'!S19*0.7</f>
        <v>1.1538799999999998E-2</v>
      </c>
      <c r="T19" s="2">
        <f>'Design flow rate'!T19*0.7</f>
        <v>1.6160506250000001E-2</v>
      </c>
      <c r="U19" s="2">
        <f>'Design flow rate'!U19*0.7</f>
        <v>1.8886E-2</v>
      </c>
    </row>
    <row r="20" spans="2:21" x14ac:dyDescent="0.25">
      <c r="B20" s="3" t="s">
        <v>5</v>
      </c>
      <c r="C20" s="2">
        <f>'Design flow rate'!C20*0.7</f>
        <v>0.1782802</v>
      </c>
      <c r="D20" s="2">
        <f>'Design flow rate'!D20*0.7</f>
        <v>0.21421960000000001</v>
      </c>
      <c r="E20" s="2">
        <f>'Design flow rate'!E20*0.7</f>
        <v>0.20756189999999997</v>
      </c>
      <c r="F20" s="2">
        <f>'Design flow rate'!F20*0.7</f>
        <v>0.21654569999999998</v>
      </c>
      <c r="G20" s="2">
        <f>'Design flow rate'!G20*0.7</f>
        <v>0.19278209999999998</v>
      </c>
      <c r="H20" s="2">
        <f>'Design flow rate'!H20*0.7</f>
        <v>0.20246799999999998</v>
      </c>
      <c r="I20" s="2">
        <f>'Design flow rate'!I20*0.7</f>
        <v>0.20924329999999999</v>
      </c>
      <c r="J20" s="2">
        <f>'Design flow rate'!J20*0.7</f>
        <v>0.21862190000000001</v>
      </c>
      <c r="K20" s="2">
        <f>'Design flow rate'!K20*0.7</f>
        <v>0.21543970000000001</v>
      </c>
      <c r="L20" s="2">
        <f>'Design flow rate'!L20*0.7</f>
        <v>0.23641239999999997</v>
      </c>
      <c r="M20" s="2">
        <f>'Design flow rate'!M20*0.7</f>
        <v>0.23196739999999999</v>
      </c>
      <c r="N20" s="2">
        <f>'Design flow rate'!N20*0.7</f>
        <v>0.2274111</v>
      </c>
      <c r="O20" s="2">
        <f>'Design flow rate'!O20*0.7</f>
        <v>0.23702980000000001</v>
      </c>
      <c r="P20" s="2">
        <f>'Design flow rate'!P20*0.7</f>
        <v>0.23781099999999997</v>
      </c>
      <c r="Q20" s="2">
        <f>'Design flow rate'!Q20*0.7</f>
        <v>0.24677029999999997</v>
      </c>
      <c r="R20" s="2">
        <f>'Design flow rate'!R20*0.7</f>
        <v>0.2089346</v>
      </c>
      <c r="S20" s="2">
        <f>'Design flow rate'!S20*0.7</f>
        <v>0.1782802</v>
      </c>
      <c r="T20" s="2">
        <f>'Design flow rate'!T20*0.7</f>
        <v>0.21759368750000002</v>
      </c>
      <c r="U20" s="2">
        <f>'Design flow rate'!U20*0.7</f>
        <v>0.24677029999999997</v>
      </c>
    </row>
    <row r="21" spans="2:21" x14ac:dyDescent="0.25">
      <c r="B21" s="3" t="s">
        <v>6</v>
      </c>
      <c r="C21" s="2">
        <f>'Design flow rate'!C21*0.7</f>
        <v>0.1000762</v>
      </c>
      <c r="D21" s="2">
        <f>'Design flow rate'!D21*0.7</f>
        <v>0.1346667</v>
      </c>
      <c r="E21" s="2">
        <f>'Design flow rate'!E21*0.7</f>
        <v>0.12662089999999998</v>
      </c>
      <c r="F21" s="2">
        <f>'Design flow rate'!F21*0.7</f>
        <v>0.13629139999999998</v>
      </c>
      <c r="G21" s="2">
        <f>'Design flow rate'!G21*0.7</f>
        <v>0.12110629999999999</v>
      </c>
      <c r="H21" s="2">
        <f>'Design flow rate'!H21*0.7</f>
        <v>0.12712909999999999</v>
      </c>
      <c r="I21" s="2">
        <f>'Design flow rate'!I21*0.7</f>
        <v>0.12939709999999999</v>
      </c>
      <c r="J21" s="2">
        <f>'Design flow rate'!J21*0.7</f>
        <v>0.1386154</v>
      </c>
      <c r="K21" s="2">
        <f>'Design flow rate'!K21*0.7</f>
        <v>0.14189209999999999</v>
      </c>
      <c r="L21" s="2">
        <f>'Design flow rate'!L21*0.7</f>
        <v>0.14987489999999998</v>
      </c>
      <c r="M21" s="2">
        <f>'Design flow rate'!M21*0.7</f>
        <v>0.13031760000000001</v>
      </c>
      <c r="N21" s="2">
        <f>'Design flow rate'!N21*0.7</f>
        <v>0.1309294</v>
      </c>
      <c r="O21" s="2">
        <f>'Design flow rate'!O21*0.7</f>
        <v>0.1339765</v>
      </c>
      <c r="P21" s="2">
        <f>'Design flow rate'!P21*0.7</f>
        <v>0.13398979999999999</v>
      </c>
      <c r="Q21" s="2">
        <f>'Design flow rate'!Q21*0.7</f>
        <v>0.13873159999999998</v>
      </c>
      <c r="R21" s="2">
        <f>'Design flow rate'!R21*0.7</f>
        <v>0.12160119999999999</v>
      </c>
      <c r="S21" s="2">
        <f>'Design flow rate'!S21*0.7</f>
        <v>0.1000762</v>
      </c>
      <c r="T21" s="2">
        <f>'Design flow rate'!T21*0.7</f>
        <v>0.13095101249999999</v>
      </c>
      <c r="U21" s="2">
        <f>'Design flow rate'!U21*0.7</f>
        <v>0.14987489999999998</v>
      </c>
    </row>
    <row r="22" spans="2:21" x14ac:dyDescent="0.25">
      <c r="B22" s="3" t="s">
        <v>7</v>
      </c>
      <c r="C22" s="2">
        <f>'Design flow rate'!C22*0.7</f>
        <v>1.07156E-2</v>
      </c>
      <c r="D22" s="2">
        <f>'Design flow rate'!D22*0.7</f>
        <v>1.3789999999999998E-2</v>
      </c>
      <c r="E22" s="2">
        <f>'Design flow rate'!E22*0.7</f>
        <v>1.3325200000000001E-2</v>
      </c>
      <c r="F22" s="2">
        <f>'Design flow rate'!F22*0.7</f>
        <v>1.4020299999999999E-2</v>
      </c>
      <c r="G22" s="2">
        <f>'Design flow rate'!G22*0.7</f>
        <v>1.2341700000000001E-2</v>
      </c>
      <c r="H22" s="2">
        <f>'Design flow rate'!H22*0.7</f>
        <v>1.3183099999999998E-2</v>
      </c>
      <c r="I22" s="2">
        <f>'Design flow rate'!I22*0.7</f>
        <v>1.3622699999999998E-2</v>
      </c>
      <c r="J22" s="2">
        <f>'Design flow rate'!J22*0.7</f>
        <v>1.4570499999999998E-2</v>
      </c>
      <c r="K22" s="2">
        <f>'Design flow rate'!K22*0.7</f>
        <v>1.40147E-2</v>
      </c>
      <c r="L22" s="2">
        <f>'Design flow rate'!L22*0.7</f>
        <v>1.57682E-2</v>
      </c>
      <c r="M22" s="2">
        <f>'Design flow rate'!M22*0.7</f>
        <v>1.5531599999999998E-2</v>
      </c>
      <c r="N22" s="2">
        <f>'Design flow rate'!N22*0.7</f>
        <v>1.5325099999999998E-2</v>
      </c>
      <c r="O22" s="2">
        <f>'Design flow rate'!O22*0.7</f>
        <v>1.6070599999999997E-2</v>
      </c>
      <c r="P22" s="2">
        <f>'Design flow rate'!P22*0.7</f>
        <v>1.6050999999999999E-2</v>
      </c>
      <c r="Q22" s="2">
        <f>'Design flow rate'!Q22*0.7</f>
        <v>1.65725E-2</v>
      </c>
      <c r="R22" s="2">
        <f>'Design flow rate'!R22*0.7</f>
        <v>1.3847399999999999E-2</v>
      </c>
      <c r="S22" s="2">
        <f>'Design flow rate'!S22*0.7</f>
        <v>1.07156E-2</v>
      </c>
      <c r="T22" s="2">
        <f>'Design flow rate'!T22*0.7</f>
        <v>1.4296887499999999E-2</v>
      </c>
      <c r="U22" s="2">
        <f>'Design flow rate'!U22*0.7</f>
        <v>1.65725E-2</v>
      </c>
    </row>
    <row r="23" spans="2:21" x14ac:dyDescent="0.25">
      <c r="B23" s="3" t="s">
        <v>8</v>
      </c>
      <c r="C23" s="2">
        <f>'Design flow rate'!C23*0.7</f>
        <v>6.3168699999999994E-2</v>
      </c>
      <c r="D23" s="2">
        <f>'Design flow rate'!D23*0.7</f>
        <v>7.8842399999999993E-2</v>
      </c>
      <c r="E23" s="2">
        <f>'Design flow rate'!E23*0.7</f>
        <v>7.4781699999999993E-2</v>
      </c>
      <c r="F23" s="2">
        <f>'Design flow rate'!F23*0.7</f>
        <v>7.928339999999999E-2</v>
      </c>
      <c r="G23" s="2">
        <f>'Design flow rate'!G23*0.7</f>
        <v>7.0873599999999995E-2</v>
      </c>
      <c r="H23" s="2">
        <f>'Design flow rate'!H23*0.7</f>
        <v>7.34041E-2</v>
      </c>
      <c r="I23" s="2">
        <f>'Design flow rate'!I23*0.7</f>
        <v>7.5016199999999991E-2</v>
      </c>
      <c r="J23" s="2">
        <f>'Design flow rate'!J23*0.7</f>
        <v>7.9692199999999991E-2</v>
      </c>
      <c r="K23" s="2">
        <f>'Design flow rate'!K23*0.7</f>
        <v>7.8271199999999999E-2</v>
      </c>
      <c r="L23" s="2">
        <f>'Design flow rate'!L23*0.7</f>
        <v>8.7020499999999987E-2</v>
      </c>
      <c r="M23" s="2">
        <f>'Design flow rate'!M23*0.7</f>
        <v>8.6551500000000003E-2</v>
      </c>
      <c r="N23" s="2">
        <f>'Design flow rate'!N23*0.7</f>
        <v>8.5157099999999999E-2</v>
      </c>
      <c r="O23" s="2">
        <f>'Design flow rate'!O23*0.7</f>
        <v>8.7559499999999998E-2</v>
      </c>
      <c r="P23" s="2">
        <f>'Design flow rate'!P23*0.7</f>
        <v>8.9077799999999999E-2</v>
      </c>
      <c r="Q23" s="2">
        <f>'Design flow rate'!Q23*0.7</f>
        <v>9.2005199999999995E-2</v>
      </c>
      <c r="R23" s="2">
        <f>'Design flow rate'!R23*0.7</f>
        <v>8.2134499999999985E-2</v>
      </c>
      <c r="S23" s="2">
        <f>'Design flow rate'!S23*0.7</f>
        <v>6.3168699999999994E-2</v>
      </c>
      <c r="T23" s="2">
        <f>'Design flow rate'!T23*0.7</f>
        <v>8.0177474999999998E-2</v>
      </c>
      <c r="U23" s="2">
        <f>'Design flow rate'!U23*0.7</f>
        <v>9.2005199999999995E-2</v>
      </c>
    </row>
    <row r="24" spans="2:21" x14ac:dyDescent="0.25">
      <c r="B24" s="3" t="s">
        <v>9</v>
      </c>
      <c r="C24" s="2">
        <f>'Design flow rate'!C24*0.7</f>
        <v>3.7813999999999994E-3</v>
      </c>
      <c r="D24" s="2">
        <f>'Design flow rate'!D24*0.7</f>
        <v>4.8425999999999999E-3</v>
      </c>
      <c r="E24" s="2">
        <f>'Design flow rate'!E24*0.7</f>
        <v>4.7529999999999994E-3</v>
      </c>
      <c r="F24" s="2">
        <f>'Design flow rate'!F24*0.7</f>
        <v>4.9300999999999998E-3</v>
      </c>
      <c r="G24" s="2">
        <f>'Design flow rate'!G24*0.7</f>
        <v>4.4078999999999993E-3</v>
      </c>
      <c r="H24" s="2">
        <f>'Design flow rate'!H24*0.7</f>
        <v>4.7648999999999999E-3</v>
      </c>
      <c r="I24" s="2">
        <f>'Design flow rate'!I24*0.7</f>
        <v>4.8691999999999997E-3</v>
      </c>
      <c r="J24" s="2">
        <f>'Design flow rate'!J24*0.7</f>
        <v>5.208E-3</v>
      </c>
      <c r="K24" s="2">
        <f>'Design flow rate'!K24*0.7</f>
        <v>4.8978999999999993E-3</v>
      </c>
      <c r="L24" s="2">
        <f>'Design flow rate'!L24*0.7</f>
        <v>5.4348E-3</v>
      </c>
      <c r="M24" s="2">
        <f>'Design flow rate'!M24*0.7</f>
        <v>5.3276999999999995E-3</v>
      </c>
      <c r="N24" s="2">
        <f>'Design flow rate'!N24*0.7</f>
        <v>5.1148999999999995E-3</v>
      </c>
      <c r="O24" s="2">
        <f>'Design flow rate'!O24*0.7</f>
        <v>5.4235999999999998E-3</v>
      </c>
      <c r="P24" s="2">
        <f>'Design flow rate'!P24*0.7</f>
        <v>5.6167999999999999E-3</v>
      </c>
      <c r="Q24" s="2">
        <f>'Design flow rate'!Q24*0.7</f>
        <v>5.7799000000000001E-3</v>
      </c>
      <c r="R24" s="2">
        <f>'Design flow rate'!R24*0.7</f>
        <v>5.0932E-3</v>
      </c>
      <c r="S24" s="2">
        <f>'Design flow rate'!S24*0.7</f>
        <v>3.7813999999999994E-3</v>
      </c>
      <c r="T24" s="2">
        <f>'Design flow rate'!T24*0.7</f>
        <v>5.0153687500000006E-3</v>
      </c>
      <c r="U24" s="2">
        <f>'Design flow rate'!U24*0.7</f>
        <v>5.7799000000000001E-3</v>
      </c>
    </row>
    <row r="25" spans="2:21" x14ac:dyDescent="0.25">
      <c r="B25" s="8" t="s">
        <v>10</v>
      </c>
      <c r="C25" s="2">
        <f>'Design flow rate'!C25*0.7</f>
        <v>4.5943099999999994E-2</v>
      </c>
      <c r="D25" s="2">
        <f>'Design flow rate'!D25*0.7</f>
        <v>8.0937499999999996E-2</v>
      </c>
      <c r="E25" s="2">
        <f>'Design flow rate'!E25*0.7</f>
        <v>7.5215699999999996E-2</v>
      </c>
      <c r="F25" s="2">
        <f>'Design flow rate'!F25*0.7</f>
        <v>8.2784099999999985E-2</v>
      </c>
      <c r="G25" s="2">
        <f>'Design flow rate'!G25*0.7</f>
        <v>7.0573300000000005E-2</v>
      </c>
      <c r="H25" s="2">
        <f>'Design flow rate'!H25*0.7</f>
        <v>7.642249999999999E-2</v>
      </c>
      <c r="I25" s="2">
        <f>'Design flow rate'!I25*0.7</f>
        <v>7.82635E-2</v>
      </c>
      <c r="J25" s="2">
        <f>'Design flow rate'!J25*0.7</f>
        <v>8.5529499999999994E-2</v>
      </c>
      <c r="K25" s="2">
        <f>'Design flow rate'!K25*0.7</f>
        <v>9.1115500000000002E-2</v>
      </c>
      <c r="L25" s="2">
        <f>'Design flow rate'!L25*0.7</f>
        <v>9.2799699999999985E-2</v>
      </c>
      <c r="M25" s="2">
        <f>'Design flow rate'!M25*0.7</f>
        <v>6.595609999999999E-2</v>
      </c>
      <c r="N25" s="2">
        <f>'Design flow rate'!N25*0.7</f>
        <v>6.6855599999999987E-2</v>
      </c>
      <c r="O25" s="2">
        <f>'Design flow rate'!O25*0.7</f>
        <v>6.9625499999999993E-2</v>
      </c>
      <c r="P25" s="2">
        <f>'Design flow rate'!P25*0.7</f>
        <v>6.8971699999999997E-2</v>
      </c>
      <c r="Q25" s="2">
        <f>'Design flow rate'!Q25*0.7</f>
        <v>7.3410400000000001E-2</v>
      </c>
      <c r="R25" s="2">
        <f>'Design flow rate'!R25*0.7</f>
        <v>5.8260299999999994E-2</v>
      </c>
      <c r="S25" s="2">
        <f>'Design flow rate'!S25*0.7</f>
        <v>4.5943099999999994E-2</v>
      </c>
      <c r="T25" s="2">
        <f>'Design flow rate'!T25*0.7</f>
        <v>7.3916499999999982E-2</v>
      </c>
      <c r="U25" s="2">
        <f>'Design flow rate'!U25*0.7</f>
        <v>9.2799699999999985E-2</v>
      </c>
    </row>
    <row r="26" spans="2:21" x14ac:dyDescent="0.25">
      <c r="B26" s="8" t="s">
        <v>639</v>
      </c>
      <c r="C26" s="9">
        <f>'Design flow rate'!C26*0.7</f>
        <v>1.05875E-2</v>
      </c>
      <c r="D26" s="9">
        <f>'Design flow rate'!D26*0.7</f>
        <v>1.38236E-2</v>
      </c>
      <c r="E26" s="9">
        <f>'Design flow rate'!E26*0.7</f>
        <v>1.3032599999999998E-2</v>
      </c>
      <c r="F26" s="9">
        <f>'Design flow rate'!F26*0.7</f>
        <v>1.40147E-2</v>
      </c>
      <c r="G26" s="9">
        <f>'Design flow rate'!G26*0.7</f>
        <v>1.2091099999999999E-2</v>
      </c>
      <c r="H26" s="9">
        <f>'Design flow rate'!H26*0.7</f>
        <v>1.2816299999999999E-2</v>
      </c>
      <c r="I26" s="9">
        <f>'Design flow rate'!I26*0.7</f>
        <v>1.3467999999999999E-2</v>
      </c>
      <c r="J26" s="9">
        <f>'Design flow rate'!J26*0.7</f>
        <v>1.4254099999999999E-2</v>
      </c>
      <c r="K26" s="9">
        <f>'Design flow rate'!K26*0.7</f>
        <v>1.4147699999999999E-2</v>
      </c>
      <c r="L26" s="9">
        <f>'Design flow rate'!L26*0.7</f>
        <v>1.5866199999999997E-2</v>
      </c>
      <c r="M26" s="9">
        <f>'Design flow rate'!M26*0.7</f>
        <v>1.60608E-2</v>
      </c>
      <c r="N26" s="9">
        <f>'Design flow rate'!N26*0.7</f>
        <v>1.5834000000000001E-2</v>
      </c>
      <c r="O26" s="9">
        <f>'Design flow rate'!O26*0.7</f>
        <v>1.652E-2</v>
      </c>
      <c r="P26" s="9">
        <f>'Design flow rate'!P26*0.7</f>
        <v>1.6589999999999997E-2</v>
      </c>
      <c r="Q26" s="9">
        <f>'Design flow rate'!Q26*0.7</f>
        <v>1.7092599999999999E-2</v>
      </c>
      <c r="R26" s="10">
        <f>'Design flow rate'!R26*0.7</f>
        <v>1.41484E-2</v>
      </c>
      <c r="S26" s="2">
        <f>'Design flow rate'!S26*0.7</f>
        <v>1.05875E-2</v>
      </c>
      <c r="T26" s="2">
        <f>'Design flow rate'!T26*0.7</f>
        <v>1.4396724999999997E-2</v>
      </c>
      <c r="U26" s="2">
        <f>'Design flow rate'!U26*0.7</f>
        <v>1.7092599999999999E-2</v>
      </c>
    </row>
    <row r="28" spans="2:21" ht="15.75" thickBot="1" x14ac:dyDescent="0.3">
      <c r="B28" s="22" t="s">
        <v>653</v>
      </c>
    </row>
    <row r="29" spans="2:21" x14ac:dyDescent="0.25">
      <c r="B29" s="12" t="s">
        <v>646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4"/>
    </row>
    <row r="30" spans="2:21" x14ac:dyDescent="0.25">
      <c r="B30" s="15" t="s">
        <v>3</v>
      </c>
      <c r="C30" s="18">
        <f t="shared" ref="C30:R30" si="0">C5*$W$5</f>
        <v>97.497462999999982</v>
      </c>
      <c r="D30" s="18">
        <f t="shared" si="0"/>
        <v>125.36512449999996</v>
      </c>
      <c r="E30" s="18">
        <f t="shared" si="0"/>
        <v>117.82969099999998</v>
      </c>
      <c r="F30" s="18">
        <f t="shared" si="0"/>
        <v>126.93851799999997</v>
      </c>
      <c r="G30" s="18">
        <f t="shared" si="0"/>
        <v>111.37383249999999</v>
      </c>
      <c r="H30" s="18">
        <f t="shared" si="0"/>
        <v>116.12674849999999</v>
      </c>
      <c r="I30" s="18">
        <f t="shared" si="0"/>
        <v>119.093142</v>
      </c>
      <c r="J30" s="18">
        <f t="shared" si="0"/>
        <v>127.83073450000001</v>
      </c>
      <c r="K30" s="18">
        <f t="shared" si="0"/>
        <v>129.58661099999998</v>
      </c>
      <c r="L30" s="18">
        <f t="shared" si="0"/>
        <v>139.01931049999999</v>
      </c>
      <c r="M30" s="18">
        <f t="shared" si="0"/>
        <v>140.5390735</v>
      </c>
      <c r="N30" s="18">
        <f t="shared" si="0"/>
        <v>137.0927915</v>
      </c>
      <c r="O30" s="18">
        <f t="shared" si="0"/>
        <v>141.47516949999999</v>
      </c>
      <c r="P30" s="18">
        <f t="shared" si="0"/>
        <v>141.17079899999999</v>
      </c>
      <c r="Q30" s="18">
        <f t="shared" si="0"/>
        <v>146.13614749999999</v>
      </c>
      <c r="R30" s="19">
        <f t="shared" si="0"/>
        <v>123.95053300000001</v>
      </c>
    </row>
    <row r="31" spans="2:21" x14ac:dyDescent="0.25">
      <c r="B31" s="15" t="s">
        <v>4</v>
      </c>
      <c r="C31" s="18">
        <f t="shared" ref="C31:R31" si="1">C6*$W$5</f>
        <v>16.183177499999999</v>
      </c>
      <c r="D31" s="18">
        <f t="shared" si="1"/>
        <v>20.781470499999998</v>
      </c>
      <c r="E31" s="18">
        <f t="shared" si="1"/>
        <v>19.713735999999997</v>
      </c>
      <c r="F31" s="18">
        <f t="shared" si="1"/>
        <v>21.103253499999997</v>
      </c>
      <c r="G31" s="18">
        <f t="shared" si="1"/>
        <v>18.560331999999999</v>
      </c>
      <c r="H31" s="18">
        <f t="shared" si="1"/>
        <v>19.426081499999999</v>
      </c>
      <c r="I31" s="18">
        <f t="shared" si="1"/>
        <v>19.9066665</v>
      </c>
      <c r="J31" s="18">
        <f t="shared" si="1"/>
        <v>21.285039999999999</v>
      </c>
      <c r="K31" s="18">
        <f t="shared" si="1"/>
        <v>21.856169999999995</v>
      </c>
      <c r="L31" s="18">
        <f t="shared" si="1"/>
        <v>22.642518500000001</v>
      </c>
      <c r="M31" s="18">
        <f t="shared" si="1"/>
        <v>22.976838499999996</v>
      </c>
      <c r="N31" s="18">
        <f t="shared" si="1"/>
        <v>22.074870999999998</v>
      </c>
      <c r="O31" s="18">
        <f t="shared" si="1"/>
        <v>23.029076</v>
      </c>
      <c r="P31" s="18">
        <f t="shared" si="1"/>
        <v>22.952460999999996</v>
      </c>
      <c r="Q31" s="18">
        <f t="shared" si="1"/>
        <v>23.693536999999999</v>
      </c>
      <c r="R31" s="19">
        <f t="shared" si="1"/>
        <v>20.074522999999999</v>
      </c>
    </row>
    <row r="32" spans="2:21" x14ac:dyDescent="0.25">
      <c r="B32" s="15" t="s">
        <v>5</v>
      </c>
      <c r="C32" s="18">
        <f t="shared" ref="C32:R32" si="2">C7*$W$5</f>
        <v>249.53366199999994</v>
      </c>
      <c r="D32" s="18">
        <f t="shared" si="2"/>
        <v>295.95051149999995</v>
      </c>
      <c r="E32" s="18">
        <f t="shared" si="2"/>
        <v>286.28309149999995</v>
      </c>
      <c r="F32" s="18">
        <f t="shared" si="2"/>
        <v>298.7128305</v>
      </c>
      <c r="G32" s="18">
        <f t="shared" si="2"/>
        <v>271.78823</v>
      </c>
      <c r="H32" s="18">
        <f t="shared" si="2"/>
        <v>280.21448700000002</v>
      </c>
      <c r="I32" s="18">
        <f t="shared" si="2"/>
        <v>285.36649749999998</v>
      </c>
      <c r="J32" s="18">
        <f t="shared" si="2"/>
        <v>300.73198400000001</v>
      </c>
      <c r="K32" s="18">
        <f t="shared" si="2"/>
        <v>305.5649975</v>
      </c>
      <c r="L32" s="18">
        <f t="shared" si="2"/>
        <v>310.15214650000001</v>
      </c>
      <c r="M32" s="18">
        <f t="shared" si="2"/>
        <v>319.10008199999999</v>
      </c>
      <c r="N32" s="18">
        <f t="shared" si="2"/>
        <v>311.73041549999999</v>
      </c>
      <c r="O32" s="18">
        <f t="shared" si="2"/>
        <v>320.71247950000003</v>
      </c>
      <c r="P32" s="18">
        <f t="shared" si="2"/>
        <v>320.84411799999998</v>
      </c>
      <c r="Q32" s="18">
        <f t="shared" si="2"/>
        <v>328.06055449999997</v>
      </c>
      <c r="R32" s="19">
        <f t="shared" si="2"/>
        <v>290.99003850000003</v>
      </c>
    </row>
    <row r="33" spans="2:18" x14ac:dyDescent="0.25">
      <c r="B33" s="15" t="s">
        <v>6</v>
      </c>
      <c r="C33" s="18">
        <f t="shared" ref="C33:R33" si="3">C8*$W$5</f>
        <v>116.9904085</v>
      </c>
      <c r="D33" s="18">
        <f t="shared" si="3"/>
        <v>143.94635149999999</v>
      </c>
      <c r="E33" s="18">
        <f t="shared" si="3"/>
        <v>136.90543299999999</v>
      </c>
      <c r="F33" s="18">
        <f t="shared" si="3"/>
        <v>145.8603335</v>
      </c>
      <c r="G33" s="18">
        <f t="shared" si="3"/>
        <v>132.024361</v>
      </c>
      <c r="H33" s="18">
        <f t="shared" si="3"/>
        <v>137.38601799999998</v>
      </c>
      <c r="I33" s="18">
        <f t="shared" si="3"/>
        <v>140.789117</v>
      </c>
      <c r="J33" s="18">
        <f t="shared" si="3"/>
        <v>147.947744</v>
      </c>
      <c r="K33" s="18">
        <f t="shared" si="3"/>
        <v>151.03323899999998</v>
      </c>
      <c r="L33" s="18">
        <f t="shared" si="3"/>
        <v>160.68046049999998</v>
      </c>
      <c r="M33" s="18">
        <f t="shared" si="3"/>
        <v>158.45792900000001</v>
      </c>
      <c r="N33" s="18">
        <f t="shared" si="3"/>
        <v>154.94617600000001</v>
      </c>
      <c r="O33" s="18">
        <f t="shared" si="3"/>
        <v>160.10793749999999</v>
      </c>
      <c r="P33" s="18">
        <f t="shared" si="3"/>
        <v>159.33551899999998</v>
      </c>
      <c r="Q33" s="18">
        <f t="shared" si="3"/>
        <v>164.45409749999999</v>
      </c>
      <c r="R33" s="19">
        <f t="shared" si="3"/>
        <v>144.3489285</v>
      </c>
    </row>
    <row r="34" spans="2:18" x14ac:dyDescent="0.25">
      <c r="B34" s="15" t="s">
        <v>7</v>
      </c>
      <c r="C34" s="18">
        <f t="shared" ref="C34:R34" si="4">C9*$W$5</f>
        <v>14.9141545</v>
      </c>
      <c r="D34" s="18">
        <f t="shared" si="4"/>
        <v>18.968480999999997</v>
      </c>
      <c r="E34" s="18">
        <f t="shared" si="4"/>
        <v>17.9495015</v>
      </c>
      <c r="F34" s="18">
        <f t="shared" si="4"/>
        <v>19.217131500000001</v>
      </c>
      <c r="G34" s="18">
        <f t="shared" si="4"/>
        <v>16.872015999999999</v>
      </c>
      <c r="H34" s="18">
        <f t="shared" si="4"/>
        <v>17.589410999999998</v>
      </c>
      <c r="I34" s="18">
        <f t="shared" si="4"/>
        <v>17.918855499999999</v>
      </c>
      <c r="J34" s="18">
        <f t="shared" si="4"/>
        <v>19.281209499999999</v>
      </c>
      <c r="K34" s="18">
        <f t="shared" si="4"/>
        <v>19.418419999999998</v>
      </c>
      <c r="L34" s="18">
        <f t="shared" si="4"/>
        <v>20.469438499999999</v>
      </c>
      <c r="M34" s="18">
        <f t="shared" si="4"/>
        <v>21.111611499999999</v>
      </c>
      <c r="N34" s="18">
        <f t="shared" si="4"/>
        <v>20.355909</v>
      </c>
      <c r="O34" s="18">
        <f t="shared" si="4"/>
        <v>21.179171999999998</v>
      </c>
      <c r="P34" s="18">
        <f t="shared" si="4"/>
        <v>21.308720999999998</v>
      </c>
      <c r="Q34" s="18">
        <f t="shared" si="4"/>
        <v>21.836668</v>
      </c>
      <c r="R34" s="19">
        <f t="shared" si="4"/>
        <v>18.691274</v>
      </c>
    </row>
    <row r="35" spans="2:18" x14ac:dyDescent="0.25">
      <c r="B35" s="15" t="s">
        <v>8</v>
      </c>
      <c r="C35" s="18">
        <f t="shared" ref="C35:R35" si="5">C10*$W$5</f>
        <v>96.479179999999999</v>
      </c>
      <c r="D35" s="18">
        <f t="shared" si="5"/>
        <v>120.220079</v>
      </c>
      <c r="E35" s="18">
        <f t="shared" si="5"/>
        <v>113.64163649999999</v>
      </c>
      <c r="F35" s="18">
        <f t="shared" si="5"/>
        <v>121.03637699999997</v>
      </c>
      <c r="G35" s="18">
        <f t="shared" si="5"/>
        <v>109.84292550000001</v>
      </c>
      <c r="H35" s="18">
        <f t="shared" si="5"/>
        <v>111.14746999999998</v>
      </c>
      <c r="I35" s="18">
        <f t="shared" si="5"/>
        <v>111.86486499999999</v>
      </c>
      <c r="J35" s="18">
        <f t="shared" si="5"/>
        <v>120.35171749999999</v>
      </c>
      <c r="K35" s="18">
        <f t="shared" si="5"/>
        <v>122.99702449999999</v>
      </c>
      <c r="L35" s="18">
        <f t="shared" si="5"/>
        <v>123.08896249999998</v>
      </c>
      <c r="M35" s="18">
        <f t="shared" si="5"/>
        <v>130.128488</v>
      </c>
      <c r="N35" s="18">
        <f t="shared" si="5"/>
        <v>125.63884899999999</v>
      </c>
      <c r="O35" s="18">
        <f t="shared" si="5"/>
        <v>128.62474449999999</v>
      </c>
      <c r="P35" s="18">
        <f t="shared" si="5"/>
        <v>130.80757549999998</v>
      </c>
      <c r="Q35" s="18">
        <f t="shared" si="5"/>
        <v>132.28763799999996</v>
      </c>
      <c r="R35" s="19">
        <f t="shared" si="5"/>
        <v>120.68255499999999</v>
      </c>
    </row>
    <row r="36" spans="2:18" x14ac:dyDescent="0.25">
      <c r="B36" s="15" t="s">
        <v>9</v>
      </c>
      <c r="C36" s="18">
        <f t="shared" ref="C36:R36" si="6">C11*$W$5</f>
        <v>7.2491719999999997</v>
      </c>
      <c r="D36" s="18">
        <f t="shared" si="6"/>
        <v>9.0266399999999987</v>
      </c>
      <c r="E36" s="18">
        <f t="shared" si="6"/>
        <v>8.6707284999999992</v>
      </c>
      <c r="F36" s="18">
        <f t="shared" si="6"/>
        <v>9.1443484999999995</v>
      </c>
      <c r="G36" s="18">
        <f t="shared" si="6"/>
        <v>8.2660619999999998</v>
      </c>
      <c r="H36" s="18">
        <f t="shared" si="6"/>
        <v>8.4464555000000008</v>
      </c>
      <c r="I36" s="18">
        <f t="shared" si="6"/>
        <v>8.452027499999998</v>
      </c>
      <c r="J36" s="18">
        <f t="shared" si="6"/>
        <v>9.1074339999999996</v>
      </c>
      <c r="K36" s="18">
        <f t="shared" si="6"/>
        <v>9.5281199999999995</v>
      </c>
      <c r="L36" s="18">
        <f t="shared" si="6"/>
        <v>8.9340054999999996</v>
      </c>
      <c r="M36" s="18">
        <f t="shared" si="6"/>
        <v>9.8603504999999991</v>
      </c>
      <c r="N36" s="18">
        <f t="shared" si="6"/>
        <v>9.2355899999999984</v>
      </c>
      <c r="O36" s="18">
        <f t="shared" si="6"/>
        <v>9.5845364999999987</v>
      </c>
      <c r="P36" s="18">
        <f t="shared" si="6"/>
        <v>9.7837355000000006</v>
      </c>
      <c r="Q36" s="18">
        <f t="shared" si="6"/>
        <v>9.8387589999999996</v>
      </c>
      <c r="R36" s="19">
        <f t="shared" si="6"/>
        <v>9.0349979999999981</v>
      </c>
    </row>
    <row r="37" spans="2:18" x14ac:dyDescent="0.25">
      <c r="B37" s="15" t="s">
        <v>10</v>
      </c>
      <c r="C37" s="18">
        <f t="shared" ref="C37:R37" si="7">C12*$W$5</f>
        <v>64.004867499999989</v>
      </c>
      <c r="D37" s="18">
        <f t="shared" si="7"/>
        <v>85.119961499999988</v>
      </c>
      <c r="E37" s="18">
        <f t="shared" si="7"/>
        <v>80.502166500000001</v>
      </c>
      <c r="F37" s="18">
        <f t="shared" si="7"/>
        <v>87.194834999999983</v>
      </c>
      <c r="G37" s="18">
        <f t="shared" si="7"/>
        <v>76.580871499999986</v>
      </c>
      <c r="H37" s="18">
        <f t="shared" si="7"/>
        <v>81.833874500000007</v>
      </c>
      <c r="I37" s="18">
        <f t="shared" si="7"/>
        <v>85.503036499999993</v>
      </c>
      <c r="J37" s="18">
        <f t="shared" si="7"/>
        <v>89.484230499999995</v>
      </c>
      <c r="K37" s="18">
        <f t="shared" si="7"/>
        <v>93.479354499999999</v>
      </c>
      <c r="L37" s="18">
        <f t="shared" si="7"/>
        <v>100.6407675</v>
      </c>
      <c r="M37" s="18">
        <f t="shared" si="7"/>
        <v>95.05205149999999</v>
      </c>
      <c r="N37" s="18">
        <f t="shared" si="7"/>
        <v>91.926855999999987</v>
      </c>
      <c r="O37" s="18">
        <f t="shared" si="7"/>
        <v>96.709024999999983</v>
      </c>
      <c r="P37" s="18">
        <f t="shared" si="7"/>
        <v>94.431470000000004</v>
      </c>
      <c r="Q37" s="18">
        <f t="shared" si="7"/>
        <v>99.528456999999989</v>
      </c>
      <c r="R37" s="19">
        <f t="shared" si="7"/>
        <v>81.946010999999999</v>
      </c>
    </row>
    <row r="38" spans="2:18" ht="15.75" thickBot="1" x14ac:dyDescent="0.3">
      <c r="B38" s="16" t="s">
        <v>639</v>
      </c>
      <c r="C38" s="20">
        <f t="shared" ref="C38:R38" si="8">C13*$W$5</f>
        <v>11.944278500000001</v>
      </c>
      <c r="D38" s="20">
        <f t="shared" si="8"/>
        <v>15.960297499999999</v>
      </c>
      <c r="E38" s="20">
        <f t="shared" si="8"/>
        <v>15.026290999999999</v>
      </c>
      <c r="F38" s="20">
        <f t="shared" si="8"/>
        <v>16.183177499999999</v>
      </c>
      <c r="G38" s="20">
        <f t="shared" si="8"/>
        <v>13.853384999999999</v>
      </c>
      <c r="H38" s="20">
        <f t="shared" si="8"/>
        <v>14.6146595</v>
      </c>
      <c r="I38" s="20">
        <f t="shared" si="8"/>
        <v>14.903707000000001</v>
      </c>
      <c r="J38" s="20">
        <f t="shared" si="8"/>
        <v>16.351033999999999</v>
      </c>
      <c r="K38" s="20">
        <f t="shared" si="8"/>
        <v>16.3851625</v>
      </c>
      <c r="L38" s="20">
        <f t="shared" si="8"/>
        <v>17.854081000000001</v>
      </c>
      <c r="M38" s="20">
        <f t="shared" si="8"/>
        <v>18.487896000000003</v>
      </c>
      <c r="N38" s="20">
        <f t="shared" si="8"/>
        <v>17.878458500000001</v>
      </c>
      <c r="O38" s="20">
        <f t="shared" si="8"/>
        <v>18.721223500000001</v>
      </c>
      <c r="P38" s="20">
        <f t="shared" si="8"/>
        <v>18.519934999999997</v>
      </c>
      <c r="Q38" s="20">
        <f t="shared" si="8"/>
        <v>19.171858999999998</v>
      </c>
      <c r="R38" s="21">
        <f t="shared" si="8"/>
        <v>16.156013999999999</v>
      </c>
    </row>
    <row r="39" spans="2:18" x14ac:dyDescent="0.25">
      <c r="C39" s="11"/>
    </row>
    <row r="40" spans="2:18" x14ac:dyDescent="0.25">
      <c r="C40" s="11"/>
    </row>
    <row r="41" spans="2:18" ht="15.75" thickBot="1" x14ac:dyDescent="0.3">
      <c r="B41" s="22" t="s">
        <v>649</v>
      </c>
      <c r="C41" s="11"/>
    </row>
    <row r="42" spans="2:18" x14ac:dyDescent="0.25">
      <c r="B42" s="12" t="s">
        <v>647</v>
      </c>
      <c r="C42" s="17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4"/>
    </row>
    <row r="43" spans="2:18" x14ac:dyDescent="0.25">
      <c r="B43" s="15" t="s">
        <v>3</v>
      </c>
      <c r="C43" s="18">
        <f t="shared" ref="C43:R43" si="9">C18*$W$5</f>
        <v>75.486670000000004</v>
      </c>
      <c r="D43" s="18">
        <f t="shared" si="9"/>
        <v>105.16732099999999</v>
      </c>
      <c r="E43" s="18">
        <f t="shared" si="9"/>
        <v>97.587311499999998</v>
      </c>
      <c r="F43" s="18">
        <f t="shared" si="9"/>
        <v>106.64390099999999</v>
      </c>
      <c r="G43" s="18">
        <f t="shared" si="9"/>
        <v>91.146079499999999</v>
      </c>
      <c r="H43" s="18">
        <f t="shared" si="9"/>
        <v>96.698577499999985</v>
      </c>
      <c r="I43" s="18">
        <f t="shared" si="9"/>
        <v>99.445573499999981</v>
      </c>
      <c r="J43" s="18">
        <f t="shared" si="9"/>
        <v>108.286248</v>
      </c>
      <c r="K43" s="18">
        <f t="shared" si="9"/>
        <v>109.300352</v>
      </c>
      <c r="L43" s="18">
        <f t="shared" si="9"/>
        <v>119.86277449999999</v>
      </c>
      <c r="M43" s="18">
        <f t="shared" si="9"/>
        <v>109.5893995</v>
      </c>
      <c r="N43" s="18">
        <f t="shared" si="9"/>
        <v>109.70432199999999</v>
      </c>
      <c r="O43" s="18">
        <f t="shared" si="9"/>
        <v>112.970907</v>
      </c>
      <c r="P43" s="18">
        <f t="shared" si="9"/>
        <v>112.84135799999999</v>
      </c>
      <c r="Q43" s="18">
        <f t="shared" si="9"/>
        <v>117.77954299999999</v>
      </c>
      <c r="R43" s="19">
        <f t="shared" si="9"/>
        <v>98.085309000000009</v>
      </c>
    </row>
    <row r="44" spans="2:18" x14ac:dyDescent="0.25">
      <c r="B44" s="15" t="s">
        <v>4</v>
      </c>
      <c r="C44" s="18">
        <f t="shared" ref="C44:R44" si="10">C19*$W$5</f>
        <v>11.481105999999999</v>
      </c>
      <c r="D44" s="18">
        <f t="shared" si="10"/>
        <v>16.514014999999997</v>
      </c>
      <c r="E44" s="18">
        <f t="shared" si="10"/>
        <v>15.449762999999999</v>
      </c>
      <c r="F44" s="18">
        <f t="shared" si="10"/>
        <v>16.798186999999999</v>
      </c>
      <c r="G44" s="18">
        <f t="shared" si="10"/>
        <v>14.289394</v>
      </c>
      <c r="H44" s="18">
        <f t="shared" si="10"/>
        <v>15.4448875</v>
      </c>
      <c r="I44" s="18">
        <f t="shared" si="10"/>
        <v>15.890647499999998</v>
      </c>
      <c r="J44" s="18">
        <f t="shared" si="10"/>
        <v>17.250912</v>
      </c>
      <c r="K44" s="18">
        <f t="shared" si="10"/>
        <v>17.382550500000001</v>
      </c>
      <c r="L44" s="18">
        <f t="shared" si="10"/>
        <v>18.79157</v>
      </c>
      <c r="M44" s="18">
        <f t="shared" si="10"/>
        <v>16.208947999999999</v>
      </c>
      <c r="N44" s="18">
        <f t="shared" si="10"/>
        <v>16.076612999999998</v>
      </c>
      <c r="O44" s="18">
        <f t="shared" si="10"/>
        <v>16.8058485</v>
      </c>
      <c r="P44" s="18">
        <f t="shared" si="10"/>
        <v>16.844156000000002</v>
      </c>
      <c r="Q44" s="18">
        <f t="shared" si="10"/>
        <v>17.714780999999999</v>
      </c>
      <c r="R44" s="19">
        <f t="shared" si="10"/>
        <v>14.3318805</v>
      </c>
    </row>
    <row r="45" spans="2:18" x14ac:dyDescent="0.25">
      <c r="B45" s="15" t="s">
        <v>5</v>
      </c>
      <c r="C45" s="18">
        <f t="shared" ref="C45:R45" si="11">C20*$W$5</f>
        <v>177.38879900000001</v>
      </c>
      <c r="D45" s="18">
        <f t="shared" si="11"/>
        <v>213.14850200000001</v>
      </c>
      <c r="E45" s="18">
        <f t="shared" si="11"/>
        <v>206.52409049999997</v>
      </c>
      <c r="F45" s="18">
        <f t="shared" si="11"/>
        <v>215.46297149999998</v>
      </c>
      <c r="G45" s="18">
        <f t="shared" si="11"/>
        <v>191.81818949999999</v>
      </c>
      <c r="H45" s="18">
        <f t="shared" si="11"/>
        <v>201.45565999999999</v>
      </c>
      <c r="I45" s="18">
        <f t="shared" si="11"/>
        <v>208.19708349999999</v>
      </c>
      <c r="J45" s="18">
        <f t="shared" si="11"/>
        <v>217.52879050000001</v>
      </c>
      <c r="K45" s="18">
        <f t="shared" si="11"/>
        <v>214.36250150000001</v>
      </c>
      <c r="L45" s="18">
        <f t="shared" si="11"/>
        <v>235.23033799999996</v>
      </c>
      <c r="M45" s="18">
        <f t="shared" si="11"/>
        <v>230.80756299999999</v>
      </c>
      <c r="N45" s="18">
        <f t="shared" si="11"/>
        <v>226.2740445</v>
      </c>
      <c r="O45" s="18">
        <f t="shared" si="11"/>
        <v>235.844651</v>
      </c>
      <c r="P45" s="18">
        <f t="shared" si="11"/>
        <v>236.62194499999995</v>
      </c>
      <c r="Q45" s="18">
        <f t="shared" si="11"/>
        <v>245.53644849999998</v>
      </c>
      <c r="R45" s="19">
        <f t="shared" si="11"/>
        <v>207.889927</v>
      </c>
    </row>
    <row r="46" spans="2:18" x14ac:dyDescent="0.25">
      <c r="B46" s="15" t="s">
        <v>6</v>
      </c>
      <c r="C46" s="18">
        <f t="shared" ref="C46:R46" si="12">C21*$W$5</f>
        <v>99.57581900000001</v>
      </c>
      <c r="D46" s="18">
        <f t="shared" si="12"/>
        <v>133.99336650000001</v>
      </c>
      <c r="E46" s="18">
        <f t="shared" si="12"/>
        <v>125.98779549999998</v>
      </c>
      <c r="F46" s="18">
        <f t="shared" si="12"/>
        <v>135.60994299999999</v>
      </c>
      <c r="G46" s="18">
        <f t="shared" si="12"/>
        <v>120.50076849999999</v>
      </c>
      <c r="H46" s="18">
        <f t="shared" si="12"/>
        <v>126.4934545</v>
      </c>
      <c r="I46" s="18">
        <f t="shared" si="12"/>
        <v>128.7501145</v>
      </c>
      <c r="J46" s="18">
        <f t="shared" si="12"/>
        <v>137.92232300000001</v>
      </c>
      <c r="K46" s="18">
        <f t="shared" si="12"/>
        <v>141.18263949999999</v>
      </c>
      <c r="L46" s="18">
        <f t="shared" si="12"/>
        <v>149.12552549999998</v>
      </c>
      <c r="M46" s="18">
        <f t="shared" si="12"/>
        <v>129.66601199999999</v>
      </c>
      <c r="N46" s="18">
        <f t="shared" si="12"/>
        <v>130.274753</v>
      </c>
      <c r="O46" s="18">
        <f t="shared" si="12"/>
        <v>133.30661749999999</v>
      </c>
      <c r="P46" s="18">
        <f t="shared" si="12"/>
        <v>133.319851</v>
      </c>
      <c r="Q46" s="18">
        <f t="shared" si="12"/>
        <v>138.03794199999999</v>
      </c>
      <c r="R46" s="19">
        <f t="shared" si="12"/>
        <v>120.99319399999999</v>
      </c>
    </row>
    <row r="47" spans="2:18" x14ac:dyDescent="0.25">
      <c r="B47" s="15" t="s">
        <v>7</v>
      </c>
      <c r="C47" s="18">
        <f t="shared" ref="C47:R47" si="13">C22*$W$5</f>
        <v>10.662022</v>
      </c>
      <c r="D47" s="18">
        <f t="shared" si="13"/>
        <v>13.721049999999998</v>
      </c>
      <c r="E47" s="18">
        <f t="shared" si="13"/>
        <v>13.258574000000001</v>
      </c>
      <c r="F47" s="18">
        <f t="shared" si="13"/>
        <v>13.950198499999999</v>
      </c>
      <c r="G47" s="18">
        <f t="shared" si="13"/>
        <v>12.279991500000001</v>
      </c>
      <c r="H47" s="18">
        <f t="shared" si="13"/>
        <v>13.117184499999999</v>
      </c>
      <c r="I47" s="18">
        <f t="shared" si="13"/>
        <v>13.554586499999997</v>
      </c>
      <c r="J47" s="18">
        <f t="shared" si="13"/>
        <v>14.497647499999998</v>
      </c>
      <c r="K47" s="18">
        <f t="shared" si="13"/>
        <v>13.9446265</v>
      </c>
      <c r="L47" s="18">
        <f t="shared" si="13"/>
        <v>15.689359</v>
      </c>
      <c r="M47" s="18">
        <f t="shared" si="13"/>
        <v>15.453941999999998</v>
      </c>
      <c r="N47" s="18">
        <f t="shared" si="13"/>
        <v>15.248474499999999</v>
      </c>
      <c r="O47" s="18">
        <f t="shared" si="13"/>
        <v>15.990246999999997</v>
      </c>
      <c r="P47" s="18">
        <f t="shared" si="13"/>
        <v>15.970744999999999</v>
      </c>
      <c r="Q47" s="18">
        <f t="shared" si="13"/>
        <v>16.489637500000001</v>
      </c>
      <c r="R47" s="19">
        <f t="shared" si="13"/>
        <v>13.778162999999999</v>
      </c>
    </row>
    <row r="48" spans="2:18" x14ac:dyDescent="0.25">
      <c r="B48" s="15" t="s">
        <v>8</v>
      </c>
      <c r="C48" s="18">
        <f t="shared" ref="C48:R48" si="14">C23*$W$5</f>
        <v>62.852856499999994</v>
      </c>
      <c r="D48" s="18">
        <f t="shared" si="14"/>
        <v>78.448187999999988</v>
      </c>
      <c r="E48" s="18">
        <f t="shared" si="14"/>
        <v>74.407791499999988</v>
      </c>
      <c r="F48" s="18">
        <f t="shared" si="14"/>
        <v>78.886982999999987</v>
      </c>
      <c r="G48" s="18">
        <f t="shared" si="14"/>
        <v>70.519231999999988</v>
      </c>
      <c r="H48" s="18">
        <f t="shared" si="14"/>
        <v>73.037079500000004</v>
      </c>
      <c r="I48" s="18">
        <f t="shared" si="14"/>
        <v>74.641118999999989</v>
      </c>
      <c r="J48" s="18">
        <f t="shared" si="14"/>
        <v>79.293738999999988</v>
      </c>
      <c r="K48" s="18">
        <f t="shared" si="14"/>
        <v>77.879844000000006</v>
      </c>
      <c r="L48" s="18">
        <f t="shared" si="14"/>
        <v>86.585397499999985</v>
      </c>
      <c r="M48" s="18">
        <f t="shared" si="14"/>
        <v>86.11874250000001</v>
      </c>
      <c r="N48" s="18">
        <f t="shared" si="14"/>
        <v>84.731314499999996</v>
      </c>
      <c r="O48" s="18">
        <f t="shared" si="14"/>
        <v>87.121702499999998</v>
      </c>
      <c r="P48" s="18">
        <f t="shared" si="14"/>
        <v>88.632411000000005</v>
      </c>
      <c r="Q48" s="18">
        <f t="shared" si="14"/>
        <v>91.545173999999989</v>
      </c>
      <c r="R48" s="19">
        <f t="shared" si="14"/>
        <v>81.723827499999985</v>
      </c>
    </row>
    <row r="49" spans="2:18" x14ac:dyDescent="0.25">
      <c r="B49" s="15" t="s">
        <v>9</v>
      </c>
      <c r="C49" s="18">
        <f t="shared" ref="C49:R49" si="15">C24*$W$5</f>
        <v>3.7624929999999996</v>
      </c>
      <c r="D49" s="18">
        <f t="shared" si="15"/>
        <v>4.8183869999999995</v>
      </c>
      <c r="E49" s="18">
        <f t="shared" si="15"/>
        <v>4.7292349999999992</v>
      </c>
      <c r="F49" s="18">
        <f t="shared" si="15"/>
        <v>4.9054494999999996</v>
      </c>
      <c r="G49" s="18">
        <f t="shared" si="15"/>
        <v>4.3858604999999997</v>
      </c>
      <c r="H49" s="18">
        <f t="shared" si="15"/>
        <v>4.7410755</v>
      </c>
      <c r="I49" s="18">
        <f t="shared" si="15"/>
        <v>4.8448539999999998</v>
      </c>
      <c r="J49" s="18">
        <f t="shared" si="15"/>
        <v>5.1819600000000001</v>
      </c>
      <c r="K49" s="18">
        <f t="shared" si="15"/>
        <v>4.8734104999999994</v>
      </c>
      <c r="L49" s="18">
        <f t="shared" si="15"/>
        <v>5.4076260000000005</v>
      </c>
      <c r="M49" s="18">
        <f t="shared" si="15"/>
        <v>5.3010614999999994</v>
      </c>
      <c r="N49" s="18">
        <f t="shared" si="15"/>
        <v>5.0893254999999993</v>
      </c>
      <c r="O49" s="18">
        <f t="shared" si="15"/>
        <v>5.3964819999999998</v>
      </c>
      <c r="P49" s="18">
        <f t="shared" si="15"/>
        <v>5.5887159999999998</v>
      </c>
      <c r="Q49" s="18">
        <f t="shared" si="15"/>
        <v>5.7510005</v>
      </c>
      <c r="R49" s="19">
        <f t="shared" si="15"/>
        <v>5.0677339999999997</v>
      </c>
    </row>
    <row r="50" spans="2:18" x14ac:dyDescent="0.25">
      <c r="B50" s="15" t="s">
        <v>10</v>
      </c>
      <c r="C50" s="18">
        <f t="shared" ref="C50:R50" si="16">C25*$W$5</f>
        <v>45.713384499999997</v>
      </c>
      <c r="D50" s="18">
        <f t="shared" si="16"/>
        <v>80.532812499999991</v>
      </c>
      <c r="E50" s="18">
        <f t="shared" si="16"/>
        <v>74.839621499999993</v>
      </c>
      <c r="F50" s="18">
        <f t="shared" si="16"/>
        <v>82.370179499999992</v>
      </c>
      <c r="G50" s="18">
        <f t="shared" si="16"/>
        <v>70.220433499999999</v>
      </c>
      <c r="H50" s="18">
        <f t="shared" si="16"/>
        <v>76.040387499999994</v>
      </c>
      <c r="I50" s="18">
        <f t="shared" si="16"/>
        <v>77.872182499999994</v>
      </c>
      <c r="J50" s="18">
        <f t="shared" si="16"/>
        <v>85.101852499999993</v>
      </c>
      <c r="K50" s="18">
        <f t="shared" si="16"/>
        <v>90.659922500000008</v>
      </c>
      <c r="L50" s="18">
        <f t="shared" si="16"/>
        <v>92.335701499999985</v>
      </c>
      <c r="M50" s="18">
        <f t="shared" si="16"/>
        <v>65.626319499999994</v>
      </c>
      <c r="N50" s="18">
        <f t="shared" si="16"/>
        <v>66.521321999999984</v>
      </c>
      <c r="O50" s="18">
        <f t="shared" si="16"/>
        <v>69.277372499999998</v>
      </c>
      <c r="P50" s="18">
        <f t="shared" si="16"/>
        <v>68.626841499999998</v>
      </c>
      <c r="Q50" s="18">
        <f t="shared" si="16"/>
        <v>73.043347999999995</v>
      </c>
      <c r="R50" s="19">
        <f t="shared" si="16"/>
        <v>57.968998499999991</v>
      </c>
    </row>
    <row r="51" spans="2:18" ht="15.75" thickBot="1" x14ac:dyDescent="0.3">
      <c r="B51" s="16" t="s">
        <v>639</v>
      </c>
      <c r="C51" s="20">
        <f t="shared" ref="C51:R51" si="17">C26*$W$5</f>
        <v>10.5345625</v>
      </c>
      <c r="D51" s="20">
        <f t="shared" si="17"/>
        <v>13.754481999999999</v>
      </c>
      <c r="E51" s="20">
        <f t="shared" si="17"/>
        <v>12.967436999999999</v>
      </c>
      <c r="F51" s="20">
        <f t="shared" si="17"/>
        <v>13.9446265</v>
      </c>
      <c r="G51" s="20">
        <f t="shared" si="17"/>
        <v>12.030644499999999</v>
      </c>
      <c r="H51" s="20">
        <f t="shared" si="17"/>
        <v>12.7522185</v>
      </c>
      <c r="I51" s="20">
        <f t="shared" si="17"/>
        <v>13.400659999999998</v>
      </c>
      <c r="J51" s="20">
        <f t="shared" si="17"/>
        <v>14.182829499999999</v>
      </c>
      <c r="K51" s="20">
        <f t="shared" si="17"/>
        <v>14.076961499999999</v>
      </c>
      <c r="L51" s="20">
        <f t="shared" si="17"/>
        <v>15.786868999999998</v>
      </c>
      <c r="M51" s="20">
        <f t="shared" si="17"/>
        <v>15.980496</v>
      </c>
      <c r="N51" s="20">
        <f t="shared" si="17"/>
        <v>15.75483</v>
      </c>
      <c r="O51" s="20">
        <f t="shared" si="17"/>
        <v>16.4374</v>
      </c>
      <c r="P51" s="20">
        <f t="shared" si="17"/>
        <v>16.507049999999996</v>
      </c>
      <c r="Q51" s="20">
        <f t="shared" si="17"/>
        <v>17.007137</v>
      </c>
      <c r="R51" s="21">
        <f t="shared" si="17"/>
        <v>14.077658</v>
      </c>
    </row>
    <row r="52" spans="2:18" x14ac:dyDescent="0.25">
      <c r="C52" s="11"/>
    </row>
    <row r="53" spans="2:18" x14ac:dyDescent="0.25">
      <c r="C53" s="11"/>
    </row>
    <row r="54" spans="2:18" x14ac:dyDescent="0.25">
      <c r="C54" s="11"/>
    </row>
    <row r="56" spans="2:18" x14ac:dyDescent="0.25">
      <c r="B56" t="s">
        <v>654</v>
      </c>
    </row>
    <row r="57" spans="2:18" x14ac:dyDescent="0.25">
      <c r="B57" t="s">
        <v>655</v>
      </c>
    </row>
    <row r="58" spans="2:18" x14ac:dyDescent="0.25">
      <c r="B58" t="s">
        <v>656</v>
      </c>
    </row>
    <row r="59" spans="2:18" x14ac:dyDescent="0.25">
      <c r="B59" t="s">
        <v>657</v>
      </c>
    </row>
    <row r="60" spans="2:18" x14ac:dyDescent="0.25">
      <c r="B60" t="s">
        <v>659</v>
      </c>
    </row>
    <row r="61" spans="2:18" x14ac:dyDescent="0.25">
      <c r="B61" t="s">
        <v>660</v>
      </c>
    </row>
    <row r="62" spans="2:18" x14ac:dyDescent="0.25">
      <c r="B62" t="s">
        <v>661</v>
      </c>
    </row>
    <row r="63" spans="2:18" x14ac:dyDescent="0.25">
      <c r="B63" t="s">
        <v>662</v>
      </c>
    </row>
    <row r="64" spans="2:18" x14ac:dyDescent="0.25">
      <c r="B64" t="s">
        <v>658</v>
      </c>
    </row>
    <row r="65" spans="2:2" x14ac:dyDescent="0.25">
      <c r="B65" t="s">
        <v>663</v>
      </c>
    </row>
    <row r="66" spans="2:2" x14ac:dyDescent="0.25">
      <c r="B66" t="s">
        <v>664</v>
      </c>
    </row>
    <row r="67" spans="2:2" x14ac:dyDescent="0.25">
      <c r="B67" t="s">
        <v>665</v>
      </c>
    </row>
    <row r="68" spans="2:2" x14ac:dyDescent="0.25">
      <c r="B68" t="s">
        <v>666</v>
      </c>
    </row>
    <row r="69" spans="2:2" x14ac:dyDescent="0.25">
      <c r="B69" t="s">
        <v>667</v>
      </c>
    </row>
    <row r="70" spans="2:2" x14ac:dyDescent="0.25">
      <c r="B70" t="s">
        <v>668</v>
      </c>
    </row>
    <row r="71" spans="2:2" x14ac:dyDescent="0.25">
      <c r="B71" t="s">
        <v>669</v>
      </c>
    </row>
    <row r="72" spans="2:2" x14ac:dyDescent="0.25">
      <c r="B72" t="s">
        <v>670</v>
      </c>
    </row>
    <row r="73" spans="2:2" x14ac:dyDescent="0.25">
      <c r="B73" t="s">
        <v>671</v>
      </c>
    </row>
  </sheetData>
  <mergeCells count="2">
    <mergeCell ref="S3:U3"/>
    <mergeCell ref="S16:U16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41601-5353-4730-9813-FADF2E78CB7D}">
  <sheetPr filterMode="1"/>
  <dimension ref="B2:AS582"/>
  <sheetViews>
    <sheetView tabSelected="1" workbookViewId="0">
      <selection activeCell="B3" sqref="B3"/>
    </sheetView>
  </sheetViews>
  <sheetFormatPr defaultRowHeight="15" x14ac:dyDescent="0.25"/>
  <cols>
    <col min="2" max="2" width="36.28515625" bestFit="1" customWidth="1"/>
    <col min="3" max="3" width="36.28515625" customWidth="1"/>
    <col min="4" max="4" width="31.5703125" customWidth="1"/>
    <col min="5" max="5" width="12.85546875" customWidth="1"/>
    <col min="6" max="6" width="31.42578125" customWidth="1"/>
    <col min="7" max="8" width="13.42578125" customWidth="1"/>
    <col min="9" max="9" width="13.28515625" customWidth="1"/>
    <col min="10" max="10" width="93.5703125" bestFit="1" customWidth="1"/>
    <col min="16" max="16" width="17.140625" customWidth="1"/>
  </cols>
  <sheetData>
    <row r="2" spans="2:45" x14ac:dyDescent="0.25">
      <c r="B2" s="28" t="s">
        <v>680</v>
      </c>
      <c r="C2" s="28"/>
      <c r="D2" s="28"/>
      <c r="F2" t="s">
        <v>678</v>
      </c>
    </row>
    <row r="3" spans="2:45" x14ac:dyDescent="0.25">
      <c r="F3" s="2" t="s">
        <v>679</v>
      </c>
      <c r="G3" s="2">
        <v>0.7</v>
      </c>
      <c r="H3" s="2"/>
    </row>
    <row r="4" spans="2:45" ht="39.75" customHeight="1" x14ac:dyDescent="0.25">
      <c r="D4" s="27" t="s">
        <v>653</v>
      </c>
      <c r="F4" s="2" t="s">
        <v>648</v>
      </c>
      <c r="G4" s="2">
        <v>995</v>
      </c>
      <c r="H4" s="2" t="s">
        <v>643</v>
      </c>
    </row>
    <row r="5" spans="2:45" ht="8.25" customHeight="1" thickBot="1" x14ac:dyDescent="0.3">
      <c r="D5" s="25"/>
    </row>
    <row r="6" spans="2:45" ht="60.75" thickBot="1" x14ac:dyDescent="0.3">
      <c r="B6" s="30" t="s">
        <v>676</v>
      </c>
      <c r="C6" s="30" t="s">
        <v>675</v>
      </c>
      <c r="D6" s="31" t="s">
        <v>677</v>
      </c>
      <c r="E6" s="29" t="s">
        <v>674</v>
      </c>
      <c r="F6" t="s">
        <v>672</v>
      </c>
      <c r="G6" s="25" t="s">
        <v>33</v>
      </c>
      <c r="H6" s="25" t="s">
        <v>649</v>
      </c>
      <c r="I6" s="26" t="s">
        <v>673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s="24" t="s">
        <v>33</v>
      </c>
      <c r="Q6" t="s">
        <v>34</v>
      </c>
      <c r="R6" t="s">
        <v>35</v>
      </c>
      <c r="S6" t="s">
        <v>36</v>
      </c>
      <c r="T6" t="s">
        <v>37</v>
      </c>
      <c r="U6" t="s">
        <v>38</v>
      </c>
      <c r="V6" t="s">
        <v>39</v>
      </c>
      <c r="W6" t="s">
        <v>40</v>
      </c>
      <c r="X6" t="s">
        <v>41</v>
      </c>
      <c r="Y6" t="s">
        <v>42</v>
      </c>
      <c r="Z6" t="s">
        <v>43</v>
      </c>
      <c r="AA6" t="s">
        <v>44</v>
      </c>
      <c r="AB6" t="s">
        <v>45</v>
      </c>
      <c r="AC6" t="s">
        <v>46</v>
      </c>
      <c r="AD6" t="s">
        <v>47</v>
      </c>
      <c r="AE6" t="s">
        <v>48</v>
      </c>
      <c r="AF6" t="s">
        <v>49</v>
      </c>
      <c r="AG6" t="s">
        <v>50</v>
      </c>
      <c r="AH6" t="s">
        <v>51</v>
      </c>
      <c r="AI6" t="s">
        <v>52</v>
      </c>
      <c r="AJ6" t="s">
        <v>53</v>
      </c>
      <c r="AK6" t="s">
        <v>54</v>
      </c>
      <c r="AL6" t="s">
        <v>55</v>
      </c>
      <c r="AM6" t="s">
        <v>56</v>
      </c>
      <c r="AN6" t="s">
        <v>57</v>
      </c>
      <c r="AO6" t="s">
        <v>58</v>
      </c>
      <c r="AP6" t="s">
        <v>59</v>
      </c>
      <c r="AQ6" t="s">
        <v>60</v>
      </c>
      <c r="AR6" t="s">
        <v>61</v>
      </c>
      <c r="AS6" t="s">
        <v>62</v>
      </c>
    </row>
    <row r="7" spans="2:45" ht="15.75" hidden="1" thickBot="1" x14ac:dyDescent="0.3">
      <c r="B7" s="15" t="str" cm="1">
        <f t="array" ref="B7">INDEX(_xlfn.TEXTSPLIT($J7,"/"),3)</f>
        <v>ECC&amp;0&amp;cPVVE&amp;Ex&amp;Chiller__PumpCtrl</v>
      </c>
      <c r="C7" s="33" t="str" cm="1">
        <f t="array" ref="C7">INDEX(_xlfn.TEXTSPLIT($J7,"/"),2)</f>
        <v>CZ01</v>
      </c>
      <c r="D7" s="34">
        <f>$G$3*H7</f>
        <v>97.497462999999982</v>
      </c>
      <c r="F7" t="str" cm="1">
        <f t="array" ref="F7">INDEX(_xlfn.TEXTSPLIT($J7,"/"),4)</f>
        <v>NE-Chiller-CHWPumpCtrl-Full-Msr</v>
      </c>
      <c r="G7">
        <f>$P7</f>
        <v>0.139982</v>
      </c>
      <c r="H7">
        <f>$G$4*G7</f>
        <v>139.28208999999998</v>
      </c>
      <c r="J7" t="s">
        <v>317</v>
      </c>
      <c r="K7" t="s">
        <v>11</v>
      </c>
      <c r="M7">
        <v>26820.85</v>
      </c>
      <c r="N7">
        <v>9394.92</v>
      </c>
      <c r="P7">
        <v>0.139982</v>
      </c>
      <c r="Q7">
        <v>0</v>
      </c>
      <c r="R7">
        <v>88910.01</v>
      </c>
      <c r="S7">
        <v>350734.07</v>
      </c>
      <c r="T7">
        <v>0</v>
      </c>
      <c r="U7">
        <v>936314.72</v>
      </c>
      <c r="V7">
        <v>0</v>
      </c>
      <c r="W7">
        <v>249804.28</v>
      </c>
      <c r="X7">
        <v>177154.51</v>
      </c>
      <c r="Y7">
        <v>198095.83</v>
      </c>
      <c r="Z7">
        <v>0</v>
      </c>
      <c r="AA7">
        <v>0</v>
      </c>
      <c r="AB7">
        <v>0</v>
      </c>
      <c r="AC7">
        <v>0</v>
      </c>
      <c r="AD7">
        <v>0</v>
      </c>
      <c r="AE7">
        <v>333355.5</v>
      </c>
      <c r="AF7">
        <v>0</v>
      </c>
      <c r="AG7">
        <v>0</v>
      </c>
      <c r="AH7">
        <v>0</v>
      </c>
      <c r="AI7">
        <v>68627.600000000006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530229.18000000005</v>
      </c>
      <c r="AQ7">
        <v>0</v>
      </c>
      <c r="AR7">
        <v>0</v>
      </c>
      <c r="AS7">
        <v>1430996695.1997299</v>
      </c>
    </row>
    <row r="8" spans="2:45" ht="15.75" hidden="1" thickBot="1" x14ac:dyDescent="0.3">
      <c r="B8" s="15" t="str" cm="1">
        <f t="array" ref="B8">INDEX(_xlfn.TEXTSPLIT($J8,"/"),3)</f>
        <v>ECC&amp;0&amp;cPVVE&amp;Ex&amp;Chiller__PumpCtrl</v>
      </c>
      <c r="C8" s="33" t="str" cm="1">
        <f t="array" ref="C8">INDEX(_xlfn.TEXTSPLIT($J8,"/"),2)</f>
        <v>CZ02</v>
      </c>
      <c r="D8" s="34">
        <f>$G$3*H8</f>
        <v>125.36512449999998</v>
      </c>
      <c r="F8" t="str" cm="1">
        <f t="array" ref="F8">INDEX(_xlfn.TEXTSPLIT($J8,"/"),4)</f>
        <v>NE-Chiller-CHWPumpCtrl-Full-Msr</v>
      </c>
      <c r="G8">
        <f>$P8</f>
        <v>0.17999299999999999</v>
      </c>
      <c r="H8">
        <f>$G$4*G8</f>
        <v>179.09303499999999</v>
      </c>
      <c r="J8" t="s">
        <v>299</v>
      </c>
      <c r="K8" t="s">
        <v>12</v>
      </c>
      <c r="M8">
        <v>34487.19</v>
      </c>
      <c r="N8">
        <v>12080.31</v>
      </c>
      <c r="P8">
        <v>0.17999299999999999</v>
      </c>
      <c r="Q8">
        <v>0</v>
      </c>
      <c r="R8">
        <v>630186.25</v>
      </c>
      <c r="S8">
        <v>350734.07</v>
      </c>
      <c r="T8">
        <v>0</v>
      </c>
      <c r="U8">
        <v>936314.72</v>
      </c>
      <c r="V8">
        <v>0</v>
      </c>
      <c r="W8">
        <v>344486.25</v>
      </c>
      <c r="X8">
        <v>246662.33</v>
      </c>
      <c r="Y8">
        <v>250262.28</v>
      </c>
      <c r="Z8">
        <v>0</v>
      </c>
      <c r="AA8">
        <v>0</v>
      </c>
      <c r="AB8">
        <v>0</v>
      </c>
      <c r="AC8">
        <v>0</v>
      </c>
      <c r="AD8">
        <v>0</v>
      </c>
      <c r="AE8">
        <v>450287.69</v>
      </c>
      <c r="AF8">
        <v>0</v>
      </c>
      <c r="AG8">
        <v>0</v>
      </c>
      <c r="AH8">
        <v>0</v>
      </c>
      <c r="AI8">
        <v>68627.600000000006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486328.32000000001</v>
      </c>
      <c r="AQ8">
        <v>0</v>
      </c>
      <c r="AR8">
        <v>0</v>
      </c>
      <c r="AS8">
        <v>2535572592.32831</v>
      </c>
    </row>
    <row r="9" spans="2:45" ht="15.75" hidden="1" thickBot="1" x14ac:dyDescent="0.3">
      <c r="B9" s="15" t="str" cm="1">
        <f t="array" ref="B9">INDEX(_xlfn.TEXTSPLIT($J9,"/"),3)</f>
        <v>ECC&amp;0&amp;cPVVE&amp;Ex&amp;Chiller__PumpCtrl</v>
      </c>
      <c r="C9" s="33" t="str" cm="1">
        <f t="array" ref="C9">INDEX(_xlfn.TEXTSPLIT($J9,"/"),2)</f>
        <v>CZ03</v>
      </c>
      <c r="D9" s="34">
        <f>$G$3*H9</f>
        <v>117.82969099999998</v>
      </c>
      <c r="F9" t="str" cm="1">
        <f t="array" ref="F9">INDEX(_xlfn.TEXTSPLIT($J9,"/"),4)</f>
        <v>NE-Chiller-CHWPumpCtrl-Full-Msr</v>
      </c>
      <c r="G9">
        <f>$P9</f>
        <v>0.16917399999999999</v>
      </c>
      <c r="H9">
        <f>$G$4*G9</f>
        <v>168.32812999999999</v>
      </c>
      <c r="J9" t="s">
        <v>283</v>
      </c>
      <c r="K9" t="s">
        <v>13</v>
      </c>
      <c r="M9">
        <v>32414.14</v>
      </c>
      <c r="N9">
        <v>11354.16</v>
      </c>
      <c r="P9">
        <v>0.16917399999999999</v>
      </c>
      <c r="Q9">
        <v>0</v>
      </c>
      <c r="R9">
        <v>423117.69</v>
      </c>
      <c r="S9">
        <v>350734.07</v>
      </c>
      <c r="T9">
        <v>0</v>
      </c>
      <c r="U9">
        <v>936314.72</v>
      </c>
      <c r="V9">
        <v>0</v>
      </c>
      <c r="W9">
        <v>256074.19</v>
      </c>
      <c r="X9">
        <v>243577.38</v>
      </c>
      <c r="Y9">
        <v>263610.52</v>
      </c>
      <c r="Z9">
        <v>0</v>
      </c>
      <c r="AA9">
        <v>0</v>
      </c>
      <c r="AB9">
        <v>0</v>
      </c>
      <c r="AC9">
        <v>0</v>
      </c>
      <c r="AD9">
        <v>0</v>
      </c>
      <c r="AE9">
        <v>171303.16</v>
      </c>
      <c r="AF9">
        <v>0</v>
      </c>
      <c r="AG9">
        <v>0</v>
      </c>
      <c r="AH9">
        <v>0</v>
      </c>
      <c r="AI9">
        <v>68627.600000000006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484908.14</v>
      </c>
      <c r="AQ9">
        <v>0</v>
      </c>
      <c r="AR9">
        <v>0</v>
      </c>
      <c r="AS9">
        <v>1913376885.7480099</v>
      </c>
    </row>
    <row r="10" spans="2:45" ht="15.75" hidden="1" thickBot="1" x14ac:dyDescent="0.3">
      <c r="B10" s="15" t="str" cm="1">
        <f t="array" ref="B10">INDEX(_xlfn.TEXTSPLIT($J10,"/"),3)</f>
        <v>ECC&amp;0&amp;cPVVE&amp;Ex&amp;Chiller__PumpCtrl</v>
      </c>
      <c r="C10" s="33" t="str" cm="1">
        <f t="array" ref="C10">INDEX(_xlfn.TEXTSPLIT($J10,"/"),2)</f>
        <v>CZ04</v>
      </c>
      <c r="D10" s="34">
        <f>$G$3*H10</f>
        <v>126.938518</v>
      </c>
      <c r="F10" t="str" cm="1">
        <f t="array" ref="F10">INDEX(_xlfn.TEXTSPLIT($J10,"/"),4)</f>
        <v>NE-Chiller-CHWPumpCtrl-Full-Msr</v>
      </c>
      <c r="G10">
        <f>$P10</f>
        <v>0.182252</v>
      </c>
      <c r="H10">
        <f>$G$4*G10</f>
        <v>181.34074000000001</v>
      </c>
      <c r="J10" t="s">
        <v>270</v>
      </c>
      <c r="K10" t="s">
        <v>14</v>
      </c>
      <c r="M10">
        <v>34919.870000000003</v>
      </c>
      <c r="N10">
        <v>12231.88</v>
      </c>
      <c r="P10">
        <v>0.182252</v>
      </c>
      <c r="Q10">
        <v>0</v>
      </c>
      <c r="R10">
        <v>655938.59</v>
      </c>
      <c r="S10">
        <v>350734.07</v>
      </c>
      <c r="T10">
        <v>0</v>
      </c>
      <c r="U10">
        <v>936314.72</v>
      </c>
      <c r="V10">
        <v>0</v>
      </c>
      <c r="W10">
        <v>302679.32</v>
      </c>
      <c r="X10">
        <v>265529.52</v>
      </c>
      <c r="Y10">
        <v>286420.26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239728.99</v>
      </c>
      <c r="AF10">
        <v>0</v>
      </c>
      <c r="AG10">
        <v>0</v>
      </c>
      <c r="AH10">
        <v>0</v>
      </c>
      <c r="AI10">
        <v>68627.600000000006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467639.01</v>
      </c>
      <c r="AQ10">
        <v>0</v>
      </c>
      <c r="AR10">
        <v>0</v>
      </c>
      <c r="AS10">
        <v>2341793066.2786398</v>
      </c>
    </row>
    <row r="11" spans="2:45" ht="15.75" hidden="1" thickBot="1" x14ac:dyDescent="0.3">
      <c r="B11" s="15" t="str" cm="1">
        <f t="array" ref="B11">INDEX(_xlfn.TEXTSPLIT($J11,"/"),3)</f>
        <v>ECC&amp;0&amp;cPVVE&amp;Ex&amp;Chiller__PumpCtrl</v>
      </c>
      <c r="C11" s="33" t="str" cm="1">
        <f t="array" ref="C11">INDEX(_xlfn.TEXTSPLIT($J11,"/"),2)</f>
        <v>CZ05</v>
      </c>
      <c r="D11" s="34">
        <f>$G$3*H11</f>
        <v>111.37383249999998</v>
      </c>
      <c r="F11" t="str" cm="1">
        <f t="array" ref="F11">INDEX(_xlfn.TEXTSPLIT($J11,"/"),4)</f>
        <v>NE-Chiller-CHWPumpCtrl-Full-Msr</v>
      </c>
      <c r="G11">
        <f>$P11</f>
        <v>0.15990499999999999</v>
      </c>
      <c r="H11">
        <f>$G$4*G11</f>
        <v>159.10547499999998</v>
      </c>
      <c r="J11" t="s">
        <v>253</v>
      </c>
      <c r="K11" t="s">
        <v>15</v>
      </c>
      <c r="M11">
        <v>30638.23</v>
      </c>
      <c r="N11">
        <v>10732.08</v>
      </c>
      <c r="P11">
        <v>0.15990499999999999</v>
      </c>
      <c r="Q11">
        <v>0</v>
      </c>
      <c r="R11">
        <v>487292.09</v>
      </c>
      <c r="S11">
        <v>350734.07</v>
      </c>
      <c r="T11">
        <v>0</v>
      </c>
      <c r="U11">
        <v>936314.72</v>
      </c>
      <c r="V11">
        <v>0</v>
      </c>
      <c r="W11">
        <v>265387.39</v>
      </c>
      <c r="X11">
        <v>235024.77</v>
      </c>
      <c r="Y11">
        <v>249889.62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174062.07</v>
      </c>
      <c r="AF11">
        <v>0</v>
      </c>
      <c r="AG11">
        <v>0</v>
      </c>
      <c r="AH11">
        <v>0</v>
      </c>
      <c r="AI11">
        <v>68627.600000000006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485029.65</v>
      </c>
      <c r="AQ11">
        <v>0</v>
      </c>
      <c r="AR11">
        <v>0</v>
      </c>
      <c r="AS11">
        <v>1279953921.388</v>
      </c>
    </row>
    <row r="12" spans="2:45" ht="15.75" hidden="1" thickBot="1" x14ac:dyDescent="0.3">
      <c r="B12" s="15" t="str" cm="1">
        <f t="array" ref="B12">INDEX(_xlfn.TEXTSPLIT($J12,"/"),3)</f>
        <v>ECC&amp;0&amp;cPVVE&amp;Ex&amp;Chiller__PumpCtrl</v>
      </c>
      <c r="C12" s="33" t="str" cm="1">
        <f t="array" ref="C12">INDEX(_xlfn.TEXTSPLIT($J12,"/"),2)</f>
        <v>CZ06</v>
      </c>
      <c r="D12" s="34">
        <f>$G$3*H12</f>
        <v>116.12674849999999</v>
      </c>
      <c r="F12" t="str" cm="1">
        <f t="array" ref="F12">INDEX(_xlfn.TEXTSPLIT($J12,"/"),4)</f>
        <v>NE-Chiller-CHWPumpCtrl-Full-Msr</v>
      </c>
      <c r="G12">
        <f>$P12</f>
        <v>0.16672899999999999</v>
      </c>
      <c r="H12">
        <f>$G$4*G12</f>
        <v>165.895355</v>
      </c>
      <c r="J12" t="s">
        <v>233</v>
      </c>
      <c r="K12" t="s">
        <v>16</v>
      </c>
      <c r="M12">
        <v>31945.7</v>
      </c>
      <c r="N12">
        <v>11190.07</v>
      </c>
      <c r="P12">
        <v>0.16672899999999999</v>
      </c>
      <c r="Q12">
        <v>0</v>
      </c>
      <c r="R12">
        <v>878658.01</v>
      </c>
      <c r="S12">
        <v>350734.07</v>
      </c>
      <c r="T12">
        <v>0</v>
      </c>
      <c r="U12">
        <v>936314.72</v>
      </c>
      <c r="V12">
        <v>0</v>
      </c>
      <c r="W12">
        <v>303296.08</v>
      </c>
      <c r="X12">
        <v>273088.55</v>
      </c>
      <c r="Y12">
        <v>294907.96999999997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102125.54</v>
      </c>
      <c r="AF12">
        <v>0</v>
      </c>
      <c r="AG12">
        <v>0</v>
      </c>
      <c r="AH12">
        <v>0</v>
      </c>
      <c r="AI12">
        <v>68627.600000000006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446563.07</v>
      </c>
      <c r="AQ12">
        <v>0</v>
      </c>
      <c r="AR12">
        <v>0</v>
      </c>
      <c r="AS12">
        <v>1273419062.81283</v>
      </c>
    </row>
    <row r="13" spans="2:45" ht="15.75" hidden="1" thickBot="1" x14ac:dyDescent="0.3">
      <c r="B13" s="15" t="str" cm="1">
        <f t="array" ref="B13">INDEX(_xlfn.TEXTSPLIT($J13,"/"),3)</f>
        <v>ECC&amp;0&amp;cPVVE&amp;Ex&amp;Chiller__PumpCtrl</v>
      </c>
      <c r="C13" s="33" t="str" cm="1">
        <f t="array" ref="C13">INDEX(_xlfn.TEXTSPLIT($J13,"/"),2)</f>
        <v>CZ07</v>
      </c>
      <c r="D13" s="34">
        <f>$G$3*H13</f>
        <v>119.09314199999999</v>
      </c>
      <c r="F13" t="str" cm="1">
        <f t="array" ref="F13">INDEX(_xlfn.TEXTSPLIT($J13,"/"),4)</f>
        <v>NE-Chiller-CHWPumpCtrl-Full-Msr</v>
      </c>
      <c r="G13">
        <f>$P13</f>
        <v>0.170988</v>
      </c>
      <c r="H13">
        <f>$G$4*G13</f>
        <v>170.13306</v>
      </c>
      <c r="J13" t="s">
        <v>219</v>
      </c>
      <c r="K13" t="s">
        <v>17</v>
      </c>
      <c r="M13">
        <v>32761.73</v>
      </c>
      <c r="N13">
        <v>11475.91</v>
      </c>
      <c r="P13">
        <v>0.170988</v>
      </c>
      <c r="Q13">
        <v>0</v>
      </c>
      <c r="R13">
        <v>952329.75</v>
      </c>
      <c r="S13">
        <v>350734.07</v>
      </c>
      <c r="T13">
        <v>0</v>
      </c>
      <c r="U13">
        <v>936314.72</v>
      </c>
      <c r="V13">
        <v>0</v>
      </c>
      <c r="W13">
        <v>325690.06</v>
      </c>
      <c r="X13">
        <v>280886.81</v>
      </c>
      <c r="Y13">
        <v>302120.61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166418.81</v>
      </c>
      <c r="AF13">
        <v>0</v>
      </c>
      <c r="AG13">
        <v>0</v>
      </c>
      <c r="AH13">
        <v>0</v>
      </c>
      <c r="AI13">
        <v>68627.600000000006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440567.05</v>
      </c>
      <c r="AQ13">
        <v>0</v>
      </c>
      <c r="AR13">
        <v>0</v>
      </c>
      <c r="AS13">
        <v>1470041628.2316599</v>
      </c>
    </row>
    <row r="14" spans="2:45" ht="15.75" hidden="1" thickBot="1" x14ac:dyDescent="0.3">
      <c r="B14" s="15" t="str" cm="1">
        <f t="array" ref="B14">INDEX(_xlfn.TEXTSPLIT($J14,"/"),3)</f>
        <v>ECC&amp;0&amp;cPVVE&amp;Ex&amp;Chiller__PumpCtrl</v>
      </c>
      <c r="C14" s="33" t="str" cm="1">
        <f t="array" ref="C14">INDEX(_xlfn.TEXTSPLIT($J14,"/"),2)</f>
        <v>CZ08</v>
      </c>
      <c r="D14" s="34">
        <f>$G$3*H14</f>
        <v>127.83073449999998</v>
      </c>
      <c r="F14" t="str" cm="1">
        <f t="array" ref="F14">INDEX(_xlfn.TEXTSPLIT($J14,"/"),4)</f>
        <v>NE-Chiller-CHWPumpCtrl-Full-Msr</v>
      </c>
      <c r="G14">
        <f>$P14</f>
        <v>0.183533</v>
      </c>
      <c r="H14">
        <f>$G$4*G14</f>
        <v>182.61533499999999</v>
      </c>
      <c r="J14" t="s">
        <v>205</v>
      </c>
      <c r="K14" t="s">
        <v>18</v>
      </c>
      <c r="M14">
        <v>35165.43</v>
      </c>
      <c r="N14">
        <v>12317.89</v>
      </c>
      <c r="P14">
        <v>0.183533</v>
      </c>
      <c r="Q14">
        <v>0</v>
      </c>
      <c r="R14">
        <v>982157.24</v>
      </c>
      <c r="S14">
        <v>350734.07</v>
      </c>
      <c r="T14">
        <v>0</v>
      </c>
      <c r="U14">
        <v>936314.72</v>
      </c>
      <c r="V14">
        <v>0</v>
      </c>
      <c r="W14">
        <v>325090.01</v>
      </c>
      <c r="X14">
        <v>293306.18</v>
      </c>
      <c r="Y14">
        <v>315030.58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204240.78</v>
      </c>
      <c r="AF14">
        <v>0</v>
      </c>
      <c r="AG14">
        <v>0</v>
      </c>
      <c r="AH14">
        <v>0</v>
      </c>
      <c r="AI14">
        <v>68627.600000000006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439685.55</v>
      </c>
      <c r="AQ14">
        <v>0</v>
      </c>
      <c r="AR14">
        <v>0</v>
      </c>
      <c r="AS14">
        <v>1443389453.5013101</v>
      </c>
    </row>
    <row r="15" spans="2:45" ht="15.75" hidden="1" thickBot="1" x14ac:dyDescent="0.3">
      <c r="B15" s="15" t="str" cm="1">
        <f t="array" ref="B15">INDEX(_xlfn.TEXTSPLIT($J15,"/"),3)</f>
        <v>ECC&amp;0&amp;cPVVE&amp;Ex&amp;Chiller__PumpCtrl</v>
      </c>
      <c r="C15" s="33" t="str" cm="1">
        <f t="array" ref="C15">INDEX(_xlfn.TEXTSPLIT($J15,"/"),2)</f>
        <v>CZ09</v>
      </c>
      <c r="D15" s="34">
        <f>$G$3*H15</f>
        <v>129.58661099999998</v>
      </c>
      <c r="F15" t="str" cm="1">
        <f t="array" ref="F15">INDEX(_xlfn.TEXTSPLIT($J15,"/"),4)</f>
        <v>NE-Chiller-CHWPumpCtrl-Full-Msr</v>
      </c>
      <c r="G15">
        <f>$P15</f>
        <v>0.186054</v>
      </c>
      <c r="H15">
        <f>$G$4*G15</f>
        <v>185.12372999999999</v>
      </c>
      <c r="J15" t="s">
        <v>189</v>
      </c>
      <c r="K15" t="s">
        <v>19</v>
      </c>
      <c r="M15">
        <v>35648.49</v>
      </c>
      <c r="N15">
        <v>12487.1</v>
      </c>
      <c r="P15">
        <v>0.186054</v>
      </c>
      <c r="Q15">
        <v>0</v>
      </c>
      <c r="R15">
        <v>1238916.08</v>
      </c>
      <c r="S15">
        <v>350734.07</v>
      </c>
      <c r="T15">
        <v>0</v>
      </c>
      <c r="U15">
        <v>936314.72</v>
      </c>
      <c r="V15">
        <v>0</v>
      </c>
      <c r="W15">
        <v>404672.05</v>
      </c>
      <c r="X15">
        <v>305357.28000000003</v>
      </c>
      <c r="Y15">
        <v>324102.92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380325.41</v>
      </c>
      <c r="AF15">
        <v>0</v>
      </c>
      <c r="AG15">
        <v>0</v>
      </c>
      <c r="AH15">
        <v>0</v>
      </c>
      <c r="AI15">
        <v>68627.600000000006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433598.94</v>
      </c>
      <c r="AQ15">
        <v>0</v>
      </c>
      <c r="AR15">
        <v>0</v>
      </c>
      <c r="AS15">
        <v>1819947901.9790399</v>
      </c>
    </row>
    <row r="16" spans="2:45" ht="15.75" hidden="1" thickBot="1" x14ac:dyDescent="0.3">
      <c r="B16" s="15" t="str" cm="1">
        <f t="array" ref="B16">INDEX(_xlfn.TEXTSPLIT($J16,"/"),3)</f>
        <v>ECC&amp;0&amp;cPVVE&amp;Ex&amp;Chiller__PumpCtrl</v>
      </c>
      <c r="C16" s="33" t="str" cm="1">
        <f t="array" ref="C16">INDEX(_xlfn.TEXTSPLIT($J16,"/"),2)</f>
        <v>CZ10</v>
      </c>
      <c r="D16" s="34">
        <f>$G$3*H16</f>
        <v>139.01931049999999</v>
      </c>
      <c r="F16" t="str" cm="1">
        <f t="array" ref="F16">INDEX(_xlfn.TEXTSPLIT($J16,"/"),4)</f>
        <v>NE-Chiller-CHWPumpCtrl-Full-Msr</v>
      </c>
      <c r="G16">
        <f>$P16</f>
        <v>0.199597</v>
      </c>
      <c r="H16">
        <f>$G$4*G16</f>
        <v>198.59901500000001</v>
      </c>
      <c r="J16" t="s">
        <v>173</v>
      </c>
      <c r="K16" t="s">
        <v>20</v>
      </c>
      <c r="M16">
        <v>38243.21</v>
      </c>
      <c r="N16">
        <v>13395.99</v>
      </c>
      <c r="P16">
        <v>0.199597</v>
      </c>
      <c r="Q16">
        <v>0</v>
      </c>
      <c r="R16">
        <v>1058650.73</v>
      </c>
      <c r="S16">
        <v>350734.07</v>
      </c>
      <c r="T16">
        <v>0</v>
      </c>
      <c r="U16">
        <v>936314.72</v>
      </c>
      <c r="V16">
        <v>0</v>
      </c>
      <c r="W16">
        <v>376587.26</v>
      </c>
      <c r="X16">
        <v>303779.40999999997</v>
      </c>
      <c r="Y16">
        <v>321293.68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340678.11</v>
      </c>
      <c r="AF16">
        <v>0</v>
      </c>
      <c r="AG16">
        <v>0</v>
      </c>
      <c r="AH16">
        <v>0</v>
      </c>
      <c r="AI16">
        <v>68627.600000000006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428567.2</v>
      </c>
      <c r="AQ16">
        <v>0</v>
      </c>
      <c r="AR16">
        <v>0</v>
      </c>
      <c r="AS16">
        <v>2352883194.4458499</v>
      </c>
    </row>
    <row r="17" spans="2:45" ht="15.75" hidden="1" thickBot="1" x14ac:dyDescent="0.3">
      <c r="B17" s="15" t="str" cm="1">
        <f t="array" ref="B17">INDEX(_xlfn.TEXTSPLIT($J17,"/"),3)</f>
        <v>ECC&amp;0&amp;cPVVE&amp;Ex&amp;Chiller__PumpCtrl</v>
      </c>
      <c r="C17" s="33" t="str" cm="1">
        <f t="array" ref="C17">INDEX(_xlfn.TEXTSPLIT($J17,"/"),2)</f>
        <v>CZ11</v>
      </c>
      <c r="D17" s="34">
        <f>$G$3*H17</f>
        <v>140.53907349999997</v>
      </c>
      <c r="F17" t="str" cm="1">
        <f t="array" ref="F17">INDEX(_xlfn.TEXTSPLIT($J17,"/"),4)</f>
        <v>NE-Chiller-CHWPumpCtrl-Full-Msr</v>
      </c>
      <c r="G17">
        <f>$P17</f>
        <v>0.20177899999999999</v>
      </c>
      <c r="H17">
        <f>$G$4*G17</f>
        <v>200.77010499999997</v>
      </c>
      <c r="J17" t="s">
        <v>159</v>
      </c>
      <c r="K17" t="s">
        <v>21</v>
      </c>
      <c r="M17">
        <v>38661.339999999997</v>
      </c>
      <c r="N17">
        <v>13542.45</v>
      </c>
      <c r="P17">
        <v>0.20177899999999999</v>
      </c>
      <c r="Q17">
        <v>0</v>
      </c>
      <c r="R17">
        <v>989445.66</v>
      </c>
      <c r="S17">
        <v>350734.07</v>
      </c>
      <c r="T17">
        <v>0</v>
      </c>
      <c r="U17">
        <v>936314.72</v>
      </c>
      <c r="V17">
        <v>0</v>
      </c>
      <c r="W17">
        <v>415757.44</v>
      </c>
      <c r="X17">
        <v>286246.05</v>
      </c>
      <c r="Y17">
        <v>294471.40000000002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449792.58</v>
      </c>
      <c r="AF17">
        <v>0</v>
      </c>
      <c r="AG17">
        <v>0</v>
      </c>
      <c r="AH17">
        <v>0</v>
      </c>
      <c r="AI17">
        <v>68627.600000000006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437501.42</v>
      </c>
      <c r="AQ17">
        <v>0</v>
      </c>
      <c r="AR17">
        <v>0</v>
      </c>
      <c r="AS17">
        <v>2682670448.6634102</v>
      </c>
    </row>
    <row r="18" spans="2:45" ht="15.75" hidden="1" thickBot="1" x14ac:dyDescent="0.3">
      <c r="B18" s="15" t="str" cm="1">
        <f t="array" ref="B18">INDEX(_xlfn.TEXTSPLIT($J18,"/"),3)</f>
        <v>ECC&amp;0&amp;cPVVE&amp;Ex&amp;Chiller__PumpCtrl</v>
      </c>
      <c r="C18" s="33" t="str" cm="1">
        <f t="array" ref="C18">INDEX(_xlfn.TEXTSPLIT($J18,"/"),2)</f>
        <v>CZ12</v>
      </c>
      <c r="D18" s="34">
        <f>$G$3*H18</f>
        <v>137.0927915</v>
      </c>
      <c r="F18" t="str" cm="1">
        <f t="array" ref="F18">INDEX(_xlfn.TEXTSPLIT($J18,"/"),4)</f>
        <v>NE-Chiller-CHWPumpCtrl-Full-Msr</v>
      </c>
      <c r="G18">
        <f>$P18</f>
        <v>0.19683100000000001</v>
      </c>
      <c r="H18">
        <f>$G$4*G18</f>
        <v>195.846845</v>
      </c>
      <c r="J18" t="s">
        <v>141</v>
      </c>
      <c r="K18" t="s">
        <v>22</v>
      </c>
      <c r="M18">
        <v>37713.24</v>
      </c>
      <c r="N18">
        <v>13210.35</v>
      </c>
      <c r="P18">
        <v>0.19683100000000001</v>
      </c>
      <c r="Q18">
        <v>0</v>
      </c>
      <c r="R18">
        <v>866223.47</v>
      </c>
      <c r="S18">
        <v>350734.07</v>
      </c>
      <c r="T18">
        <v>0</v>
      </c>
      <c r="U18">
        <v>936314.72</v>
      </c>
      <c r="V18">
        <v>0</v>
      </c>
      <c r="W18">
        <v>459640.08</v>
      </c>
      <c r="X18">
        <v>278377.15000000002</v>
      </c>
      <c r="Y18">
        <v>286568.28000000003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641165.73</v>
      </c>
      <c r="AF18">
        <v>0</v>
      </c>
      <c r="AG18">
        <v>0</v>
      </c>
      <c r="AH18">
        <v>0</v>
      </c>
      <c r="AI18">
        <v>68627.600000000006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450758.13</v>
      </c>
      <c r="AQ18">
        <v>0</v>
      </c>
      <c r="AR18">
        <v>0</v>
      </c>
      <c r="AS18">
        <v>2547771843.0299101</v>
      </c>
    </row>
    <row r="19" spans="2:45" ht="15.75" hidden="1" thickBot="1" x14ac:dyDescent="0.3">
      <c r="B19" s="15" t="str" cm="1">
        <f t="array" ref="B19">INDEX(_xlfn.TEXTSPLIT($J19,"/"),3)</f>
        <v>ECC&amp;0&amp;cPVVE&amp;Ex&amp;Chiller__PumpCtrl</v>
      </c>
      <c r="C19" s="33" t="str" cm="1">
        <f t="array" ref="C19">INDEX(_xlfn.TEXTSPLIT($J19,"/"),2)</f>
        <v>CZ13</v>
      </c>
      <c r="D19" s="34">
        <f>$G$3*H19</f>
        <v>141.47516949999999</v>
      </c>
      <c r="F19" t="str" cm="1">
        <f t="array" ref="F19">INDEX(_xlfn.TEXTSPLIT($J19,"/"),4)</f>
        <v>NE-Chiller-CHWPumpCtrl-Full-Msr</v>
      </c>
      <c r="G19">
        <f>$P19</f>
        <v>0.203123</v>
      </c>
      <c r="H19">
        <f>$G$4*G19</f>
        <v>202.10738499999999</v>
      </c>
      <c r="J19" t="s">
        <v>129</v>
      </c>
      <c r="K19" t="s">
        <v>23</v>
      </c>
      <c r="M19">
        <v>38918.980000000003</v>
      </c>
      <c r="N19">
        <v>13632.7</v>
      </c>
      <c r="P19">
        <v>0.203123</v>
      </c>
      <c r="Q19">
        <v>0</v>
      </c>
      <c r="R19">
        <v>978290.53</v>
      </c>
      <c r="S19">
        <v>350734.07</v>
      </c>
      <c r="T19">
        <v>0</v>
      </c>
      <c r="U19">
        <v>936314.72</v>
      </c>
      <c r="V19">
        <v>0</v>
      </c>
      <c r="W19">
        <v>419937.15</v>
      </c>
      <c r="X19">
        <v>297478.71000000002</v>
      </c>
      <c r="Y19">
        <v>314677.96000000002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390302.86</v>
      </c>
      <c r="AF19">
        <v>0</v>
      </c>
      <c r="AG19">
        <v>0</v>
      </c>
      <c r="AH19">
        <v>0</v>
      </c>
      <c r="AI19">
        <v>68627.600000000006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424513.75</v>
      </c>
      <c r="AQ19">
        <v>0</v>
      </c>
      <c r="AR19">
        <v>0</v>
      </c>
      <c r="AS19">
        <v>2568259775.05832</v>
      </c>
    </row>
    <row r="20" spans="2:45" ht="15.75" hidden="1" thickBot="1" x14ac:dyDescent="0.3">
      <c r="B20" s="15" t="str" cm="1">
        <f t="array" ref="B20">INDEX(_xlfn.TEXTSPLIT($J20,"/"),3)</f>
        <v>ECC&amp;0&amp;cPVVE&amp;Ex&amp;Chiller__PumpCtrl</v>
      </c>
      <c r="C20" s="33" t="str" cm="1">
        <f t="array" ref="C20">INDEX(_xlfn.TEXTSPLIT($J20,"/"),2)</f>
        <v>CZ14</v>
      </c>
      <c r="D20" s="34">
        <f>$G$3*H20</f>
        <v>141.17079899999999</v>
      </c>
      <c r="F20" t="str" cm="1">
        <f t="array" ref="F20">INDEX(_xlfn.TEXTSPLIT($J20,"/"),4)</f>
        <v>NE-Chiller-CHWPumpCtrl-Full-Msr</v>
      </c>
      <c r="G20">
        <f>$P20</f>
        <v>0.20268600000000001</v>
      </c>
      <c r="H20">
        <f>$G$4*G20</f>
        <v>201.67257000000001</v>
      </c>
      <c r="J20" t="s">
        <v>104</v>
      </c>
      <c r="K20" t="s">
        <v>24</v>
      </c>
      <c r="M20">
        <v>38835.19</v>
      </c>
      <c r="N20">
        <v>13603.35</v>
      </c>
      <c r="P20">
        <v>0.20268600000000001</v>
      </c>
      <c r="Q20">
        <v>0</v>
      </c>
      <c r="R20">
        <v>1212739.6499999999</v>
      </c>
      <c r="S20">
        <v>350734.07</v>
      </c>
      <c r="T20">
        <v>0</v>
      </c>
      <c r="U20">
        <v>936314.72</v>
      </c>
      <c r="V20">
        <v>0</v>
      </c>
      <c r="W20">
        <v>472857.76</v>
      </c>
      <c r="X20">
        <v>324292.39</v>
      </c>
      <c r="Y20">
        <v>316034.03999999998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384436.96</v>
      </c>
      <c r="AF20">
        <v>0</v>
      </c>
      <c r="AG20">
        <v>0</v>
      </c>
      <c r="AH20">
        <v>0</v>
      </c>
      <c r="AI20">
        <v>68627.600000000006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401652.56</v>
      </c>
      <c r="AQ20">
        <v>0</v>
      </c>
      <c r="AR20">
        <v>0</v>
      </c>
      <c r="AS20">
        <v>2878056649.1214299</v>
      </c>
    </row>
    <row r="21" spans="2:45" ht="15.75" hidden="1" thickBot="1" x14ac:dyDescent="0.3">
      <c r="B21" s="15" t="str" cm="1">
        <f t="array" ref="B21">INDEX(_xlfn.TEXTSPLIT($J21,"/"),3)</f>
        <v>ECC&amp;0&amp;cPVVE&amp;Ex&amp;Chiller__PumpCtrl</v>
      </c>
      <c r="C21" s="33" t="str" cm="1">
        <f t="array" ref="C21">INDEX(_xlfn.TEXTSPLIT($J21,"/"),2)</f>
        <v>CZ15</v>
      </c>
      <c r="D21" s="34">
        <f>$G$3*H21</f>
        <v>146.13614749999999</v>
      </c>
      <c r="F21" t="str" cm="1">
        <f t="array" ref="F21">INDEX(_xlfn.TEXTSPLIT($J21,"/"),4)</f>
        <v>NE-Chiller-CHWPumpCtrl-Full-Msr</v>
      </c>
      <c r="G21">
        <f>$P21</f>
        <v>0.209815</v>
      </c>
      <c r="H21">
        <f>$G$4*G21</f>
        <v>208.76592500000001</v>
      </c>
      <c r="J21" t="s">
        <v>91</v>
      </c>
      <c r="K21" t="s">
        <v>25</v>
      </c>
      <c r="M21">
        <v>40201.160000000003</v>
      </c>
      <c r="N21">
        <v>14081.83</v>
      </c>
      <c r="P21">
        <v>0.209815</v>
      </c>
      <c r="Q21">
        <v>0</v>
      </c>
      <c r="R21">
        <v>1696450.86</v>
      </c>
      <c r="S21">
        <v>350734.07</v>
      </c>
      <c r="T21">
        <v>0</v>
      </c>
      <c r="U21">
        <v>936314.72</v>
      </c>
      <c r="V21">
        <v>0</v>
      </c>
      <c r="W21">
        <v>648097.88</v>
      </c>
      <c r="X21">
        <v>350214.15</v>
      </c>
      <c r="Y21">
        <v>371772.12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905391.09</v>
      </c>
      <c r="AF21">
        <v>0</v>
      </c>
      <c r="AG21">
        <v>0</v>
      </c>
      <c r="AH21">
        <v>0</v>
      </c>
      <c r="AI21">
        <v>68627.600000000006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356277.67</v>
      </c>
      <c r="AQ21">
        <v>0</v>
      </c>
      <c r="AR21">
        <v>0</v>
      </c>
      <c r="AS21">
        <v>3081273625.5281</v>
      </c>
    </row>
    <row r="22" spans="2:45" ht="15.75" hidden="1" thickBot="1" x14ac:dyDescent="0.3">
      <c r="B22" s="15" t="str" cm="1">
        <f t="array" ref="B22">INDEX(_xlfn.TEXTSPLIT($J22,"/"),3)</f>
        <v>ECC&amp;0&amp;cPVVE&amp;Ex&amp;Chiller__PumpCtrl</v>
      </c>
      <c r="C22" s="33" t="str" cm="1">
        <f t="array" ref="C22">INDEX(_xlfn.TEXTSPLIT($J22,"/"),2)</f>
        <v>CZ16</v>
      </c>
      <c r="D22" s="34">
        <f>$G$3*H22</f>
        <v>123.95053299999999</v>
      </c>
      <c r="F22" t="str" cm="1">
        <f t="array" ref="F22">INDEX(_xlfn.TEXTSPLIT($J22,"/"),4)</f>
        <v>NE-Chiller-CHWPumpCtrl-Full-Msr</v>
      </c>
      <c r="G22">
        <f>$P22</f>
        <v>0.17796200000000001</v>
      </c>
      <c r="H22">
        <f>$G$4*G22</f>
        <v>177.07219000000001</v>
      </c>
      <c r="J22" t="s">
        <v>76</v>
      </c>
      <c r="K22" t="s">
        <v>26</v>
      </c>
      <c r="M22">
        <v>34098.03</v>
      </c>
      <c r="N22">
        <v>11944</v>
      </c>
      <c r="P22">
        <v>0.17796200000000001</v>
      </c>
      <c r="Q22">
        <v>0</v>
      </c>
      <c r="R22">
        <v>959178.39</v>
      </c>
      <c r="S22">
        <v>350734.07</v>
      </c>
      <c r="T22">
        <v>0</v>
      </c>
      <c r="U22">
        <v>936314.72</v>
      </c>
      <c r="V22">
        <v>0</v>
      </c>
      <c r="W22">
        <v>573903.31000000006</v>
      </c>
      <c r="X22">
        <v>273988.26</v>
      </c>
      <c r="Y22">
        <v>210598.36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796036.92</v>
      </c>
      <c r="AF22">
        <v>0</v>
      </c>
      <c r="AG22">
        <v>0</v>
      </c>
      <c r="AH22">
        <v>0</v>
      </c>
      <c r="AI22">
        <v>68627.600000000006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475884.17</v>
      </c>
      <c r="AQ22">
        <v>0</v>
      </c>
      <c r="AR22">
        <v>0</v>
      </c>
      <c r="AS22">
        <v>1453463093.5112</v>
      </c>
    </row>
    <row r="23" spans="2:45" ht="15.75" hidden="1" thickBot="1" x14ac:dyDescent="0.3">
      <c r="B23" s="15" t="str" cm="1">
        <f t="array" ref="B23">INDEX(_xlfn.TEXTSPLIT($J23,"/"),3)</f>
        <v>ECC&amp;0&amp;cPVVE&amp;New&amp;Chiller__PumpCtrl</v>
      </c>
      <c r="C23" s="33" t="str" cm="1">
        <f t="array" ref="C23">INDEX(_xlfn.TEXTSPLIT($J23,"/"),2)</f>
        <v>CZ01</v>
      </c>
      <c r="D23" s="34">
        <f>$G$3*H23</f>
        <v>75.486669999999989</v>
      </c>
      <c r="F23" t="str" cm="1">
        <f t="array" ref="F23">INDEX(_xlfn.TEXTSPLIT($J23,"/"),4)</f>
        <v>NE-Chiller-CHWPumpCtrl-Full-Msr</v>
      </c>
      <c r="G23">
        <f>$P23</f>
        <v>0.10838</v>
      </c>
      <c r="H23">
        <f>$G$4*G23</f>
        <v>107.8381</v>
      </c>
      <c r="J23" t="s">
        <v>571</v>
      </c>
      <c r="K23" t="s">
        <v>11</v>
      </c>
      <c r="M23">
        <v>20765.89</v>
      </c>
      <c r="N23">
        <v>7273.96</v>
      </c>
      <c r="P23">
        <v>0.10838</v>
      </c>
      <c r="Q23">
        <v>0</v>
      </c>
      <c r="R23">
        <v>70737.570000000007</v>
      </c>
      <c r="S23">
        <v>163686.57</v>
      </c>
      <c r="T23">
        <v>0</v>
      </c>
      <c r="U23">
        <v>936314.72</v>
      </c>
      <c r="V23">
        <v>0</v>
      </c>
      <c r="W23">
        <v>225087.67</v>
      </c>
      <c r="X23">
        <v>139921.51999999999</v>
      </c>
      <c r="Y23">
        <v>155678.21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362774.34</v>
      </c>
      <c r="AF23">
        <v>0</v>
      </c>
      <c r="AG23">
        <v>0</v>
      </c>
      <c r="AH23">
        <v>0</v>
      </c>
      <c r="AI23">
        <v>68627.600000000006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530179.21</v>
      </c>
      <c r="AQ23">
        <v>0</v>
      </c>
      <c r="AR23">
        <v>0</v>
      </c>
      <c r="AS23">
        <v>1194927377.3452899</v>
      </c>
    </row>
    <row r="24" spans="2:45" ht="15.75" hidden="1" thickBot="1" x14ac:dyDescent="0.3">
      <c r="B24" s="15" t="str" cm="1">
        <f t="array" ref="B24">INDEX(_xlfn.TEXTSPLIT($J24,"/"),3)</f>
        <v>ECC&amp;0&amp;cPVVE&amp;New&amp;Chiller__PumpCtrl</v>
      </c>
      <c r="C24" s="33" t="str" cm="1">
        <f t="array" ref="C24">INDEX(_xlfn.TEXTSPLIT($J24,"/"),2)</f>
        <v>CZ02</v>
      </c>
      <c r="D24" s="34">
        <f>$G$3*H24</f>
        <v>105.16732099999999</v>
      </c>
      <c r="F24" t="str" cm="1">
        <f t="array" ref="F24">INDEX(_xlfn.TEXTSPLIT($J24,"/"),4)</f>
        <v>NE-Chiller-CHWPumpCtrl-Full-Msr</v>
      </c>
      <c r="G24">
        <f>$P24</f>
        <v>0.15099399999999999</v>
      </c>
      <c r="H24">
        <f>$G$4*G24</f>
        <v>150.23902999999999</v>
      </c>
      <c r="J24" t="s">
        <v>555</v>
      </c>
      <c r="K24" t="s">
        <v>12</v>
      </c>
      <c r="M24">
        <v>28930.86</v>
      </c>
      <c r="N24">
        <v>10134.02</v>
      </c>
      <c r="P24">
        <v>0.15099399999999999</v>
      </c>
      <c r="Q24">
        <v>0</v>
      </c>
      <c r="R24">
        <v>496190.62</v>
      </c>
      <c r="S24">
        <v>163686.57</v>
      </c>
      <c r="T24">
        <v>0</v>
      </c>
      <c r="U24">
        <v>936314.72</v>
      </c>
      <c r="V24">
        <v>0</v>
      </c>
      <c r="W24">
        <v>316314.98</v>
      </c>
      <c r="X24">
        <v>180663.95</v>
      </c>
      <c r="Y24">
        <v>182085.89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506764.03</v>
      </c>
      <c r="AF24">
        <v>0</v>
      </c>
      <c r="AG24">
        <v>0</v>
      </c>
      <c r="AH24">
        <v>0</v>
      </c>
      <c r="AI24">
        <v>68627.600000000006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486294.54</v>
      </c>
      <c r="AQ24">
        <v>0</v>
      </c>
      <c r="AR24">
        <v>0</v>
      </c>
      <c r="AS24">
        <v>2181774764.4021301</v>
      </c>
    </row>
    <row r="25" spans="2:45" ht="15.75" hidden="1" thickBot="1" x14ac:dyDescent="0.3">
      <c r="B25" s="15" t="str" cm="1">
        <f t="array" ref="B25">INDEX(_xlfn.TEXTSPLIT($J25,"/"),3)</f>
        <v>ECC&amp;0&amp;cPVVE&amp;New&amp;Chiller__PumpCtrl</v>
      </c>
      <c r="C25" s="33" t="str" cm="1">
        <f t="array" ref="C25">INDEX(_xlfn.TEXTSPLIT($J25,"/"),2)</f>
        <v>CZ03</v>
      </c>
      <c r="D25" s="34">
        <f>$G$3*H25</f>
        <v>97.587311499999998</v>
      </c>
      <c r="F25" t="str" cm="1">
        <f t="array" ref="F25">INDEX(_xlfn.TEXTSPLIT($J25,"/"),4)</f>
        <v>NE-Chiller-CHWPumpCtrl-Full-Msr</v>
      </c>
      <c r="G25">
        <f>$P25</f>
        <v>0.14011100000000001</v>
      </c>
      <c r="H25">
        <f>$G$4*G25</f>
        <v>139.41044500000001</v>
      </c>
      <c r="J25" t="s">
        <v>543</v>
      </c>
      <c r="K25" t="s">
        <v>13</v>
      </c>
      <c r="M25">
        <v>26845.64</v>
      </c>
      <c r="N25">
        <v>9403.6</v>
      </c>
      <c r="P25">
        <v>0.14011100000000001</v>
      </c>
      <c r="Q25">
        <v>0</v>
      </c>
      <c r="R25">
        <v>313476.95</v>
      </c>
      <c r="S25">
        <v>163686.57</v>
      </c>
      <c r="T25">
        <v>0</v>
      </c>
      <c r="U25">
        <v>936314.72</v>
      </c>
      <c r="V25">
        <v>0</v>
      </c>
      <c r="W25">
        <v>230496.68</v>
      </c>
      <c r="X25">
        <v>177924.02</v>
      </c>
      <c r="Y25">
        <v>193800.46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232014.95</v>
      </c>
      <c r="AF25">
        <v>0</v>
      </c>
      <c r="AG25">
        <v>0</v>
      </c>
      <c r="AH25">
        <v>0</v>
      </c>
      <c r="AI25">
        <v>68627.600000000006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484914.33</v>
      </c>
      <c r="AQ25">
        <v>0</v>
      </c>
      <c r="AR25">
        <v>0</v>
      </c>
      <c r="AS25">
        <v>1570914696.8286099</v>
      </c>
    </row>
    <row r="26" spans="2:45" ht="15.75" hidden="1" thickBot="1" x14ac:dyDescent="0.3">
      <c r="B26" s="15" t="str" cm="1">
        <f t="array" ref="B26">INDEX(_xlfn.TEXTSPLIT($J26,"/"),3)</f>
        <v>ECC&amp;0&amp;cPVVE&amp;New&amp;Chiller__PumpCtrl</v>
      </c>
      <c r="C26" s="33" t="str" cm="1">
        <f t="array" ref="C26">INDEX(_xlfn.TEXTSPLIT($J26,"/"),2)</f>
        <v>CZ04</v>
      </c>
      <c r="D26" s="34">
        <f>$G$3*H26</f>
        <v>106.643901</v>
      </c>
      <c r="F26" t="str" cm="1">
        <f t="array" ref="F26">INDEX(_xlfn.TEXTSPLIT($J26,"/"),4)</f>
        <v>NE-Chiller-CHWPumpCtrl-Full-Msr</v>
      </c>
      <c r="G26">
        <f>$P26</f>
        <v>0.153114</v>
      </c>
      <c r="H26">
        <f>$G$4*G26</f>
        <v>152.34843000000001</v>
      </c>
      <c r="J26" t="s">
        <v>525</v>
      </c>
      <c r="K26" t="s">
        <v>14</v>
      </c>
      <c r="M26">
        <v>29337.02</v>
      </c>
      <c r="N26">
        <v>10276.290000000001</v>
      </c>
      <c r="P26">
        <v>0.153114</v>
      </c>
      <c r="Q26">
        <v>0</v>
      </c>
      <c r="R26">
        <v>515721.89</v>
      </c>
      <c r="S26">
        <v>163686.57</v>
      </c>
      <c r="T26">
        <v>0</v>
      </c>
      <c r="U26">
        <v>936314.72</v>
      </c>
      <c r="V26">
        <v>0</v>
      </c>
      <c r="W26">
        <v>266872.49</v>
      </c>
      <c r="X26">
        <v>202349.6</v>
      </c>
      <c r="Y26">
        <v>218206.78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271476.44</v>
      </c>
      <c r="AF26">
        <v>0</v>
      </c>
      <c r="AG26">
        <v>0</v>
      </c>
      <c r="AH26">
        <v>0</v>
      </c>
      <c r="AI26">
        <v>68627.600000000006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467625.91</v>
      </c>
      <c r="AQ26">
        <v>0</v>
      </c>
      <c r="AR26">
        <v>0</v>
      </c>
      <c r="AS26">
        <v>2012462045.6386499</v>
      </c>
    </row>
    <row r="27" spans="2:45" ht="15.75" hidden="1" thickBot="1" x14ac:dyDescent="0.3">
      <c r="B27" s="15" t="str" cm="1">
        <f t="array" ref="B27">INDEX(_xlfn.TEXTSPLIT($J27,"/"),3)</f>
        <v>ECC&amp;0&amp;cPVVE&amp;New&amp;Chiller__PumpCtrl</v>
      </c>
      <c r="C27" s="33" t="str" cm="1">
        <f t="array" ref="C27">INDEX(_xlfn.TEXTSPLIT($J27,"/"),2)</f>
        <v>CZ05</v>
      </c>
      <c r="D27" s="34">
        <f>$G$3*H27</f>
        <v>91.146079499999999</v>
      </c>
      <c r="F27" t="str" cm="1">
        <f t="array" ref="F27">INDEX(_xlfn.TEXTSPLIT($J27,"/"),4)</f>
        <v>NE-Chiller-CHWPumpCtrl-Full-Msr</v>
      </c>
      <c r="G27">
        <f>$P27</f>
        <v>0.13086300000000001</v>
      </c>
      <c r="H27">
        <f>$G$4*G27</f>
        <v>130.208685</v>
      </c>
      <c r="J27" t="s">
        <v>507</v>
      </c>
      <c r="K27" t="s">
        <v>15</v>
      </c>
      <c r="M27">
        <v>25073.7</v>
      </c>
      <c r="N27">
        <v>8782.92</v>
      </c>
      <c r="P27">
        <v>0.13086300000000001</v>
      </c>
      <c r="Q27">
        <v>0</v>
      </c>
      <c r="R27">
        <v>362711.16</v>
      </c>
      <c r="S27">
        <v>163686.57</v>
      </c>
      <c r="T27">
        <v>0</v>
      </c>
      <c r="U27">
        <v>936314.72</v>
      </c>
      <c r="V27">
        <v>0</v>
      </c>
      <c r="W27">
        <v>234771.47</v>
      </c>
      <c r="X27">
        <v>170944.38</v>
      </c>
      <c r="Y27">
        <v>182799.54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233878.9</v>
      </c>
      <c r="AF27">
        <v>0</v>
      </c>
      <c r="AG27">
        <v>0</v>
      </c>
      <c r="AH27">
        <v>0</v>
      </c>
      <c r="AI27">
        <v>68627.600000000006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484969.44</v>
      </c>
      <c r="AQ27">
        <v>0</v>
      </c>
      <c r="AR27">
        <v>0</v>
      </c>
      <c r="AS27">
        <v>1001376452.51265</v>
      </c>
    </row>
    <row r="28" spans="2:45" ht="15.75" hidden="1" thickBot="1" x14ac:dyDescent="0.3">
      <c r="B28" s="15" t="str" cm="1">
        <f t="array" ref="B28">INDEX(_xlfn.TEXTSPLIT($J28,"/"),3)</f>
        <v>ECC&amp;0&amp;cPVVE&amp;New&amp;Chiller__PumpCtrl</v>
      </c>
      <c r="C28" s="33" t="str" cm="1">
        <f t="array" ref="C28">INDEX(_xlfn.TEXTSPLIT($J28,"/"),2)</f>
        <v>CZ06</v>
      </c>
      <c r="D28" s="34">
        <f>$G$3*H28</f>
        <v>96.698577499999985</v>
      </c>
      <c r="F28" t="str" cm="1">
        <f t="array" ref="F28">INDEX(_xlfn.TEXTSPLIT($J28,"/"),4)</f>
        <v>NE-Chiller-CHWPumpCtrl-Full-Msr</v>
      </c>
      <c r="G28">
        <f>$P28</f>
        <v>0.13883499999999999</v>
      </c>
      <c r="H28">
        <f>$G$4*G28</f>
        <v>138.14082499999998</v>
      </c>
      <c r="J28" t="s">
        <v>494</v>
      </c>
      <c r="K28" t="s">
        <v>16</v>
      </c>
      <c r="M28">
        <v>26601.06</v>
      </c>
      <c r="N28">
        <v>9317.93</v>
      </c>
      <c r="P28">
        <v>0.13883499999999999</v>
      </c>
      <c r="Q28">
        <v>0</v>
      </c>
      <c r="R28">
        <v>688364.8</v>
      </c>
      <c r="S28">
        <v>163686.57</v>
      </c>
      <c r="T28">
        <v>0</v>
      </c>
      <c r="U28">
        <v>936314.72</v>
      </c>
      <c r="V28">
        <v>0</v>
      </c>
      <c r="W28">
        <v>253822.53</v>
      </c>
      <c r="X28">
        <v>216978.96</v>
      </c>
      <c r="Y28">
        <v>234478.81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108965.93</v>
      </c>
      <c r="AF28">
        <v>0</v>
      </c>
      <c r="AG28">
        <v>0</v>
      </c>
      <c r="AH28">
        <v>0</v>
      </c>
      <c r="AI28">
        <v>68627.600000000006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446533.38</v>
      </c>
      <c r="AQ28">
        <v>0</v>
      </c>
      <c r="AR28">
        <v>0</v>
      </c>
      <c r="AS28">
        <v>1018096766.7634799</v>
      </c>
    </row>
    <row r="29" spans="2:45" ht="15.75" hidden="1" thickBot="1" x14ac:dyDescent="0.3">
      <c r="B29" s="15" t="str" cm="1">
        <f t="array" ref="B29">INDEX(_xlfn.TEXTSPLIT($J29,"/"),3)</f>
        <v>ECC&amp;0&amp;cPVVE&amp;New&amp;Chiller__PumpCtrl</v>
      </c>
      <c r="C29" s="33" t="str" cm="1">
        <f t="array" ref="C29">INDEX(_xlfn.TEXTSPLIT($J29,"/"),2)</f>
        <v>CZ07</v>
      </c>
      <c r="D29" s="34">
        <f>$G$3*H29</f>
        <v>99.445573499999981</v>
      </c>
      <c r="F29" t="str" cm="1">
        <f t="array" ref="F29">INDEX(_xlfn.TEXTSPLIT($J29,"/"),4)</f>
        <v>NE-Chiller-CHWPumpCtrl-Full-Msr</v>
      </c>
      <c r="G29">
        <f>$P29</f>
        <v>0.14277899999999999</v>
      </c>
      <c r="H29">
        <f>$G$4*G29</f>
        <v>142.06510499999999</v>
      </c>
      <c r="J29" t="s">
        <v>476</v>
      </c>
      <c r="K29" t="s">
        <v>17</v>
      </c>
      <c r="M29">
        <v>27356.78</v>
      </c>
      <c r="N29">
        <v>9582.65</v>
      </c>
      <c r="P29">
        <v>0.14277899999999999</v>
      </c>
      <c r="Q29">
        <v>0</v>
      </c>
      <c r="R29">
        <v>730394.82</v>
      </c>
      <c r="S29">
        <v>163686.57</v>
      </c>
      <c r="T29">
        <v>0</v>
      </c>
      <c r="U29">
        <v>936314.72</v>
      </c>
      <c r="V29">
        <v>0</v>
      </c>
      <c r="W29">
        <v>271733.01</v>
      </c>
      <c r="X29">
        <v>224004.4</v>
      </c>
      <c r="Y29">
        <v>242531.68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162962.51999999999</v>
      </c>
      <c r="AF29">
        <v>0</v>
      </c>
      <c r="AG29">
        <v>0</v>
      </c>
      <c r="AH29">
        <v>0</v>
      </c>
      <c r="AI29">
        <v>68627.600000000006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440539.81</v>
      </c>
      <c r="AQ29">
        <v>0</v>
      </c>
      <c r="AR29">
        <v>0</v>
      </c>
      <c r="AS29">
        <v>1167848554.5411899</v>
      </c>
    </row>
    <row r="30" spans="2:45" ht="15.75" hidden="1" thickBot="1" x14ac:dyDescent="0.3">
      <c r="B30" s="15" t="str" cm="1">
        <f t="array" ref="B30">INDEX(_xlfn.TEXTSPLIT($J30,"/"),3)</f>
        <v>ECC&amp;0&amp;cPVVE&amp;New&amp;Chiller__PumpCtrl</v>
      </c>
      <c r="C30" s="33" t="str" cm="1">
        <f t="array" ref="C30">INDEX(_xlfn.TEXTSPLIT($J30,"/"),2)</f>
        <v>CZ08</v>
      </c>
      <c r="D30" s="34">
        <f>$G$3*H30</f>
        <v>108.28624799999999</v>
      </c>
      <c r="F30" t="str" cm="1">
        <f t="array" ref="F30">INDEX(_xlfn.TEXTSPLIT($J30,"/"),4)</f>
        <v>NE-Chiller-CHWPumpCtrl-Full-Msr</v>
      </c>
      <c r="G30">
        <f>$P30</f>
        <v>0.155472</v>
      </c>
      <c r="H30">
        <f>$G$4*G30</f>
        <v>154.69463999999999</v>
      </c>
      <c r="J30" t="s">
        <v>462</v>
      </c>
      <c r="K30" t="s">
        <v>18</v>
      </c>
      <c r="M30">
        <v>29788.84</v>
      </c>
      <c r="N30">
        <v>10434.56</v>
      </c>
      <c r="P30">
        <v>0.155472</v>
      </c>
      <c r="Q30">
        <v>0</v>
      </c>
      <c r="R30">
        <v>693286.09</v>
      </c>
      <c r="S30">
        <v>163686.57</v>
      </c>
      <c r="T30">
        <v>0</v>
      </c>
      <c r="U30">
        <v>936314.72</v>
      </c>
      <c r="V30">
        <v>0</v>
      </c>
      <c r="W30">
        <v>277304.86</v>
      </c>
      <c r="X30">
        <v>232870.68</v>
      </c>
      <c r="Y30">
        <v>253550.17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206740.7</v>
      </c>
      <c r="AF30">
        <v>0</v>
      </c>
      <c r="AG30">
        <v>0</v>
      </c>
      <c r="AH30">
        <v>0</v>
      </c>
      <c r="AI30">
        <v>68627.600000000006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439672.51</v>
      </c>
      <c r="AQ30">
        <v>0</v>
      </c>
      <c r="AR30">
        <v>0</v>
      </c>
      <c r="AS30">
        <v>1122785786.4907501</v>
      </c>
    </row>
    <row r="31" spans="2:45" ht="15.75" hidden="1" thickBot="1" x14ac:dyDescent="0.3">
      <c r="B31" s="15" t="str" cm="1">
        <f t="array" ref="B31">INDEX(_xlfn.TEXTSPLIT($J31,"/"),3)</f>
        <v>ECC&amp;0&amp;cPVVE&amp;New&amp;Chiller__PumpCtrl</v>
      </c>
      <c r="C31" s="33" t="str" cm="1">
        <f t="array" ref="C31">INDEX(_xlfn.TEXTSPLIT($J31,"/"),2)</f>
        <v>CZ09</v>
      </c>
      <c r="D31" s="34">
        <f>$G$3*H31</f>
        <v>109.30035199999999</v>
      </c>
      <c r="F31" t="str" cm="1">
        <f t="array" ref="F31">INDEX(_xlfn.TEXTSPLIT($J31,"/"),4)</f>
        <v>NE-Chiller-CHWPumpCtrl-Full-Msr</v>
      </c>
      <c r="G31">
        <f>$P31</f>
        <v>0.15692800000000001</v>
      </c>
      <c r="H31">
        <f>$G$4*G31</f>
        <v>156.14336</v>
      </c>
      <c r="J31" t="s">
        <v>445</v>
      </c>
      <c r="K31" t="s">
        <v>19</v>
      </c>
      <c r="M31">
        <v>30067.9</v>
      </c>
      <c r="N31">
        <v>10532.31</v>
      </c>
      <c r="P31">
        <v>0.15692800000000001</v>
      </c>
      <c r="Q31">
        <v>0</v>
      </c>
      <c r="R31">
        <v>926000.09</v>
      </c>
      <c r="S31">
        <v>163686.57</v>
      </c>
      <c r="T31">
        <v>0</v>
      </c>
      <c r="U31">
        <v>936314.72</v>
      </c>
      <c r="V31">
        <v>0</v>
      </c>
      <c r="W31">
        <v>351789.81</v>
      </c>
      <c r="X31">
        <v>242721.21</v>
      </c>
      <c r="Y31">
        <v>260181.22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349075.05</v>
      </c>
      <c r="AF31">
        <v>0</v>
      </c>
      <c r="AG31">
        <v>0</v>
      </c>
      <c r="AH31">
        <v>0</v>
      </c>
      <c r="AI31">
        <v>68627.600000000006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433610.18</v>
      </c>
      <c r="AQ31">
        <v>0</v>
      </c>
      <c r="AR31">
        <v>0</v>
      </c>
      <c r="AS31">
        <v>1356697949.3385999</v>
      </c>
    </row>
    <row r="32" spans="2:45" ht="15.75" hidden="1" thickBot="1" x14ac:dyDescent="0.3">
      <c r="B32" s="15" t="str" cm="1">
        <f t="array" ref="B32">INDEX(_xlfn.TEXTSPLIT($J32,"/"),3)</f>
        <v>ECC&amp;0&amp;cPVVE&amp;New&amp;Chiller__PumpCtrl</v>
      </c>
      <c r="C32" s="33" t="str" cm="1">
        <f t="array" ref="C32">INDEX(_xlfn.TEXTSPLIT($J32,"/"),2)</f>
        <v>CZ10</v>
      </c>
      <c r="D32" s="34">
        <f>$G$3*H32</f>
        <v>119.86277449999999</v>
      </c>
      <c r="F32" t="str" cm="1">
        <f t="array" ref="F32">INDEX(_xlfn.TEXTSPLIT($J32,"/"),4)</f>
        <v>NE-Chiller-CHWPumpCtrl-Full-Msr</v>
      </c>
      <c r="G32">
        <f>$P32</f>
        <v>0.172093</v>
      </c>
      <c r="H32">
        <f>$G$4*G32</f>
        <v>171.23253499999998</v>
      </c>
      <c r="J32" t="s">
        <v>428</v>
      </c>
      <c r="K32" t="s">
        <v>20</v>
      </c>
      <c r="M32">
        <v>32973.47</v>
      </c>
      <c r="N32">
        <v>11550.08</v>
      </c>
      <c r="P32">
        <v>0.172093</v>
      </c>
      <c r="Q32">
        <v>0</v>
      </c>
      <c r="R32">
        <v>825249.46</v>
      </c>
      <c r="S32">
        <v>163686.57</v>
      </c>
      <c r="T32">
        <v>0</v>
      </c>
      <c r="U32">
        <v>936314.72</v>
      </c>
      <c r="V32">
        <v>0</v>
      </c>
      <c r="W32">
        <v>332393.14</v>
      </c>
      <c r="X32">
        <v>247057.39</v>
      </c>
      <c r="Y32">
        <v>265155.62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317324.84999999998</v>
      </c>
      <c r="AF32">
        <v>0</v>
      </c>
      <c r="AG32">
        <v>0</v>
      </c>
      <c r="AH32">
        <v>0</v>
      </c>
      <c r="AI32">
        <v>68627.600000000006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428562.16</v>
      </c>
      <c r="AQ32">
        <v>0</v>
      </c>
      <c r="AR32">
        <v>0</v>
      </c>
      <c r="AS32">
        <v>1974470464.4205401</v>
      </c>
    </row>
    <row r="33" spans="2:45" ht="15.75" hidden="1" thickBot="1" x14ac:dyDescent="0.3">
      <c r="B33" s="15" t="str" cm="1">
        <f t="array" ref="B33">INDEX(_xlfn.TEXTSPLIT($J33,"/"),3)</f>
        <v>ECC&amp;0&amp;cPVVE&amp;New&amp;Chiller__PumpCtrl</v>
      </c>
      <c r="C33" s="33" t="str" cm="1">
        <f t="array" ref="C33">INDEX(_xlfn.TEXTSPLIT($J33,"/"),2)</f>
        <v>CZ11</v>
      </c>
      <c r="D33" s="34">
        <f>$G$3*H33</f>
        <v>109.5893995</v>
      </c>
      <c r="F33" t="str" cm="1">
        <f t="array" ref="F33">INDEX(_xlfn.TEXTSPLIT($J33,"/"),4)</f>
        <v>NE-Chiller-CHWPumpCtrl-Full-Msr</v>
      </c>
      <c r="G33">
        <f>$P33</f>
        <v>0.15734300000000001</v>
      </c>
      <c r="H33">
        <f>$G$4*G33</f>
        <v>156.556285</v>
      </c>
      <c r="J33" t="s">
        <v>413</v>
      </c>
      <c r="K33" t="s">
        <v>21</v>
      </c>
      <c r="M33">
        <v>30147.360000000001</v>
      </c>
      <c r="N33">
        <v>10560.14</v>
      </c>
      <c r="P33">
        <v>0.15734300000000001</v>
      </c>
      <c r="Q33">
        <v>0</v>
      </c>
      <c r="R33">
        <v>638152.21</v>
      </c>
      <c r="S33">
        <v>163686.57</v>
      </c>
      <c r="T33">
        <v>0</v>
      </c>
      <c r="U33">
        <v>936314.72</v>
      </c>
      <c r="V33">
        <v>0</v>
      </c>
      <c r="W33">
        <v>338681.7</v>
      </c>
      <c r="X33">
        <v>224682.17</v>
      </c>
      <c r="Y33">
        <v>236748.48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357612.54</v>
      </c>
      <c r="AF33">
        <v>0</v>
      </c>
      <c r="AG33">
        <v>0</v>
      </c>
      <c r="AH33">
        <v>0</v>
      </c>
      <c r="AI33">
        <v>68627.600000000006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437385.72</v>
      </c>
      <c r="AQ33">
        <v>0</v>
      </c>
      <c r="AR33">
        <v>0</v>
      </c>
      <c r="AS33">
        <v>1813426867.85761</v>
      </c>
    </row>
    <row r="34" spans="2:45" ht="15.75" hidden="1" thickBot="1" x14ac:dyDescent="0.3">
      <c r="B34" s="15" t="str" cm="1">
        <f t="array" ref="B34">INDEX(_xlfn.TEXTSPLIT($J34,"/"),3)</f>
        <v>ECC&amp;0&amp;cPVVE&amp;New&amp;Chiller__PumpCtrl</v>
      </c>
      <c r="C34" s="33" t="str" cm="1">
        <f t="array" ref="C34">INDEX(_xlfn.TEXTSPLIT($J34,"/"),2)</f>
        <v>CZ12</v>
      </c>
      <c r="D34" s="34">
        <f>$G$3*H34</f>
        <v>109.70432199999999</v>
      </c>
      <c r="F34" t="str" cm="1">
        <f t="array" ref="F34">INDEX(_xlfn.TEXTSPLIT($J34,"/"),4)</f>
        <v>NE-Chiller-CHWPumpCtrl-Full-Msr</v>
      </c>
      <c r="G34">
        <f>$P34</f>
        <v>0.15750800000000001</v>
      </c>
      <c r="H34">
        <f>$G$4*G34</f>
        <v>156.72046</v>
      </c>
      <c r="J34" t="s">
        <v>398</v>
      </c>
      <c r="K34" t="s">
        <v>22</v>
      </c>
      <c r="M34">
        <v>30178.86</v>
      </c>
      <c r="N34">
        <v>10571.18</v>
      </c>
      <c r="P34">
        <v>0.15750800000000001</v>
      </c>
      <c r="Q34">
        <v>0</v>
      </c>
      <c r="R34">
        <v>641721.53</v>
      </c>
      <c r="S34">
        <v>163686.57</v>
      </c>
      <c r="T34">
        <v>0</v>
      </c>
      <c r="U34">
        <v>936314.72</v>
      </c>
      <c r="V34">
        <v>0</v>
      </c>
      <c r="W34">
        <v>370254.34</v>
      </c>
      <c r="X34">
        <v>225641.89</v>
      </c>
      <c r="Y34">
        <v>231147.47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497340.66</v>
      </c>
      <c r="AF34">
        <v>0</v>
      </c>
      <c r="AG34">
        <v>0</v>
      </c>
      <c r="AH34">
        <v>0</v>
      </c>
      <c r="AI34">
        <v>68627.600000000006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450692.55</v>
      </c>
      <c r="AQ34">
        <v>0</v>
      </c>
      <c r="AR34">
        <v>0</v>
      </c>
      <c r="AS34">
        <v>1947429574.0434</v>
      </c>
    </row>
    <row r="35" spans="2:45" ht="15.75" hidden="1" thickBot="1" x14ac:dyDescent="0.3">
      <c r="B35" s="15" t="str" cm="1">
        <f t="array" ref="B35">INDEX(_xlfn.TEXTSPLIT($J35,"/"),3)</f>
        <v>ECC&amp;0&amp;cPVVE&amp;New&amp;Chiller__PumpCtrl</v>
      </c>
      <c r="C35" s="33" t="str" cm="1">
        <f t="array" ref="C35">INDEX(_xlfn.TEXTSPLIT($J35,"/"),2)</f>
        <v>CZ13</v>
      </c>
      <c r="D35" s="34">
        <f>$G$3*H35</f>
        <v>112.970907</v>
      </c>
      <c r="F35" t="str" cm="1">
        <f t="array" ref="F35">INDEX(_xlfn.TEXTSPLIT($J35,"/"),4)</f>
        <v>NE-Chiller-CHWPumpCtrl-Full-Msr</v>
      </c>
      <c r="G35">
        <f>$P35</f>
        <v>0.16219800000000001</v>
      </c>
      <c r="H35">
        <f>$G$4*G35</f>
        <v>161.38701</v>
      </c>
      <c r="J35" t="s">
        <v>381</v>
      </c>
      <c r="K35" t="s">
        <v>23</v>
      </c>
      <c r="M35">
        <v>31077.47</v>
      </c>
      <c r="N35">
        <v>10885.94</v>
      </c>
      <c r="P35">
        <v>0.16219800000000001</v>
      </c>
      <c r="Q35">
        <v>0</v>
      </c>
      <c r="R35">
        <v>729331.83</v>
      </c>
      <c r="S35">
        <v>163686.57</v>
      </c>
      <c r="T35">
        <v>0</v>
      </c>
      <c r="U35">
        <v>936314.72</v>
      </c>
      <c r="V35">
        <v>0</v>
      </c>
      <c r="W35">
        <v>340195.79</v>
      </c>
      <c r="X35">
        <v>238223.71</v>
      </c>
      <c r="Y35">
        <v>251702.26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313242.25</v>
      </c>
      <c r="AF35">
        <v>0</v>
      </c>
      <c r="AG35">
        <v>0</v>
      </c>
      <c r="AH35">
        <v>0</v>
      </c>
      <c r="AI35">
        <v>68627.600000000006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424441.65</v>
      </c>
      <c r="AQ35">
        <v>0</v>
      </c>
      <c r="AR35">
        <v>0</v>
      </c>
      <c r="AS35">
        <v>1921315381.44715</v>
      </c>
    </row>
    <row r="36" spans="2:45" ht="15.75" hidden="1" thickBot="1" x14ac:dyDescent="0.3">
      <c r="B36" s="15" t="str" cm="1">
        <f t="array" ref="B36">INDEX(_xlfn.TEXTSPLIT($J36,"/"),3)</f>
        <v>ECC&amp;0&amp;cPVVE&amp;New&amp;Chiller__PumpCtrl</v>
      </c>
      <c r="C36" s="33" t="str" cm="1">
        <f t="array" ref="C36">INDEX(_xlfn.TEXTSPLIT($J36,"/"),2)</f>
        <v>CZ14</v>
      </c>
      <c r="D36" s="34">
        <f>$G$3*H36</f>
        <v>112.84135799999997</v>
      </c>
      <c r="F36" t="str" cm="1">
        <f t="array" ref="F36">INDEX(_xlfn.TEXTSPLIT($J36,"/"),4)</f>
        <v>NE-Chiller-CHWPumpCtrl-Full-Msr</v>
      </c>
      <c r="G36">
        <f>$P36</f>
        <v>0.16201199999999999</v>
      </c>
      <c r="H36">
        <f>$G$4*G36</f>
        <v>161.20193999999998</v>
      </c>
      <c r="J36" t="s">
        <v>365</v>
      </c>
      <c r="K36" t="s">
        <v>24</v>
      </c>
      <c r="M36">
        <v>31041.97</v>
      </c>
      <c r="N36">
        <v>10873.51</v>
      </c>
      <c r="P36">
        <v>0.16201199999999999</v>
      </c>
      <c r="Q36">
        <v>0</v>
      </c>
      <c r="R36">
        <v>873798.69</v>
      </c>
      <c r="S36">
        <v>163686.57</v>
      </c>
      <c r="T36">
        <v>0</v>
      </c>
      <c r="U36">
        <v>936314.72</v>
      </c>
      <c r="V36">
        <v>0</v>
      </c>
      <c r="W36">
        <v>383142</v>
      </c>
      <c r="X36">
        <v>254739.46</v>
      </c>
      <c r="Y36">
        <v>248275.17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297470.88</v>
      </c>
      <c r="AF36">
        <v>0</v>
      </c>
      <c r="AG36">
        <v>0</v>
      </c>
      <c r="AH36">
        <v>0</v>
      </c>
      <c r="AI36">
        <v>68627.600000000006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401519.71</v>
      </c>
      <c r="AQ36">
        <v>0</v>
      </c>
      <c r="AR36">
        <v>0</v>
      </c>
      <c r="AS36">
        <v>1973696644.87447</v>
      </c>
    </row>
    <row r="37" spans="2:45" ht="15.75" hidden="1" thickBot="1" x14ac:dyDescent="0.3">
      <c r="B37" s="15" t="str" cm="1">
        <f t="array" ref="B37">INDEX(_xlfn.TEXTSPLIT($J37,"/"),3)</f>
        <v>ECC&amp;0&amp;cPVVE&amp;New&amp;Chiller__PumpCtrl</v>
      </c>
      <c r="C37" s="33" t="str" cm="1">
        <f t="array" ref="C37">INDEX(_xlfn.TEXTSPLIT($J37,"/"),2)</f>
        <v>CZ15</v>
      </c>
      <c r="D37" s="34">
        <f>$G$3*H37</f>
        <v>117.779543</v>
      </c>
      <c r="F37" t="str" cm="1">
        <f t="array" ref="F37">INDEX(_xlfn.TEXTSPLIT($J37,"/"),4)</f>
        <v>NE-Chiller-CHWPumpCtrl-Full-Msr</v>
      </c>
      <c r="G37">
        <f>$P37</f>
        <v>0.169102</v>
      </c>
      <c r="H37">
        <f>$G$4*G37</f>
        <v>168.25649000000001</v>
      </c>
      <c r="J37" t="s">
        <v>348</v>
      </c>
      <c r="K37" t="s">
        <v>25</v>
      </c>
      <c r="M37">
        <v>32400.32</v>
      </c>
      <c r="N37">
        <v>11349.32</v>
      </c>
      <c r="P37">
        <v>0.169102</v>
      </c>
      <c r="Q37">
        <v>0</v>
      </c>
      <c r="R37">
        <v>1280759.68</v>
      </c>
      <c r="S37">
        <v>163686.57</v>
      </c>
      <c r="T37">
        <v>0</v>
      </c>
      <c r="U37">
        <v>936314.72</v>
      </c>
      <c r="V37">
        <v>0</v>
      </c>
      <c r="W37">
        <v>501293.56</v>
      </c>
      <c r="X37">
        <v>277722.13</v>
      </c>
      <c r="Y37">
        <v>294280.64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641920.99</v>
      </c>
      <c r="AF37">
        <v>0</v>
      </c>
      <c r="AG37">
        <v>0</v>
      </c>
      <c r="AH37">
        <v>0</v>
      </c>
      <c r="AI37">
        <v>68627.600000000006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356141.8</v>
      </c>
      <c r="AQ37">
        <v>0</v>
      </c>
      <c r="AR37">
        <v>0</v>
      </c>
      <c r="AS37">
        <v>2496649665.9562998</v>
      </c>
    </row>
    <row r="38" spans="2:45" ht="15.75" hidden="1" thickBot="1" x14ac:dyDescent="0.3">
      <c r="B38" s="15" t="str" cm="1">
        <f t="array" ref="B38">INDEX(_xlfn.TEXTSPLIT($J38,"/"),3)</f>
        <v>ECC&amp;0&amp;cPVVE&amp;New&amp;Chiller__PumpCtrl</v>
      </c>
      <c r="C38" s="33" t="str" cm="1">
        <f t="array" ref="C38">INDEX(_xlfn.TEXTSPLIT($J38,"/"),2)</f>
        <v>CZ16</v>
      </c>
      <c r="D38" s="34">
        <f>$G$3*H38</f>
        <v>98.085308999999995</v>
      </c>
      <c r="F38" t="str" cm="1">
        <f t="array" ref="F38">INDEX(_xlfn.TEXTSPLIT($J38,"/"),4)</f>
        <v>NE-Chiller-CHWPumpCtrl-Full-Msr</v>
      </c>
      <c r="G38">
        <f>$P38</f>
        <v>0.14082600000000001</v>
      </c>
      <c r="H38">
        <f>$G$4*G38</f>
        <v>140.12187</v>
      </c>
      <c r="J38" t="s">
        <v>333</v>
      </c>
      <c r="K38" t="s">
        <v>26</v>
      </c>
      <c r="M38">
        <v>26982.63</v>
      </c>
      <c r="N38">
        <v>9451.59</v>
      </c>
      <c r="P38">
        <v>0.14082600000000001</v>
      </c>
      <c r="Q38">
        <v>0</v>
      </c>
      <c r="R38">
        <v>726441.15</v>
      </c>
      <c r="S38">
        <v>163686.57</v>
      </c>
      <c r="T38">
        <v>0</v>
      </c>
      <c r="U38">
        <v>936314.72</v>
      </c>
      <c r="V38">
        <v>0</v>
      </c>
      <c r="W38">
        <v>459912.44</v>
      </c>
      <c r="X38">
        <v>213286.95</v>
      </c>
      <c r="Y38">
        <v>164802.38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607325.55000000005</v>
      </c>
      <c r="AF38">
        <v>0</v>
      </c>
      <c r="AG38">
        <v>0</v>
      </c>
      <c r="AH38">
        <v>0</v>
      </c>
      <c r="AI38">
        <v>68627.600000000006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475751.74</v>
      </c>
      <c r="AQ38">
        <v>0</v>
      </c>
      <c r="AR38">
        <v>0</v>
      </c>
      <c r="AS38">
        <v>1166403286.2367499</v>
      </c>
    </row>
    <row r="39" spans="2:45" ht="15.75" hidden="1" thickBot="1" x14ac:dyDescent="0.3">
      <c r="B39" s="15" t="str" cm="1">
        <f t="array" ref="B39">INDEX(_xlfn.TEXTSPLIT($J39,"/"),3)</f>
        <v>ESe&amp;0&amp;cPVVE&amp;Ex&amp;Chiller__PumpCtrl</v>
      </c>
      <c r="C39" s="33" t="str" cm="1">
        <f t="array" ref="C39">INDEX(_xlfn.TEXTSPLIT($J39,"/"),2)</f>
        <v>CZ01</v>
      </c>
      <c r="D39" s="34">
        <f>$G$3*H39</f>
        <v>16.183177499999996</v>
      </c>
      <c r="F39" t="str" cm="1">
        <f t="array" ref="F39">INDEX(_xlfn.TEXTSPLIT($J39,"/"),4)</f>
        <v>NE-Chiller-CHWPumpCtrl-Full-Msr</v>
      </c>
      <c r="G39">
        <f>$P39</f>
        <v>2.3234999999999999E-2</v>
      </c>
      <c r="H39">
        <f>$G$4*G39</f>
        <v>23.118824999999998</v>
      </c>
      <c r="J39" t="s">
        <v>313</v>
      </c>
      <c r="K39" t="s">
        <v>11</v>
      </c>
      <c r="M39">
        <v>4451.92</v>
      </c>
      <c r="N39">
        <v>1559.44</v>
      </c>
      <c r="P39">
        <v>2.3234999999999999E-2</v>
      </c>
      <c r="Q39">
        <v>0</v>
      </c>
      <c r="R39">
        <v>27464.91</v>
      </c>
      <c r="S39">
        <v>197273.03</v>
      </c>
      <c r="T39">
        <v>0</v>
      </c>
      <c r="U39">
        <v>258328.15</v>
      </c>
      <c r="V39">
        <v>0</v>
      </c>
      <c r="W39">
        <v>314608.24</v>
      </c>
      <c r="X39">
        <v>5857.67</v>
      </c>
      <c r="Y39">
        <v>6001.69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196347.49</v>
      </c>
      <c r="AF39">
        <v>0</v>
      </c>
      <c r="AG39">
        <v>0</v>
      </c>
      <c r="AH39">
        <v>0</v>
      </c>
      <c r="AI39">
        <v>64094.3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253176.88</v>
      </c>
      <c r="AQ39">
        <v>0</v>
      </c>
      <c r="AR39">
        <v>0</v>
      </c>
      <c r="AS39">
        <v>564260322.53592896</v>
      </c>
    </row>
    <row r="40" spans="2:45" ht="15.75" hidden="1" thickBot="1" x14ac:dyDescent="0.3">
      <c r="B40" s="15" t="str" cm="1">
        <f t="array" ref="B40">INDEX(_xlfn.TEXTSPLIT($J40,"/"),3)</f>
        <v>ESe&amp;0&amp;cPVVE&amp;Ex&amp;Chiller__PumpCtrl</v>
      </c>
      <c r="C40" s="33" t="str" cm="1">
        <f t="array" ref="C40">INDEX(_xlfn.TEXTSPLIT($J40,"/"),2)</f>
        <v>CZ02</v>
      </c>
      <c r="D40" s="34">
        <f>$G$3*H40</f>
        <v>20.781470499999998</v>
      </c>
      <c r="F40" t="str" cm="1">
        <f t="array" ref="F40">INDEX(_xlfn.TEXTSPLIT($J40,"/"),4)</f>
        <v>NE-Chiller-CHWPumpCtrl-Full-Msr</v>
      </c>
      <c r="G40">
        <f>$P40</f>
        <v>2.9836999999999999E-2</v>
      </c>
      <c r="H40">
        <f>$G$4*G40</f>
        <v>29.687815000000001</v>
      </c>
      <c r="J40" t="s">
        <v>298</v>
      </c>
      <c r="K40" t="s">
        <v>12</v>
      </c>
      <c r="M40">
        <v>5716.76</v>
      </c>
      <c r="N40">
        <v>2002.49</v>
      </c>
      <c r="P40">
        <v>2.9836999999999999E-2</v>
      </c>
      <c r="Q40">
        <v>0</v>
      </c>
      <c r="R40">
        <v>174400.06</v>
      </c>
      <c r="S40">
        <v>197273.03</v>
      </c>
      <c r="T40">
        <v>0</v>
      </c>
      <c r="U40">
        <v>258328.15</v>
      </c>
      <c r="V40">
        <v>0</v>
      </c>
      <c r="W40">
        <v>364256.05</v>
      </c>
      <c r="X40">
        <v>22245.48</v>
      </c>
      <c r="Y40">
        <v>22665.59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166194.51</v>
      </c>
      <c r="AF40">
        <v>0</v>
      </c>
      <c r="AG40">
        <v>0</v>
      </c>
      <c r="AH40">
        <v>0</v>
      </c>
      <c r="AI40">
        <v>64094.3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232584.48</v>
      </c>
      <c r="AQ40">
        <v>0</v>
      </c>
      <c r="AR40">
        <v>0</v>
      </c>
      <c r="AS40">
        <v>886332830.46445596</v>
      </c>
    </row>
    <row r="41" spans="2:45" ht="15.75" hidden="1" thickBot="1" x14ac:dyDescent="0.3">
      <c r="B41" s="15" t="str" cm="1">
        <f t="array" ref="B41">INDEX(_xlfn.TEXTSPLIT($J41,"/"),3)</f>
        <v>ESe&amp;0&amp;cPVVE&amp;Ex&amp;Chiller__PumpCtrl</v>
      </c>
      <c r="C41" s="33" t="str" cm="1">
        <f t="array" ref="C41">INDEX(_xlfn.TEXTSPLIT($J41,"/"),2)</f>
        <v>CZ03</v>
      </c>
      <c r="D41" s="34">
        <f>$G$3*H41</f>
        <v>19.713735999999997</v>
      </c>
      <c r="F41" t="str" cm="1">
        <f t="array" ref="F41">INDEX(_xlfn.TEXTSPLIT($J41,"/"),4)</f>
        <v>NE-Chiller-CHWPumpCtrl-Full-Msr</v>
      </c>
      <c r="G41">
        <f>$P41</f>
        <v>2.8303999999999999E-2</v>
      </c>
      <c r="H41">
        <f>$G$4*G41</f>
        <v>28.162479999999999</v>
      </c>
      <c r="J41" t="s">
        <v>282</v>
      </c>
      <c r="K41" t="s">
        <v>13</v>
      </c>
      <c r="M41">
        <v>5423.19</v>
      </c>
      <c r="N41">
        <v>1899.66</v>
      </c>
      <c r="P41">
        <v>2.8303999999999999E-2</v>
      </c>
      <c r="Q41">
        <v>0</v>
      </c>
      <c r="R41">
        <v>113026.51</v>
      </c>
      <c r="S41">
        <v>197273.03</v>
      </c>
      <c r="T41">
        <v>0</v>
      </c>
      <c r="U41">
        <v>258328.15</v>
      </c>
      <c r="V41">
        <v>0</v>
      </c>
      <c r="W41">
        <v>346748.43</v>
      </c>
      <c r="X41">
        <v>20591.38</v>
      </c>
      <c r="Y41">
        <v>21940.66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86410.32</v>
      </c>
      <c r="AF41">
        <v>0</v>
      </c>
      <c r="AG41">
        <v>0</v>
      </c>
      <c r="AH41">
        <v>0</v>
      </c>
      <c r="AI41">
        <v>64094.3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231735.27</v>
      </c>
      <c r="AQ41">
        <v>0</v>
      </c>
      <c r="AR41">
        <v>0</v>
      </c>
      <c r="AS41">
        <v>713070300.51283503</v>
      </c>
    </row>
    <row r="42" spans="2:45" ht="15.75" hidden="1" thickBot="1" x14ac:dyDescent="0.3">
      <c r="B42" s="15" t="str" cm="1">
        <f t="array" ref="B42">INDEX(_xlfn.TEXTSPLIT($J42,"/"),3)</f>
        <v>ESe&amp;0&amp;cPVVE&amp;Ex&amp;Chiller__PumpCtrl</v>
      </c>
      <c r="C42" s="33" t="str" cm="1">
        <f t="array" ref="C42">INDEX(_xlfn.TEXTSPLIT($J42,"/"),2)</f>
        <v>CZ04</v>
      </c>
      <c r="D42" s="34">
        <f>$G$3*H42</f>
        <v>21.103253499999997</v>
      </c>
      <c r="F42" t="str" cm="1">
        <f t="array" ref="F42">INDEX(_xlfn.TEXTSPLIT($J42,"/"),4)</f>
        <v>NE-Chiller-CHWPumpCtrl-Full-Msr</v>
      </c>
      <c r="G42">
        <f>$P42</f>
        <v>3.0299E-2</v>
      </c>
      <c r="H42">
        <f>$G$4*G42</f>
        <v>30.147504999999999</v>
      </c>
      <c r="J42" t="s">
        <v>266</v>
      </c>
      <c r="K42" t="s">
        <v>14</v>
      </c>
      <c r="M42">
        <v>5805.39</v>
      </c>
      <c r="N42">
        <v>2033.53</v>
      </c>
      <c r="P42">
        <v>3.0299E-2</v>
      </c>
      <c r="Q42">
        <v>0</v>
      </c>
      <c r="R42">
        <v>189698.12</v>
      </c>
      <c r="S42">
        <v>197273.03</v>
      </c>
      <c r="T42">
        <v>0</v>
      </c>
      <c r="U42">
        <v>258328.15</v>
      </c>
      <c r="V42">
        <v>0</v>
      </c>
      <c r="W42">
        <v>356110.31</v>
      </c>
      <c r="X42">
        <v>24763.69</v>
      </c>
      <c r="Y42">
        <v>26118.42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96077.88</v>
      </c>
      <c r="AF42">
        <v>0</v>
      </c>
      <c r="AG42">
        <v>0</v>
      </c>
      <c r="AH42">
        <v>0</v>
      </c>
      <c r="AI42">
        <v>64094.3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223737.9</v>
      </c>
      <c r="AQ42">
        <v>0</v>
      </c>
      <c r="AR42">
        <v>0</v>
      </c>
      <c r="AS42">
        <v>897127526.98156595</v>
      </c>
    </row>
    <row r="43" spans="2:45" ht="15.75" hidden="1" thickBot="1" x14ac:dyDescent="0.3">
      <c r="B43" s="15" t="str" cm="1">
        <f t="array" ref="B43">INDEX(_xlfn.TEXTSPLIT($J43,"/"),3)</f>
        <v>ESe&amp;0&amp;cPVVE&amp;Ex&amp;Chiller__PumpCtrl</v>
      </c>
      <c r="C43" s="33" t="str" cm="1">
        <f t="array" ref="C43">INDEX(_xlfn.TEXTSPLIT($J43,"/"),2)</f>
        <v>CZ05</v>
      </c>
      <c r="D43" s="34">
        <f>$G$3*H43</f>
        <v>18.560331999999999</v>
      </c>
      <c r="F43" t="str" cm="1">
        <f t="array" ref="F43">INDEX(_xlfn.TEXTSPLIT($J43,"/"),4)</f>
        <v>NE-Chiller-CHWPumpCtrl-Full-Msr</v>
      </c>
      <c r="G43">
        <f>$P43</f>
        <v>2.6648000000000002E-2</v>
      </c>
      <c r="H43">
        <f>$G$4*G43</f>
        <v>26.514760000000003</v>
      </c>
      <c r="J43" t="s">
        <v>249</v>
      </c>
      <c r="K43" t="s">
        <v>15</v>
      </c>
      <c r="M43">
        <v>5105.82</v>
      </c>
      <c r="N43">
        <v>1788.49</v>
      </c>
      <c r="P43">
        <v>2.6648000000000002E-2</v>
      </c>
      <c r="Q43">
        <v>0</v>
      </c>
      <c r="R43">
        <v>131945.31</v>
      </c>
      <c r="S43">
        <v>197273.03</v>
      </c>
      <c r="T43">
        <v>0</v>
      </c>
      <c r="U43">
        <v>258328.15</v>
      </c>
      <c r="V43">
        <v>0</v>
      </c>
      <c r="W43">
        <v>339259.77</v>
      </c>
      <c r="X43">
        <v>20762.89</v>
      </c>
      <c r="Y43">
        <v>21753.73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87090.41</v>
      </c>
      <c r="AF43">
        <v>0</v>
      </c>
      <c r="AG43">
        <v>0</v>
      </c>
      <c r="AH43">
        <v>0</v>
      </c>
      <c r="AI43">
        <v>64094.3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231746.62</v>
      </c>
      <c r="AQ43">
        <v>0</v>
      </c>
      <c r="AR43">
        <v>0</v>
      </c>
      <c r="AS43">
        <v>567736781.42712295</v>
      </c>
    </row>
    <row r="44" spans="2:45" ht="15.75" hidden="1" thickBot="1" x14ac:dyDescent="0.3">
      <c r="B44" s="15" t="str" cm="1">
        <f t="array" ref="B44">INDEX(_xlfn.TEXTSPLIT($J44,"/"),3)</f>
        <v>ESe&amp;0&amp;cPVVE&amp;Ex&amp;Chiller__PumpCtrl</v>
      </c>
      <c r="C44" s="33" t="str" cm="1">
        <f t="array" ref="C44">INDEX(_xlfn.TEXTSPLIT($J44,"/"),2)</f>
        <v>CZ06</v>
      </c>
      <c r="D44" s="34">
        <f>$G$3*H44</f>
        <v>19.426081499999999</v>
      </c>
      <c r="F44" t="str" cm="1">
        <f t="array" ref="F44">INDEX(_xlfn.TEXTSPLIT($J44,"/"),4)</f>
        <v>NE-Chiller-CHWPumpCtrl-Full-Msr</v>
      </c>
      <c r="G44">
        <f>$P44</f>
        <v>2.7890999999999999E-2</v>
      </c>
      <c r="H44">
        <f>$G$4*G44</f>
        <v>27.751545</v>
      </c>
      <c r="J44" t="s">
        <v>234</v>
      </c>
      <c r="K44" t="s">
        <v>16</v>
      </c>
      <c r="M44">
        <v>5343.99</v>
      </c>
      <c r="N44">
        <v>1871.91</v>
      </c>
      <c r="P44">
        <v>2.7890999999999999E-2</v>
      </c>
      <c r="Q44">
        <v>0</v>
      </c>
      <c r="R44">
        <v>212650.7</v>
      </c>
      <c r="S44">
        <v>197273.03</v>
      </c>
      <c r="T44">
        <v>0</v>
      </c>
      <c r="U44">
        <v>258328.15</v>
      </c>
      <c r="V44">
        <v>0</v>
      </c>
      <c r="W44">
        <v>328628.5</v>
      </c>
      <c r="X44">
        <v>29512.95</v>
      </c>
      <c r="Y44">
        <v>31365.37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35524.85</v>
      </c>
      <c r="AF44">
        <v>0</v>
      </c>
      <c r="AG44">
        <v>0</v>
      </c>
      <c r="AH44">
        <v>0</v>
      </c>
      <c r="AI44">
        <v>64094.3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213474.56</v>
      </c>
      <c r="AQ44">
        <v>0</v>
      </c>
      <c r="AR44">
        <v>0</v>
      </c>
      <c r="AS44">
        <v>531448465.95458502</v>
      </c>
    </row>
    <row r="45" spans="2:45" ht="15.75" hidden="1" thickBot="1" x14ac:dyDescent="0.3">
      <c r="B45" s="15" t="str" cm="1">
        <f t="array" ref="B45">INDEX(_xlfn.TEXTSPLIT($J45,"/"),3)</f>
        <v>ESe&amp;0&amp;cPVVE&amp;Ex&amp;Chiller__PumpCtrl</v>
      </c>
      <c r="C45" s="33" t="str" cm="1">
        <f t="array" ref="C45">INDEX(_xlfn.TEXTSPLIT($J45,"/"),2)</f>
        <v>CZ07</v>
      </c>
      <c r="D45" s="34">
        <f>$G$3*H45</f>
        <v>19.906666499999996</v>
      </c>
      <c r="F45" t="str" cm="1">
        <f t="array" ref="F45">INDEX(_xlfn.TEXTSPLIT($J45,"/"),4)</f>
        <v>NE-Chiller-CHWPumpCtrl-Full-Msr</v>
      </c>
      <c r="G45">
        <f>$P45</f>
        <v>2.8580999999999999E-2</v>
      </c>
      <c r="H45">
        <f>$G$4*G45</f>
        <v>28.438094999999997</v>
      </c>
      <c r="J45" t="s">
        <v>218</v>
      </c>
      <c r="K45" t="s">
        <v>17</v>
      </c>
      <c r="M45">
        <v>5476.21</v>
      </c>
      <c r="N45">
        <v>1918.23</v>
      </c>
      <c r="P45">
        <v>2.8580999999999999E-2</v>
      </c>
      <c r="Q45">
        <v>0</v>
      </c>
      <c r="R45">
        <v>233009.09</v>
      </c>
      <c r="S45">
        <v>197273.03</v>
      </c>
      <c r="T45">
        <v>0</v>
      </c>
      <c r="U45">
        <v>258328.15</v>
      </c>
      <c r="V45">
        <v>0</v>
      </c>
      <c r="W45">
        <v>332488.65999999997</v>
      </c>
      <c r="X45">
        <v>31065.46</v>
      </c>
      <c r="Y45">
        <v>32868.51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47458.48</v>
      </c>
      <c r="AF45">
        <v>0</v>
      </c>
      <c r="AG45">
        <v>0</v>
      </c>
      <c r="AH45">
        <v>0</v>
      </c>
      <c r="AI45">
        <v>64094.3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210774.78</v>
      </c>
      <c r="AQ45">
        <v>0</v>
      </c>
      <c r="AR45">
        <v>0</v>
      </c>
      <c r="AS45">
        <v>598609974.00428796</v>
      </c>
    </row>
    <row r="46" spans="2:45" ht="15.75" hidden="1" thickBot="1" x14ac:dyDescent="0.3">
      <c r="B46" s="15" t="str" cm="1">
        <f t="array" ref="B46">INDEX(_xlfn.TEXTSPLIT($J46,"/"),3)</f>
        <v>ESe&amp;0&amp;cPVVE&amp;Ex&amp;Chiller__PumpCtrl</v>
      </c>
      <c r="C46" s="33" t="str" cm="1">
        <f t="array" ref="C46">INDEX(_xlfn.TEXTSPLIT($J46,"/"),2)</f>
        <v>CZ08</v>
      </c>
      <c r="D46" s="34">
        <f>$G$3*H46</f>
        <v>21.285039999999999</v>
      </c>
      <c r="F46" t="str" cm="1">
        <f t="array" ref="F46">INDEX(_xlfn.TEXTSPLIT($J46,"/"),4)</f>
        <v>NE-Chiller-CHWPumpCtrl-Full-Msr</v>
      </c>
      <c r="G46">
        <f>$P46</f>
        <v>3.056E-2</v>
      </c>
      <c r="H46">
        <f>$G$4*G46</f>
        <v>30.4072</v>
      </c>
      <c r="J46" t="s">
        <v>201</v>
      </c>
      <c r="K46" t="s">
        <v>18</v>
      </c>
      <c r="M46">
        <v>5855.28</v>
      </c>
      <c r="N46">
        <v>2051.0100000000002</v>
      </c>
      <c r="P46">
        <v>3.056E-2</v>
      </c>
      <c r="Q46">
        <v>0</v>
      </c>
      <c r="R46">
        <v>260619.36</v>
      </c>
      <c r="S46">
        <v>197273.03</v>
      </c>
      <c r="T46">
        <v>0</v>
      </c>
      <c r="U46">
        <v>258328.15</v>
      </c>
      <c r="V46">
        <v>0</v>
      </c>
      <c r="W46">
        <v>334658.03999999998</v>
      </c>
      <c r="X46">
        <v>31951.74</v>
      </c>
      <c r="Y46">
        <v>34160.980000000003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66094.880000000005</v>
      </c>
      <c r="AF46">
        <v>0</v>
      </c>
      <c r="AG46">
        <v>0</v>
      </c>
      <c r="AH46">
        <v>0</v>
      </c>
      <c r="AI46">
        <v>64094.3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210399.61</v>
      </c>
      <c r="AQ46">
        <v>0</v>
      </c>
      <c r="AR46">
        <v>0</v>
      </c>
      <c r="AS46">
        <v>621844273.00874496</v>
      </c>
    </row>
    <row r="47" spans="2:45" ht="15.75" hidden="1" thickBot="1" x14ac:dyDescent="0.3">
      <c r="B47" s="15" t="str" cm="1">
        <f t="array" ref="B47">INDEX(_xlfn.TEXTSPLIT($J47,"/"),3)</f>
        <v>ESe&amp;0&amp;cPVVE&amp;Ex&amp;Chiller__PumpCtrl</v>
      </c>
      <c r="C47" s="33" t="str" cm="1">
        <f t="array" ref="C47">INDEX(_xlfn.TEXTSPLIT($J47,"/"),2)</f>
        <v>CZ09</v>
      </c>
      <c r="D47" s="34">
        <f>$G$3*H47</f>
        <v>21.856169999999999</v>
      </c>
      <c r="F47" t="str" cm="1">
        <f t="array" ref="F47">INDEX(_xlfn.TEXTSPLIT($J47,"/"),4)</f>
        <v>NE-Chiller-CHWPumpCtrl-Full-Msr</v>
      </c>
      <c r="G47">
        <f>$P47</f>
        <v>3.1379999999999998E-2</v>
      </c>
      <c r="H47">
        <f>$G$4*G47</f>
        <v>31.223099999999999</v>
      </c>
      <c r="J47" t="s">
        <v>186</v>
      </c>
      <c r="K47" t="s">
        <v>19</v>
      </c>
      <c r="M47">
        <v>6012.55</v>
      </c>
      <c r="N47">
        <v>2106.1</v>
      </c>
      <c r="P47">
        <v>3.1379999999999998E-2</v>
      </c>
      <c r="Q47">
        <v>0</v>
      </c>
      <c r="R47">
        <v>315264.05</v>
      </c>
      <c r="S47">
        <v>197273.03</v>
      </c>
      <c r="T47">
        <v>0</v>
      </c>
      <c r="U47">
        <v>258328.15</v>
      </c>
      <c r="V47">
        <v>0</v>
      </c>
      <c r="W47">
        <v>351959.84</v>
      </c>
      <c r="X47">
        <v>34052.33</v>
      </c>
      <c r="Y47">
        <v>35861.68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84433.64</v>
      </c>
      <c r="AF47">
        <v>0</v>
      </c>
      <c r="AG47">
        <v>0</v>
      </c>
      <c r="AH47">
        <v>0</v>
      </c>
      <c r="AI47">
        <v>64094.3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207497.9</v>
      </c>
      <c r="AQ47">
        <v>0</v>
      </c>
      <c r="AR47">
        <v>0</v>
      </c>
      <c r="AS47">
        <v>701135680.06549597</v>
      </c>
    </row>
    <row r="48" spans="2:45" ht="15.75" hidden="1" thickBot="1" x14ac:dyDescent="0.3">
      <c r="B48" s="15" t="str" cm="1">
        <f t="array" ref="B48">INDEX(_xlfn.TEXTSPLIT($J48,"/"),3)</f>
        <v>ESe&amp;0&amp;cPVVE&amp;Ex&amp;Chiller__PumpCtrl</v>
      </c>
      <c r="C48" s="33" t="str" cm="1">
        <f t="array" ref="C48">INDEX(_xlfn.TEXTSPLIT($J48,"/"),2)</f>
        <v>CZ10</v>
      </c>
      <c r="D48" s="34">
        <f>$G$3*H48</f>
        <v>22.642518500000001</v>
      </c>
      <c r="F48" t="str" cm="1">
        <f t="array" ref="F48">INDEX(_xlfn.TEXTSPLIT($J48,"/"),4)</f>
        <v>NE-Chiller-CHWPumpCtrl-Full-Msr</v>
      </c>
      <c r="G48">
        <f>$P48</f>
        <v>3.2509000000000003E-2</v>
      </c>
      <c r="H48">
        <f>$G$4*G48</f>
        <v>32.346455000000006</v>
      </c>
      <c r="J48" t="s">
        <v>169</v>
      </c>
      <c r="K48" t="s">
        <v>20</v>
      </c>
      <c r="M48">
        <v>6228.78</v>
      </c>
      <c r="N48">
        <v>2181.84</v>
      </c>
      <c r="P48">
        <v>3.2509000000000003E-2</v>
      </c>
      <c r="Q48">
        <v>0</v>
      </c>
      <c r="R48">
        <v>322219.81</v>
      </c>
      <c r="S48">
        <v>197273.03</v>
      </c>
      <c r="T48">
        <v>0</v>
      </c>
      <c r="U48">
        <v>258328.15</v>
      </c>
      <c r="V48">
        <v>0</v>
      </c>
      <c r="W48">
        <v>357130.11</v>
      </c>
      <c r="X48">
        <v>31947.599999999999</v>
      </c>
      <c r="Y48">
        <v>34054.81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102631.9</v>
      </c>
      <c r="AF48">
        <v>0</v>
      </c>
      <c r="AG48">
        <v>0</v>
      </c>
      <c r="AH48">
        <v>0</v>
      </c>
      <c r="AI48">
        <v>64094.3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205705.88</v>
      </c>
      <c r="AQ48">
        <v>0</v>
      </c>
      <c r="AR48">
        <v>0</v>
      </c>
      <c r="AS48">
        <v>957860757.81790197</v>
      </c>
    </row>
    <row r="49" spans="2:45" ht="15.75" hidden="1" thickBot="1" x14ac:dyDescent="0.3">
      <c r="B49" s="15" t="str" cm="1">
        <f t="array" ref="B49">INDEX(_xlfn.TEXTSPLIT($J49,"/"),3)</f>
        <v>ESe&amp;0&amp;cPVVE&amp;Ex&amp;Chiller__PumpCtrl</v>
      </c>
      <c r="C49" s="33" t="str" cm="1">
        <f t="array" ref="C49">INDEX(_xlfn.TEXTSPLIT($J49,"/"),2)</f>
        <v>CZ11</v>
      </c>
      <c r="D49" s="34">
        <f>$G$3*H49</f>
        <v>22.976838499999996</v>
      </c>
      <c r="F49" t="str" cm="1">
        <f t="array" ref="F49">INDEX(_xlfn.TEXTSPLIT($J49,"/"),4)</f>
        <v>NE-Chiller-CHWPumpCtrl-Full-Msr</v>
      </c>
      <c r="G49">
        <f>$P49</f>
        <v>3.2988999999999997E-2</v>
      </c>
      <c r="H49">
        <f>$G$4*G49</f>
        <v>32.824054999999994</v>
      </c>
      <c r="J49" t="s">
        <v>153</v>
      </c>
      <c r="K49" t="s">
        <v>21</v>
      </c>
      <c r="M49">
        <v>6320.86</v>
      </c>
      <c r="N49">
        <v>2214.1</v>
      </c>
      <c r="P49">
        <v>3.2988999999999997E-2</v>
      </c>
      <c r="Q49">
        <v>0</v>
      </c>
      <c r="R49">
        <v>314937.74</v>
      </c>
      <c r="S49">
        <v>197273.03</v>
      </c>
      <c r="T49">
        <v>0</v>
      </c>
      <c r="U49">
        <v>258328.15</v>
      </c>
      <c r="V49">
        <v>0</v>
      </c>
      <c r="W49">
        <v>372266.13</v>
      </c>
      <c r="X49">
        <v>28437.32</v>
      </c>
      <c r="Y49">
        <v>29603.3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160538</v>
      </c>
      <c r="AF49">
        <v>0</v>
      </c>
      <c r="AG49">
        <v>0</v>
      </c>
      <c r="AH49">
        <v>0</v>
      </c>
      <c r="AI49">
        <v>64094.3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210325.89</v>
      </c>
      <c r="AQ49">
        <v>0</v>
      </c>
      <c r="AR49">
        <v>0</v>
      </c>
      <c r="AS49">
        <v>1138766396.2694299</v>
      </c>
    </row>
    <row r="50" spans="2:45" ht="15.75" hidden="1" thickBot="1" x14ac:dyDescent="0.3">
      <c r="B50" s="15" t="str" cm="1">
        <f t="array" ref="B50">INDEX(_xlfn.TEXTSPLIT($J50,"/"),3)</f>
        <v>ESe&amp;0&amp;cPVVE&amp;Ex&amp;Chiller__PumpCtrl</v>
      </c>
      <c r="C50" s="33" t="str" cm="1">
        <f t="array" ref="C50">INDEX(_xlfn.TEXTSPLIT($J50,"/"),2)</f>
        <v>CZ12</v>
      </c>
      <c r="D50" s="34">
        <f>$G$3*H50</f>
        <v>22.074870999999998</v>
      </c>
      <c r="F50" t="str" cm="1">
        <f t="array" ref="F50">INDEX(_xlfn.TEXTSPLIT($J50,"/"),4)</f>
        <v>NE-Chiller-CHWPumpCtrl-Full-Msr</v>
      </c>
      <c r="G50">
        <f>$P50</f>
        <v>3.1694E-2</v>
      </c>
      <c r="H50">
        <f>$G$4*G50</f>
        <v>31.535530000000001</v>
      </c>
      <c r="J50" t="s">
        <v>137</v>
      </c>
      <c r="K50" t="s">
        <v>22</v>
      </c>
      <c r="M50">
        <v>6072.64</v>
      </c>
      <c r="N50">
        <v>2127.15</v>
      </c>
      <c r="P50">
        <v>3.1694E-2</v>
      </c>
      <c r="Q50">
        <v>0</v>
      </c>
      <c r="R50">
        <v>289235.3</v>
      </c>
      <c r="S50">
        <v>197273.03</v>
      </c>
      <c r="T50">
        <v>0</v>
      </c>
      <c r="U50">
        <v>258328.15</v>
      </c>
      <c r="V50">
        <v>0</v>
      </c>
      <c r="W50">
        <v>358177.56</v>
      </c>
      <c r="X50">
        <v>27447.31</v>
      </c>
      <c r="Y50">
        <v>28161.759999999998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174934.88</v>
      </c>
      <c r="AF50">
        <v>0</v>
      </c>
      <c r="AG50">
        <v>0</v>
      </c>
      <c r="AH50">
        <v>0</v>
      </c>
      <c r="AI50">
        <v>64094.3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216287.01</v>
      </c>
      <c r="AQ50">
        <v>0</v>
      </c>
      <c r="AR50">
        <v>0</v>
      </c>
      <c r="AS50">
        <v>1087316094.22857</v>
      </c>
    </row>
    <row r="51" spans="2:45" ht="15.75" hidden="1" thickBot="1" x14ac:dyDescent="0.3">
      <c r="B51" s="15" t="str" cm="1">
        <f t="array" ref="B51">INDEX(_xlfn.TEXTSPLIT($J51,"/"),3)</f>
        <v>ESe&amp;0&amp;cPVVE&amp;Ex&amp;Chiller__PumpCtrl</v>
      </c>
      <c r="C51" s="33" t="str" cm="1">
        <f t="array" ref="C51">INDEX(_xlfn.TEXTSPLIT($J51,"/"),2)</f>
        <v>CZ13</v>
      </c>
      <c r="D51" s="34">
        <f>$G$3*H51</f>
        <v>23.029076000000003</v>
      </c>
      <c r="F51" t="str" cm="1">
        <f t="array" ref="F51">INDEX(_xlfn.TEXTSPLIT($J51,"/"),4)</f>
        <v>NE-Chiller-CHWPumpCtrl-Full-Msr</v>
      </c>
      <c r="G51">
        <f>$P51</f>
        <v>3.3064000000000003E-2</v>
      </c>
      <c r="H51">
        <f>$G$4*G51</f>
        <v>32.898680000000006</v>
      </c>
      <c r="J51" t="s">
        <v>122</v>
      </c>
      <c r="K51" t="s">
        <v>23</v>
      </c>
      <c r="M51">
        <v>6335.18</v>
      </c>
      <c r="N51">
        <v>2219.11</v>
      </c>
      <c r="P51">
        <v>3.3064000000000003E-2</v>
      </c>
      <c r="Q51">
        <v>0</v>
      </c>
      <c r="R51">
        <v>352129.46</v>
      </c>
      <c r="S51">
        <v>197273.03</v>
      </c>
      <c r="T51">
        <v>0</v>
      </c>
      <c r="U51">
        <v>258328.15</v>
      </c>
      <c r="V51">
        <v>0</v>
      </c>
      <c r="W51">
        <v>357884.67</v>
      </c>
      <c r="X51">
        <v>30021.48</v>
      </c>
      <c r="Y51">
        <v>31339.99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127401.18</v>
      </c>
      <c r="AF51">
        <v>0</v>
      </c>
      <c r="AG51">
        <v>0</v>
      </c>
      <c r="AH51">
        <v>0</v>
      </c>
      <c r="AI51">
        <v>64094.3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204220.03</v>
      </c>
      <c r="AQ51">
        <v>0</v>
      </c>
      <c r="AR51">
        <v>0</v>
      </c>
      <c r="AS51">
        <v>1155857262.3527801</v>
      </c>
    </row>
    <row r="52" spans="2:45" ht="15.75" hidden="1" thickBot="1" x14ac:dyDescent="0.3">
      <c r="B52" s="15" t="str" cm="1">
        <f t="array" ref="B52">INDEX(_xlfn.TEXTSPLIT($J52,"/"),3)</f>
        <v>ESe&amp;0&amp;cPVVE&amp;Ex&amp;Chiller__PumpCtrl</v>
      </c>
      <c r="C52" s="33" t="str" cm="1">
        <f t="array" ref="C52">INDEX(_xlfn.TEXTSPLIT($J52,"/"),2)</f>
        <v>CZ14</v>
      </c>
      <c r="D52" s="34">
        <f>$G$3*H52</f>
        <v>22.952460999999996</v>
      </c>
      <c r="F52" t="str" cm="1">
        <f t="array" ref="F52">INDEX(_xlfn.TEXTSPLIT($J52,"/"),4)</f>
        <v>NE-Chiller-CHWPumpCtrl-Full-Msr</v>
      </c>
      <c r="G52">
        <f>$P52</f>
        <v>3.2953999999999997E-2</v>
      </c>
      <c r="H52">
        <f>$G$4*G52</f>
        <v>32.789229999999996</v>
      </c>
      <c r="J52" t="s">
        <v>106</v>
      </c>
      <c r="K52" t="s">
        <v>24</v>
      </c>
      <c r="M52">
        <v>6314.01</v>
      </c>
      <c r="N52">
        <v>2211.6999999999998</v>
      </c>
      <c r="P52">
        <v>3.2953999999999997E-2</v>
      </c>
      <c r="Q52">
        <v>0</v>
      </c>
      <c r="R52">
        <v>409116.65</v>
      </c>
      <c r="S52">
        <v>197273.03</v>
      </c>
      <c r="T52">
        <v>0</v>
      </c>
      <c r="U52">
        <v>258328.15</v>
      </c>
      <c r="V52">
        <v>0</v>
      </c>
      <c r="W52">
        <v>365369.48</v>
      </c>
      <c r="X52">
        <v>33175.94</v>
      </c>
      <c r="Y52">
        <v>34515.879999999997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105052.67</v>
      </c>
      <c r="AF52">
        <v>0</v>
      </c>
      <c r="AG52">
        <v>0</v>
      </c>
      <c r="AH52">
        <v>0</v>
      </c>
      <c r="AI52">
        <v>64094.3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193650.81</v>
      </c>
      <c r="AQ52">
        <v>0</v>
      </c>
      <c r="AR52">
        <v>0</v>
      </c>
      <c r="AS52">
        <v>1262012700.53579</v>
      </c>
    </row>
    <row r="53" spans="2:45" ht="15.75" hidden="1" thickBot="1" x14ac:dyDescent="0.3">
      <c r="B53" s="15" t="str" cm="1">
        <f t="array" ref="B53">INDEX(_xlfn.TEXTSPLIT($J53,"/"),3)</f>
        <v>ESe&amp;0&amp;cPVVE&amp;Ex&amp;Chiller__PumpCtrl</v>
      </c>
      <c r="C53" s="33" t="str" cm="1">
        <f t="array" ref="C53">INDEX(_xlfn.TEXTSPLIT($J53,"/"),2)</f>
        <v>CZ15</v>
      </c>
      <c r="D53" s="34">
        <f>$G$3*H53</f>
        <v>23.693536999999999</v>
      </c>
      <c r="F53" t="str" cm="1">
        <f t="array" ref="F53">INDEX(_xlfn.TEXTSPLIT($J53,"/"),4)</f>
        <v>NE-Chiller-CHWPumpCtrl-Full-Msr</v>
      </c>
      <c r="G53">
        <f>$P53</f>
        <v>3.4018E-2</v>
      </c>
      <c r="H53">
        <f>$G$4*G53</f>
        <v>33.847909999999999</v>
      </c>
      <c r="J53" t="s">
        <v>89</v>
      </c>
      <c r="K53" t="s">
        <v>25</v>
      </c>
      <c r="M53">
        <v>6517.96</v>
      </c>
      <c r="N53">
        <v>2283.14</v>
      </c>
      <c r="P53">
        <v>3.4018E-2</v>
      </c>
      <c r="Q53">
        <v>0</v>
      </c>
      <c r="R53">
        <v>551564.56000000006</v>
      </c>
      <c r="S53">
        <v>197273.03</v>
      </c>
      <c r="T53">
        <v>0</v>
      </c>
      <c r="U53">
        <v>258328.15</v>
      </c>
      <c r="V53">
        <v>0</v>
      </c>
      <c r="W53">
        <v>336762.78</v>
      </c>
      <c r="X53">
        <v>38609.82</v>
      </c>
      <c r="Y53">
        <v>42226.09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135462.46</v>
      </c>
      <c r="AF53">
        <v>0</v>
      </c>
      <c r="AG53">
        <v>0</v>
      </c>
      <c r="AH53">
        <v>0</v>
      </c>
      <c r="AI53">
        <v>64094.3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171951.25</v>
      </c>
      <c r="AQ53">
        <v>0</v>
      </c>
      <c r="AR53">
        <v>0</v>
      </c>
      <c r="AS53">
        <v>1230253438.4623301</v>
      </c>
    </row>
    <row r="54" spans="2:45" ht="15.75" hidden="1" thickBot="1" x14ac:dyDescent="0.3">
      <c r="B54" s="15" t="str" cm="1">
        <f t="array" ref="B54">INDEX(_xlfn.TEXTSPLIT($J54,"/"),3)</f>
        <v>ESe&amp;0&amp;cPVVE&amp;Ex&amp;Chiller__PumpCtrl</v>
      </c>
      <c r="C54" s="33" t="str" cm="1">
        <f t="array" ref="C54">INDEX(_xlfn.TEXTSPLIT($J54,"/"),2)</f>
        <v>CZ16</v>
      </c>
      <c r="D54" s="34">
        <f>$G$3*H54</f>
        <v>20.074522999999999</v>
      </c>
      <c r="F54" t="str" cm="1">
        <f t="array" ref="F54">INDEX(_xlfn.TEXTSPLIT($J54,"/"),4)</f>
        <v>NE-Chiller-CHWPumpCtrl-Full-Msr</v>
      </c>
      <c r="G54">
        <f>$P54</f>
        <v>2.8822E-2</v>
      </c>
      <c r="H54">
        <f>$G$4*G54</f>
        <v>28.677890000000001</v>
      </c>
      <c r="J54" t="s">
        <v>74</v>
      </c>
      <c r="K54" t="s">
        <v>26</v>
      </c>
      <c r="M54">
        <v>5522.32</v>
      </c>
      <c r="N54">
        <v>1934.38</v>
      </c>
      <c r="P54">
        <v>2.8822E-2</v>
      </c>
      <c r="Q54">
        <v>0</v>
      </c>
      <c r="R54">
        <v>278503.46000000002</v>
      </c>
      <c r="S54">
        <v>197273.03</v>
      </c>
      <c r="T54">
        <v>0</v>
      </c>
      <c r="U54">
        <v>258328.15</v>
      </c>
      <c r="V54">
        <v>0</v>
      </c>
      <c r="W54">
        <v>410184.4</v>
      </c>
      <c r="X54">
        <v>28220.74</v>
      </c>
      <c r="Y54">
        <v>24622.23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241664.99</v>
      </c>
      <c r="AF54">
        <v>0</v>
      </c>
      <c r="AG54">
        <v>0</v>
      </c>
      <c r="AH54">
        <v>0</v>
      </c>
      <c r="AI54">
        <v>64094.3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228586.75</v>
      </c>
      <c r="AQ54">
        <v>0</v>
      </c>
      <c r="AR54">
        <v>0</v>
      </c>
      <c r="AS54">
        <v>838737985.06535804</v>
      </c>
    </row>
    <row r="55" spans="2:45" ht="15.75" hidden="1" thickBot="1" x14ac:dyDescent="0.3">
      <c r="B55" s="15" t="str" cm="1">
        <f t="array" ref="B55">INDEX(_xlfn.TEXTSPLIT($J55,"/"),3)</f>
        <v>ESe&amp;0&amp;cPVVE&amp;New&amp;Chiller__PumpCtrl</v>
      </c>
      <c r="C55" s="33" t="str" cm="1">
        <f t="array" ref="C55">INDEX(_xlfn.TEXTSPLIT($J55,"/"),2)</f>
        <v>CZ01</v>
      </c>
      <c r="D55" s="34">
        <f>$G$3*H55</f>
        <v>11.481105999999999</v>
      </c>
      <c r="F55" t="str" cm="1">
        <f t="array" ref="F55">INDEX(_xlfn.TEXTSPLIT($J55,"/"),4)</f>
        <v>NE-Chiller-CHWPumpCtrl-Full-Msr</v>
      </c>
      <c r="G55">
        <f>$P55</f>
        <v>1.6483999999999999E-2</v>
      </c>
      <c r="H55">
        <f>$G$4*G55</f>
        <v>16.401579999999999</v>
      </c>
      <c r="J55" t="s">
        <v>570</v>
      </c>
      <c r="K55" t="s">
        <v>11</v>
      </c>
      <c r="M55">
        <v>3158.47</v>
      </c>
      <c r="N55">
        <v>1106.3599999999999</v>
      </c>
      <c r="P55">
        <v>1.6483999999999999E-2</v>
      </c>
      <c r="Q55">
        <v>0</v>
      </c>
      <c r="R55">
        <v>19896.04</v>
      </c>
      <c r="S55">
        <v>94437.9</v>
      </c>
      <c r="T55">
        <v>0</v>
      </c>
      <c r="U55">
        <v>258328.15</v>
      </c>
      <c r="V55">
        <v>0</v>
      </c>
      <c r="W55">
        <v>247293.96</v>
      </c>
      <c r="X55">
        <v>3094.12</v>
      </c>
      <c r="Y55">
        <v>3281.21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219813.31</v>
      </c>
      <c r="AF55">
        <v>0</v>
      </c>
      <c r="AG55">
        <v>0</v>
      </c>
      <c r="AH55">
        <v>0</v>
      </c>
      <c r="AI55">
        <v>64094.3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253172</v>
      </c>
      <c r="AQ55">
        <v>0</v>
      </c>
      <c r="AR55">
        <v>0</v>
      </c>
      <c r="AS55">
        <v>436475026.65783399</v>
      </c>
    </row>
    <row r="56" spans="2:45" ht="15.75" hidden="1" thickBot="1" x14ac:dyDescent="0.3">
      <c r="B56" s="15" t="str" cm="1">
        <f t="array" ref="B56">INDEX(_xlfn.TEXTSPLIT($J56,"/"),3)</f>
        <v>ESe&amp;0&amp;cPVVE&amp;New&amp;Chiller__PumpCtrl</v>
      </c>
      <c r="C56" s="33" t="str" cm="1">
        <f t="array" ref="C56">INDEX(_xlfn.TEXTSPLIT($J56,"/"),2)</f>
        <v>CZ02</v>
      </c>
      <c r="D56" s="34">
        <f>$G$3*H56</f>
        <v>16.514014999999997</v>
      </c>
      <c r="F56" t="str" cm="1">
        <f t="array" ref="F56">INDEX(_xlfn.TEXTSPLIT($J56,"/"),4)</f>
        <v>NE-Chiller-CHWPumpCtrl-Full-Msr</v>
      </c>
      <c r="G56">
        <f>$P56</f>
        <v>2.3709999999999998E-2</v>
      </c>
      <c r="H56">
        <f>$G$4*G56</f>
        <v>23.591449999999998</v>
      </c>
      <c r="J56" t="s">
        <v>552</v>
      </c>
      <c r="K56" t="s">
        <v>12</v>
      </c>
      <c r="M56">
        <v>4542.8599999999997</v>
      </c>
      <c r="N56">
        <v>1591.29</v>
      </c>
      <c r="P56">
        <v>2.3709999999999998E-2</v>
      </c>
      <c r="Q56">
        <v>0</v>
      </c>
      <c r="R56">
        <v>137232.81</v>
      </c>
      <c r="S56">
        <v>94437.9</v>
      </c>
      <c r="T56">
        <v>0</v>
      </c>
      <c r="U56">
        <v>258328.15</v>
      </c>
      <c r="V56">
        <v>0</v>
      </c>
      <c r="W56">
        <v>344733.92</v>
      </c>
      <c r="X56">
        <v>17000.05</v>
      </c>
      <c r="Y56">
        <v>17394.02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203981.25</v>
      </c>
      <c r="AF56">
        <v>0</v>
      </c>
      <c r="AG56">
        <v>0</v>
      </c>
      <c r="AH56">
        <v>0</v>
      </c>
      <c r="AI56">
        <v>64094.3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232590.38</v>
      </c>
      <c r="AQ56">
        <v>0</v>
      </c>
      <c r="AR56">
        <v>0</v>
      </c>
      <c r="AS56">
        <v>742619776.52304804</v>
      </c>
    </row>
    <row r="57" spans="2:45" ht="15.75" hidden="1" thickBot="1" x14ac:dyDescent="0.3">
      <c r="B57" s="15" t="str" cm="1">
        <f t="array" ref="B57">INDEX(_xlfn.TEXTSPLIT($J57,"/"),3)</f>
        <v>ESe&amp;0&amp;cPVVE&amp;New&amp;Chiller__PumpCtrl</v>
      </c>
      <c r="C57" s="33" t="str" cm="1">
        <f t="array" ref="C57">INDEX(_xlfn.TEXTSPLIT($J57,"/"),2)</f>
        <v>CZ03</v>
      </c>
      <c r="D57" s="34">
        <f>$G$3*H57</f>
        <v>15.449763000000001</v>
      </c>
      <c r="F57" t="str" cm="1">
        <f t="array" ref="F57">INDEX(_xlfn.TEXTSPLIT($J57,"/"),4)</f>
        <v>NE-Chiller-CHWPumpCtrl-Full-Msr</v>
      </c>
      <c r="G57">
        <f>$P57</f>
        <v>2.2182E-2</v>
      </c>
      <c r="H57">
        <f>$G$4*G57</f>
        <v>22.071090000000002</v>
      </c>
      <c r="J57" t="s">
        <v>538</v>
      </c>
      <c r="K57" t="s">
        <v>13</v>
      </c>
      <c r="M57">
        <v>4250.0600000000004</v>
      </c>
      <c r="N57">
        <v>1488.73</v>
      </c>
      <c r="P57">
        <v>2.2182E-2</v>
      </c>
      <c r="Q57">
        <v>0</v>
      </c>
      <c r="R57">
        <v>84801.03</v>
      </c>
      <c r="S57">
        <v>94437.9</v>
      </c>
      <c r="T57">
        <v>0</v>
      </c>
      <c r="U57">
        <v>258328.15</v>
      </c>
      <c r="V57">
        <v>0</v>
      </c>
      <c r="W57">
        <v>321131.92</v>
      </c>
      <c r="X57">
        <v>15045.62</v>
      </c>
      <c r="Y57">
        <v>16077.01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121133.37</v>
      </c>
      <c r="AF57">
        <v>0</v>
      </c>
      <c r="AG57">
        <v>0</v>
      </c>
      <c r="AH57">
        <v>0</v>
      </c>
      <c r="AI57">
        <v>64094.3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231731.03</v>
      </c>
      <c r="AQ57">
        <v>0</v>
      </c>
      <c r="AR57">
        <v>0</v>
      </c>
      <c r="AS57">
        <v>587562191.11263299</v>
      </c>
    </row>
    <row r="58" spans="2:45" ht="15.75" hidden="1" thickBot="1" x14ac:dyDescent="0.3">
      <c r="B58" s="15" t="str" cm="1">
        <f t="array" ref="B58">INDEX(_xlfn.TEXTSPLIT($J58,"/"),3)</f>
        <v>ESe&amp;0&amp;cPVVE&amp;New&amp;Chiller__PumpCtrl</v>
      </c>
      <c r="C58" s="33" t="str" cm="1">
        <f t="array" ref="C58">INDEX(_xlfn.TEXTSPLIT($J58,"/"),2)</f>
        <v>CZ04</v>
      </c>
      <c r="D58" s="34">
        <f>$G$3*H58</f>
        <v>16.798186999999999</v>
      </c>
      <c r="F58" t="str" cm="1">
        <f t="array" ref="F58">INDEX(_xlfn.TEXTSPLIT($J58,"/"),4)</f>
        <v>NE-Chiller-CHWPumpCtrl-Full-Msr</v>
      </c>
      <c r="G58">
        <f>$P58</f>
        <v>2.4118000000000001E-2</v>
      </c>
      <c r="H58">
        <f>$G$4*G58</f>
        <v>23.997410000000002</v>
      </c>
      <c r="J58" t="s">
        <v>519</v>
      </c>
      <c r="K58" t="s">
        <v>14</v>
      </c>
      <c r="M58">
        <v>4621.07</v>
      </c>
      <c r="N58">
        <v>1618.69</v>
      </c>
      <c r="P58">
        <v>2.4118000000000001E-2</v>
      </c>
      <c r="Q58">
        <v>0</v>
      </c>
      <c r="R58">
        <v>149966.82</v>
      </c>
      <c r="S58">
        <v>94437.9</v>
      </c>
      <c r="T58">
        <v>0</v>
      </c>
      <c r="U58">
        <v>258328.15</v>
      </c>
      <c r="V58">
        <v>0</v>
      </c>
      <c r="W58">
        <v>333148.19</v>
      </c>
      <c r="X58">
        <v>18827.509999999998</v>
      </c>
      <c r="Y58">
        <v>20089.84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119778.56</v>
      </c>
      <c r="AF58">
        <v>0</v>
      </c>
      <c r="AG58">
        <v>0</v>
      </c>
      <c r="AH58">
        <v>0</v>
      </c>
      <c r="AI58">
        <v>64094.3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223735.46</v>
      </c>
      <c r="AQ58">
        <v>0</v>
      </c>
      <c r="AR58">
        <v>0</v>
      </c>
      <c r="AS58">
        <v>757143144.57918894</v>
      </c>
    </row>
    <row r="59" spans="2:45" ht="15.75" hidden="1" thickBot="1" x14ac:dyDescent="0.3">
      <c r="B59" s="15" t="str" cm="1">
        <f t="array" ref="B59">INDEX(_xlfn.TEXTSPLIT($J59,"/"),3)</f>
        <v>ESe&amp;0&amp;cPVVE&amp;New&amp;Chiller__PumpCtrl</v>
      </c>
      <c r="C59" s="33" t="str" cm="1">
        <f t="array" ref="C59">INDEX(_xlfn.TEXTSPLIT($J59,"/"),2)</f>
        <v>CZ05</v>
      </c>
      <c r="D59" s="34">
        <f>$G$3*H59</f>
        <v>14.289393999999998</v>
      </c>
      <c r="F59" t="str" cm="1">
        <f t="array" ref="F59">INDEX(_xlfn.TEXTSPLIT($J59,"/"),4)</f>
        <v>NE-Chiller-CHWPumpCtrl-Full-Msr</v>
      </c>
      <c r="G59">
        <f>$P59</f>
        <v>2.0516E-2</v>
      </c>
      <c r="H59">
        <f>$G$4*G59</f>
        <v>20.413419999999999</v>
      </c>
      <c r="J59" t="s">
        <v>505</v>
      </c>
      <c r="K59" t="s">
        <v>15</v>
      </c>
      <c r="M59">
        <v>3930.94</v>
      </c>
      <c r="N59">
        <v>1376.95</v>
      </c>
      <c r="P59">
        <v>2.0516E-2</v>
      </c>
      <c r="Q59">
        <v>0</v>
      </c>
      <c r="R59">
        <v>99768.88</v>
      </c>
      <c r="S59">
        <v>94437.9</v>
      </c>
      <c r="T59">
        <v>0</v>
      </c>
      <c r="U59">
        <v>258328.15</v>
      </c>
      <c r="V59">
        <v>0</v>
      </c>
      <c r="W59">
        <v>311887.09999999998</v>
      </c>
      <c r="X59">
        <v>15190.53</v>
      </c>
      <c r="Y59">
        <v>16004.27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117837.58</v>
      </c>
      <c r="AF59">
        <v>0</v>
      </c>
      <c r="AG59">
        <v>0</v>
      </c>
      <c r="AH59">
        <v>0</v>
      </c>
      <c r="AI59">
        <v>64094.3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231751.64</v>
      </c>
      <c r="AQ59">
        <v>0</v>
      </c>
      <c r="AR59">
        <v>0</v>
      </c>
      <c r="AS59">
        <v>461263991.799667</v>
      </c>
    </row>
    <row r="60" spans="2:45" ht="15.75" hidden="1" thickBot="1" x14ac:dyDescent="0.3">
      <c r="B60" s="15" t="str" cm="1">
        <f t="array" ref="B60">INDEX(_xlfn.TEXTSPLIT($J60,"/"),3)</f>
        <v>ESe&amp;0&amp;cPVVE&amp;New&amp;Chiller__PumpCtrl</v>
      </c>
      <c r="C60" s="33" t="str" cm="1">
        <f t="array" ref="C60">INDEX(_xlfn.TEXTSPLIT($J60,"/"),2)</f>
        <v>CZ06</v>
      </c>
      <c r="D60" s="34">
        <f>$G$3*H60</f>
        <v>15.4448875</v>
      </c>
      <c r="F60" t="str" cm="1">
        <f t="array" ref="F60">INDEX(_xlfn.TEXTSPLIT($J60,"/"),4)</f>
        <v>NE-Chiller-CHWPumpCtrl-Full-Msr</v>
      </c>
      <c r="G60">
        <f>$P60</f>
        <v>2.2175E-2</v>
      </c>
      <c r="H60">
        <f>$G$4*G60</f>
        <v>22.064125000000001</v>
      </c>
      <c r="J60" t="s">
        <v>490</v>
      </c>
      <c r="K60" t="s">
        <v>16</v>
      </c>
      <c r="M60">
        <v>4248.76</v>
      </c>
      <c r="N60">
        <v>1488.27</v>
      </c>
      <c r="P60">
        <v>2.2175E-2</v>
      </c>
      <c r="Q60">
        <v>0</v>
      </c>
      <c r="R60">
        <v>168971.06</v>
      </c>
      <c r="S60">
        <v>94437.9</v>
      </c>
      <c r="T60">
        <v>0</v>
      </c>
      <c r="U60">
        <v>258328.15</v>
      </c>
      <c r="V60">
        <v>0</v>
      </c>
      <c r="W60">
        <v>306839.65999999997</v>
      </c>
      <c r="X60">
        <v>22666.11</v>
      </c>
      <c r="Y60">
        <v>24099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42881.96</v>
      </c>
      <c r="AF60">
        <v>0</v>
      </c>
      <c r="AG60">
        <v>0</v>
      </c>
      <c r="AH60">
        <v>0</v>
      </c>
      <c r="AI60">
        <v>64094.3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213482.31</v>
      </c>
      <c r="AQ60">
        <v>0</v>
      </c>
      <c r="AR60">
        <v>0</v>
      </c>
      <c r="AS60">
        <v>425732129.280222</v>
      </c>
    </row>
    <row r="61" spans="2:45" ht="15.75" hidden="1" thickBot="1" x14ac:dyDescent="0.3">
      <c r="B61" s="15" t="str" cm="1">
        <f t="array" ref="B61">INDEX(_xlfn.TEXTSPLIT($J61,"/"),3)</f>
        <v>ESe&amp;0&amp;cPVVE&amp;New&amp;Chiller__PumpCtrl</v>
      </c>
      <c r="C61" s="33" t="str" cm="1">
        <f t="array" ref="C61">INDEX(_xlfn.TEXTSPLIT($J61,"/"),2)</f>
        <v>CZ07</v>
      </c>
      <c r="D61" s="34">
        <f>$G$3*H61</f>
        <v>15.890647499999998</v>
      </c>
      <c r="F61" t="str" cm="1">
        <f t="array" ref="F61">INDEX(_xlfn.TEXTSPLIT($J61,"/"),4)</f>
        <v>NE-Chiller-CHWPumpCtrl-Full-Msr</v>
      </c>
      <c r="G61">
        <f>$P61</f>
        <v>2.2814999999999998E-2</v>
      </c>
      <c r="H61">
        <f>$G$4*G61</f>
        <v>22.700924999999998</v>
      </c>
      <c r="J61" t="s">
        <v>473</v>
      </c>
      <c r="K61" t="s">
        <v>17</v>
      </c>
      <c r="M61">
        <v>4371.3599999999997</v>
      </c>
      <c r="N61">
        <v>1531.22</v>
      </c>
      <c r="P61">
        <v>2.2814999999999998E-2</v>
      </c>
      <c r="Q61">
        <v>0</v>
      </c>
      <c r="R61">
        <v>187896.88</v>
      </c>
      <c r="S61">
        <v>94437.9</v>
      </c>
      <c r="T61">
        <v>0</v>
      </c>
      <c r="U61">
        <v>258328.15</v>
      </c>
      <c r="V61">
        <v>0</v>
      </c>
      <c r="W61">
        <v>305397.01</v>
      </c>
      <c r="X61">
        <v>24095.78</v>
      </c>
      <c r="Y61">
        <v>25591.93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58244.32</v>
      </c>
      <c r="AF61">
        <v>0</v>
      </c>
      <c r="AG61">
        <v>0</v>
      </c>
      <c r="AH61">
        <v>0</v>
      </c>
      <c r="AI61">
        <v>64094.3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210773.37</v>
      </c>
      <c r="AQ61">
        <v>0</v>
      </c>
      <c r="AR61">
        <v>0</v>
      </c>
      <c r="AS61">
        <v>501071666.728818</v>
      </c>
    </row>
    <row r="62" spans="2:45" ht="15.75" hidden="1" thickBot="1" x14ac:dyDescent="0.3">
      <c r="B62" s="15" t="str" cm="1">
        <f t="array" ref="B62">INDEX(_xlfn.TEXTSPLIT($J62,"/"),3)</f>
        <v>ESe&amp;0&amp;cPVVE&amp;New&amp;Chiller__PumpCtrl</v>
      </c>
      <c r="C62" s="33" t="str" cm="1">
        <f t="array" ref="C62">INDEX(_xlfn.TEXTSPLIT($J62,"/"),2)</f>
        <v>CZ08</v>
      </c>
      <c r="D62" s="34">
        <f>$G$3*H62</f>
        <v>17.250912</v>
      </c>
      <c r="F62" t="str" cm="1">
        <f t="array" ref="F62">INDEX(_xlfn.TEXTSPLIT($J62,"/"),4)</f>
        <v>NE-Chiller-CHWPumpCtrl-Full-Msr</v>
      </c>
      <c r="G62">
        <f>$P62</f>
        <v>2.4767999999999998E-2</v>
      </c>
      <c r="H62">
        <f>$G$4*G62</f>
        <v>24.644159999999999</v>
      </c>
      <c r="J62" t="s">
        <v>456</v>
      </c>
      <c r="K62" t="s">
        <v>18</v>
      </c>
      <c r="M62">
        <v>4745.6499999999996</v>
      </c>
      <c r="N62">
        <v>1662.33</v>
      </c>
      <c r="P62">
        <v>2.4767999999999998E-2</v>
      </c>
      <c r="Q62">
        <v>0</v>
      </c>
      <c r="R62">
        <v>216152.36</v>
      </c>
      <c r="S62">
        <v>94437.9</v>
      </c>
      <c r="T62">
        <v>0</v>
      </c>
      <c r="U62">
        <v>258328.15</v>
      </c>
      <c r="V62">
        <v>0</v>
      </c>
      <c r="W62">
        <v>316149.59000000003</v>
      </c>
      <c r="X62">
        <v>25186.5</v>
      </c>
      <c r="Y62">
        <v>26928.37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72274.81</v>
      </c>
      <c r="AF62">
        <v>0</v>
      </c>
      <c r="AG62">
        <v>0</v>
      </c>
      <c r="AH62">
        <v>0</v>
      </c>
      <c r="AI62">
        <v>64094.3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210397.44</v>
      </c>
      <c r="AQ62">
        <v>0</v>
      </c>
      <c r="AR62">
        <v>0</v>
      </c>
      <c r="AS62">
        <v>524316504.17180902</v>
      </c>
    </row>
    <row r="63" spans="2:45" ht="15.75" hidden="1" thickBot="1" x14ac:dyDescent="0.3">
      <c r="B63" s="15" t="str" cm="1">
        <f t="array" ref="B63">INDEX(_xlfn.TEXTSPLIT($J63,"/"),3)</f>
        <v>ESe&amp;0&amp;cPVVE&amp;New&amp;Chiller__PumpCtrl</v>
      </c>
      <c r="C63" s="33" t="str" cm="1">
        <f t="array" ref="C63">INDEX(_xlfn.TEXTSPLIT($J63,"/"),2)</f>
        <v>CZ09</v>
      </c>
      <c r="D63" s="34">
        <f>$G$3*H63</f>
        <v>17.382550500000001</v>
      </c>
      <c r="F63" t="str" cm="1">
        <f t="array" ref="F63">INDEX(_xlfn.TEXTSPLIT($J63,"/"),4)</f>
        <v>NE-Chiller-CHWPumpCtrl-Full-Msr</v>
      </c>
      <c r="G63">
        <f>$P63</f>
        <v>2.4957E-2</v>
      </c>
      <c r="H63">
        <f>$G$4*G63</f>
        <v>24.832215000000001</v>
      </c>
      <c r="J63" t="s">
        <v>442</v>
      </c>
      <c r="K63" t="s">
        <v>19</v>
      </c>
      <c r="M63">
        <v>4781.87</v>
      </c>
      <c r="N63">
        <v>1675.01</v>
      </c>
      <c r="P63">
        <v>2.4957E-2</v>
      </c>
      <c r="Q63">
        <v>0</v>
      </c>
      <c r="R63">
        <v>254791.2</v>
      </c>
      <c r="S63">
        <v>94437.9</v>
      </c>
      <c r="T63">
        <v>0</v>
      </c>
      <c r="U63">
        <v>258328.15</v>
      </c>
      <c r="V63">
        <v>0</v>
      </c>
      <c r="W63">
        <v>327332.34000000003</v>
      </c>
      <c r="X63">
        <v>26214.65</v>
      </c>
      <c r="Y63">
        <v>27776.49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86099.67</v>
      </c>
      <c r="AF63">
        <v>0</v>
      </c>
      <c r="AG63">
        <v>0</v>
      </c>
      <c r="AH63">
        <v>0</v>
      </c>
      <c r="AI63">
        <v>64094.3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207496.43</v>
      </c>
      <c r="AQ63">
        <v>0</v>
      </c>
      <c r="AR63">
        <v>0</v>
      </c>
      <c r="AS63">
        <v>569049862.00498295</v>
      </c>
    </row>
    <row r="64" spans="2:45" ht="15.75" hidden="1" thickBot="1" x14ac:dyDescent="0.3">
      <c r="B64" s="15" t="str" cm="1">
        <f t="array" ref="B64">INDEX(_xlfn.TEXTSPLIT($J64,"/"),3)</f>
        <v>ESe&amp;0&amp;cPVVE&amp;New&amp;Chiller__PumpCtrl</v>
      </c>
      <c r="C64" s="33" t="str" cm="1">
        <f t="array" ref="C64">INDEX(_xlfn.TEXTSPLIT($J64,"/"),2)</f>
        <v>CZ10</v>
      </c>
      <c r="D64" s="34">
        <f>$G$3*H64</f>
        <v>18.79157</v>
      </c>
      <c r="F64" t="str" cm="1">
        <f t="array" ref="F64">INDEX(_xlfn.TEXTSPLIT($J64,"/"),4)</f>
        <v>NE-Chiller-CHWPumpCtrl-Full-Msr</v>
      </c>
      <c r="G64">
        <f>$P64</f>
        <v>2.6980000000000001E-2</v>
      </c>
      <c r="H64">
        <f>$G$4*G64</f>
        <v>26.845100000000002</v>
      </c>
      <c r="J64" t="s">
        <v>429</v>
      </c>
      <c r="K64" t="s">
        <v>20</v>
      </c>
      <c r="M64">
        <v>5169.3500000000004</v>
      </c>
      <c r="N64">
        <v>1810.74</v>
      </c>
      <c r="P64">
        <v>2.6980000000000001E-2</v>
      </c>
      <c r="Q64">
        <v>0</v>
      </c>
      <c r="R64">
        <v>279803.74</v>
      </c>
      <c r="S64">
        <v>94437.9</v>
      </c>
      <c r="T64">
        <v>0</v>
      </c>
      <c r="U64">
        <v>258328.15</v>
      </c>
      <c r="V64">
        <v>0</v>
      </c>
      <c r="W64">
        <v>329054.05</v>
      </c>
      <c r="X64">
        <v>25881.98</v>
      </c>
      <c r="Y64">
        <v>27704.31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104499.78</v>
      </c>
      <c r="AF64">
        <v>0</v>
      </c>
      <c r="AG64">
        <v>0</v>
      </c>
      <c r="AH64">
        <v>0</v>
      </c>
      <c r="AI64">
        <v>64094.3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205703.28</v>
      </c>
      <c r="AQ64">
        <v>0</v>
      </c>
      <c r="AR64">
        <v>0</v>
      </c>
      <c r="AS64">
        <v>845361374.45163</v>
      </c>
    </row>
    <row r="65" spans="2:45" ht="15.75" hidden="1" thickBot="1" x14ac:dyDescent="0.3">
      <c r="B65" s="15" t="str" cm="1">
        <f t="array" ref="B65">INDEX(_xlfn.TEXTSPLIT($J65,"/"),3)</f>
        <v>ESe&amp;0&amp;cPVVE&amp;New&amp;Chiller__PumpCtrl</v>
      </c>
      <c r="C65" s="33" t="str" cm="1">
        <f t="array" ref="C65">INDEX(_xlfn.TEXTSPLIT($J65,"/"),2)</f>
        <v>CZ11</v>
      </c>
      <c r="D65" s="34">
        <f>$G$3*H65</f>
        <v>16.208947999999999</v>
      </c>
      <c r="F65" t="str" cm="1">
        <f t="array" ref="F65">INDEX(_xlfn.TEXTSPLIT($J65,"/"),4)</f>
        <v>NE-Chiller-CHWPumpCtrl-Full-Msr</v>
      </c>
      <c r="G65">
        <f>$P65</f>
        <v>2.3272000000000001E-2</v>
      </c>
      <c r="H65">
        <f>$G$4*G65</f>
        <v>23.155640000000002</v>
      </c>
      <c r="J65" t="s">
        <v>409</v>
      </c>
      <c r="K65" t="s">
        <v>21</v>
      </c>
      <c r="M65">
        <v>4458.91</v>
      </c>
      <c r="N65">
        <v>1561.89</v>
      </c>
      <c r="P65">
        <v>2.3272000000000001E-2</v>
      </c>
      <c r="Q65">
        <v>0</v>
      </c>
      <c r="R65">
        <v>227402.02</v>
      </c>
      <c r="S65">
        <v>94437.9</v>
      </c>
      <c r="T65">
        <v>0</v>
      </c>
      <c r="U65">
        <v>258328.15</v>
      </c>
      <c r="V65">
        <v>0</v>
      </c>
      <c r="W65">
        <v>267820.90000000002</v>
      </c>
      <c r="X65">
        <v>18324.16</v>
      </c>
      <c r="Y65">
        <v>19963.919999999998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148964.93</v>
      </c>
      <c r="AF65">
        <v>0</v>
      </c>
      <c r="AG65">
        <v>0</v>
      </c>
      <c r="AH65">
        <v>0</v>
      </c>
      <c r="AI65">
        <v>64094.3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210323.02</v>
      </c>
      <c r="AQ65">
        <v>0</v>
      </c>
      <c r="AR65">
        <v>0</v>
      </c>
      <c r="AS65">
        <v>833342956.765185</v>
      </c>
    </row>
    <row r="66" spans="2:45" ht="15.75" hidden="1" thickBot="1" x14ac:dyDescent="0.3">
      <c r="B66" s="15" t="str" cm="1">
        <f t="array" ref="B66">INDEX(_xlfn.TEXTSPLIT($J66,"/"),3)</f>
        <v>ESe&amp;0&amp;cPVVE&amp;New&amp;Chiller__PumpCtrl</v>
      </c>
      <c r="C66" s="33" t="str" cm="1">
        <f t="array" ref="C66">INDEX(_xlfn.TEXTSPLIT($J66,"/"),2)</f>
        <v>CZ12</v>
      </c>
      <c r="D66" s="34">
        <f>$G$3*H66</f>
        <v>16.076612999999998</v>
      </c>
      <c r="F66" t="str" cm="1">
        <f t="array" ref="F66">INDEX(_xlfn.TEXTSPLIT($J66,"/"),4)</f>
        <v>NE-Chiller-CHWPumpCtrl-Full-Msr</v>
      </c>
      <c r="G66">
        <f>$P66</f>
        <v>2.3081999999999998E-2</v>
      </c>
      <c r="H66">
        <f>$G$4*G66</f>
        <v>22.96659</v>
      </c>
      <c r="J66" t="s">
        <v>394</v>
      </c>
      <c r="K66" t="s">
        <v>22</v>
      </c>
      <c r="M66">
        <v>4422.53</v>
      </c>
      <c r="N66">
        <v>1549.14</v>
      </c>
      <c r="P66">
        <v>2.3081999999999998E-2</v>
      </c>
      <c r="Q66">
        <v>0</v>
      </c>
      <c r="R66">
        <v>210256.11</v>
      </c>
      <c r="S66">
        <v>94437.9</v>
      </c>
      <c r="T66">
        <v>0</v>
      </c>
      <c r="U66">
        <v>258328.15</v>
      </c>
      <c r="V66">
        <v>0</v>
      </c>
      <c r="W66">
        <v>273504.28999999998</v>
      </c>
      <c r="X66">
        <v>18784.43</v>
      </c>
      <c r="Y66">
        <v>19927.43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170700.41</v>
      </c>
      <c r="AF66">
        <v>0</v>
      </c>
      <c r="AG66">
        <v>0</v>
      </c>
      <c r="AH66">
        <v>0</v>
      </c>
      <c r="AI66">
        <v>64094.3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216283.09</v>
      </c>
      <c r="AQ66">
        <v>0</v>
      </c>
      <c r="AR66">
        <v>0</v>
      </c>
      <c r="AS66">
        <v>821645842.51986694</v>
      </c>
    </row>
    <row r="67" spans="2:45" ht="15.75" hidden="1" thickBot="1" x14ac:dyDescent="0.3">
      <c r="B67" s="15" t="str" cm="1">
        <f t="array" ref="B67">INDEX(_xlfn.TEXTSPLIT($J67,"/"),3)</f>
        <v>ESe&amp;0&amp;cPVVE&amp;New&amp;Chiller__PumpCtrl</v>
      </c>
      <c r="C67" s="33" t="str" cm="1">
        <f t="array" ref="C67">INDEX(_xlfn.TEXTSPLIT($J67,"/"),2)</f>
        <v>CZ13</v>
      </c>
      <c r="D67" s="34">
        <f>$G$3*H67</f>
        <v>16.8058485</v>
      </c>
      <c r="F67" t="str" cm="1">
        <f t="array" ref="F67">INDEX(_xlfn.TEXTSPLIT($J67,"/"),4)</f>
        <v>NE-Chiller-CHWPumpCtrl-Full-Msr</v>
      </c>
      <c r="G67">
        <f>$P67</f>
        <v>2.4129000000000001E-2</v>
      </c>
      <c r="H67">
        <f>$G$4*G67</f>
        <v>24.008355000000002</v>
      </c>
      <c r="J67" t="s">
        <v>377</v>
      </c>
      <c r="K67" t="s">
        <v>23</v>
      </c>
      <c r="M67">
        <v>4623.16</v>
      </c>
      <c r="N67">
        <v>1619.42</v>
      </c>
      <c r="P67">
        <v>2.4129000000000001E-2</v>
      </c>
      <c r="Q67">
        <v>0</v>
      </c>
      <c r="R67">
        <v>253537.07</v>
      </c>
      <c r="S67">
        <v>94437.9</v>
      </c>
      <c r="T67">
        <v>0</v>
      </c>
      <c r="U67">
        <v>258328.15</v>
      </c>
      <c r="V67">
        <v>0</v>
      </c>
      <c r="W67">
        <v>265274.09999999998</v>
      </c>
      <c r="X67">
        <v>20220.84</v>
      </c>
      <c r="Y67">
        <v>21983.29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126427.68</v>
      </c>
      <c r="AF67">
        <v>0</v>
      </c>
      <c r="AG67">
        <v>0</v>
      </c>
      <c r="AH67">
        <v>0</v>
      </c>
      <c r="AI67">
        <v>64094.3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204201.06</v>
      </c>
      <c r="AQ67">
        <v>0</v>
      </c>
      <c r="AR67">
        <v>0</v>
      </c>
      <c r="AS67">
        <v>832264405.61660302</v>
      </c>
    </row>
    <row r="68" spans="2:45" ht="15.75" hidden="1" thickBot="1" x14ac:dyDescent="0.3">
      <c r="B68" s="15" t="str" cm="1">
        <f t="array" ref="B68">INDEX(_xlfn.TEXTSPLIT($J68,"/"),3)</f>
        <v>ESe&amp;0&amp;cPVVE&amp;New&amp;Chiller__PumpCtrl</v>
      </c>
      <c r="C68" s="33" t="str" cm="1">
        <f t="array" ref="C68">INDEX(_xlfn.TEXTSPLIT($J68,"/"),2)</f>
        <v>CZ14</v>
      </c>
      <c r="D68" s="34">
        <f>$G$3*H68</f>
        <v>16.844155999999998</v>
      </c>
      <c r="F68" t="str" cm="1">
        <f t="array" ref="F68">INDEX(_xlfn.TEXTSPLIT($J68,"/"),4)</f>
        <v>NE-Chiller-CHWPumpCtrl-Full-Msr</v>
      </c>
      <c r="G68">
        <f>$P68</f>
        <v>2.4184000000000001E-2</v>
      </c>
      <c r="H68">
        <f>$G$4*G68</f>
        <v>24.063079999999999</v>
      </c>
      <c r="J68" t="s">
        <v>361</v>
      </c>
      <c r="K68" t="s">
        <v>24</v>
      </c>
      <c r="M68">
        <v>4633.75</v>
      </c>
      <c r="N68">
        <v>1623.13</v>
      </c>
      <c r="P68">
        <v>2.4184000000000001E-2</v>
      </c>
      <c r="Q68">
        <v>0</v>
      </c>
      <c r="R68">
        <v>323984.40999999997</v>
      </c>
      <c r="S68">
        <v>94437.9</v>
      </c>
      <c r="T68">
        <v>0</v>
      </c>
      <c r="U68">
        <v>258328.15</v>
      </c>
      <c r="V68">
        <v>0</v>
      </c>
      <c r="W68">
        <v>277118.28000000003</v>
      </c>
      <c r="X68">
        <v>23220.49</v>
      </c>
      <c r="Y68">
        <v>24279.32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94582.57</v>
      </c>
      <c r="AF68">
        <v>0</v>
      </c>
      <c r="AG68">
        <v>0</v>
      </c>
      <c r="AH68">
        <v>0</v>
      </c>
      <c r="AI68">
        <v>64094.3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193649.34</v>
      </c>
      <c r="AQ68">
        <v>0</v>
      </c>
      <c r="AR68">
        <v>0</v>
      </c>
      <c r="AS68">
        <v>982298707.75665402</v>
      </c>
    </row>
    <row r="69" spans="2:45" ht="15.75" hidden="1" thickBot="1" x14ac:dyDescent="0.3">
      <c r="B69" s="15" t="str" cm="1">
        <f t="array" ref="B69">INDEX(_xlfn.TEXTSPLIT($J69,"/"),3)</f>
        <v>ESe&amp;0&amp;cPVVE&amp;New&amp;Chiller__PumpCtrl</v>
      </c>
      <c r="C69" s="33" t="str" cm="1">
        <f t="array" ref="C69">INDEX(_xlfn.TEXTSPLIT($J69,"/"),2)</f>
        <v>CZ15</v>
      </c>
      <c r="D69" s="34">
        <f>$G$3*H69</f>
        <v>17.714780999999999</v>
      </c>
      <c r="F69" t="str" cm="1">
        <f t="array" ref="F69">INDEX(_xlfn.TEXTSPLIT($J69,"/"),4)</f>
        <v>NE-Chiller-CHWPumpCtrl-Full-Msr</v>
      </c>
      <c r="G69">
        <f>$P69</f>
        <v>2.5433999999999998E-2</v>
      </c>
      <c r="H69">
        <f>$G$4*G69</f>
        <v>25.306829999999998</v>
      </c>
      <c r="J69" t="s">
        <v>345</v>
      </c>
      <c r="K69" t="s">
        <v>25</v>
      </c>
      <c r="M69">
        <v>4873.3</v>
      </c>
      <c r="N69">
        <v>1707.04</v>
      </c>
      <c r="P69">
        <v>2.5433999999999998E-2</v>
      </c>
      <c r="Q69">
        <v>0</v>
      </c>
      <c r="R69">
        <v>450931.81</v>
      </c>
      <c r="S69">
        <v>94437.9</v>
      </c>
      <c r="T69">
        <v>0</v>
      </c>
      <c r="U69">
        <v>258328.15</v>
      </c>
      <c r="V69">
        <v>0</v>
      </c>
      <c r="W69">
        <v>265236.01</v>
      </c>
      <c r="X69">
        <v>28012.18</v>
      </c>
      <c r="Y69">
        <v>30503.1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118574.18</v>
      </c>
      <c r="AF69">
        <v>0</v>
      </c>
      <c r="AG69">
        <v>0</v>
      </c>
      <c r="AH69">
        <v>0</v>
      </c>
      <c r="AI69">
        <v>64094.3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171935.8</v>
      </c>
      <c r="AQ69">
        <v>0</v>
      </c>
      <c r="AR69">
        <v>0</v>
      </c>
      <c r="AS69">
        <v>1001561714.49554</v>
      </c>
    </row>
    <row r="70" spans="2:45" ht="15.75" hidden="1" thickBot="1" x14ac:dyDescent="0.3">
      <c r="B70" s="15" t="str" cm="1">
        <f t="array" ref="B70">INDEX(_xlfn.TEXTSPLIT($J70,"/"),3)</f>
        <v>ESe&amp;0&amp;cPVVE&amp;New&amp;Chiller__PumpCtrl</v>
      </c>
      <c r="C70" s="33" t="str" cm="1">
        <f t="array" ref="C70">INDEX(_xlfn.TEXTSPLIT($J70,"/"),2)</f>
        <v>CZ16</v>
      </c>
      <c r="D70" s="34">
        <f>$G$3*H70</f>
        <v>14.3318805</v>
      </c>
      <c r="F70" t="str" cm="1">
        <f t="array" ref="F70">INDEX(_xlfn.TEXTSPLIT($J70,"/"),4)</f>
        <v>NE-Chiller-CHWPumpCtrl-Full-Msr</v>
      </c>
      <c r="G70">
        <f>$P70</f>
        <v>2.0577000000000002E-2</v>
      </c>
      <c r="H70">
        <f>$G$4*G70</f>
        <v>20.474115000000001</v>
      </c>
      <c r="J70" t="s">
        <v>332</v>
      </c>
      <c r="K70" t="s">
        <v>26</v>
      </c>
      <c r="M70">
        <v>3942.52</v>
      </c>
      <c r="N70">
        <v>1381</v>
      </c>
      <c r="P70">
        <v>2.0577000000000002E-2</v>
      </c>
      <c r="Q70">
        <v>0</v>
      </c>
      <c r="R70">
        <v>221238.5</v>
      </c>
      <c r="S70">
        <v>94437.9</v>
      </c>
      <c r="T70">
        <v>0</v>
      </c>
      <c r="U70">
        <v>258328.15</v>
      </c>
      <c r="V70">
        <v>0</v>
      </c>
      <c r="W70">
        <v>313770.64</v>
      </c>
      <c r="X70">
        <v>19482.86</v>
      </c>
      <c r="Y70">
        <v>17164.150000000001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221631.69</v>
      </c>
      <c r="AF70">
        <v>0</v>
      </c>
      <c r="AG70">
        <v>0</v>
      </c>
      <c r="AH70">
        <v>0</v>
      </c>
      <c r="AI70">
        <v>64094.3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228585.62</v>
      </c>
      <c r="AQ70">
        <v>0</v>
      </c>
      <c r="AR70">
        <v>0</v>
      </c>
      <c r="AS70">
        <v>651789599.45631897</v>
      </c>
    </row>
    <row r="71" spans="2:45" ht="15.75" hidden="1" thickBot="1" x14ac:dyDescent="0.3">
      <c r="B71" s="15" t="str" cm="1">
        <f t="array" ref="B71">INDEX(_xlfn.TEXTSPLIT($J71,"/"),3)</f>
        <v>EUn&amp;0&amp;cPVVE&amp;Ex&amp;Chiller__PumpCtrl</v>
      </c>
      <c r="C71" s="33" t="str" cm="1">
        <f t="array" ref="C71">INDEX(_xlfn.TEXTSPLIT($J71,"/"),2)</f>
        <v>CZ01</v>
      </c>
      <c r="D71" s="34">
        <f>$G$3*H71</f>
        <v>249.53366199999996</v>
      </c>
      <c r="F71" t="str" cm="1">
        <f t="array" ref="F71">INDEX(_xlfn.TEXTSPLIT($J71,"/"),4)</f>
        <v>NE-Chiller-CHWPumpCtrl-Full-Msr</v>
      </c>
      <c r="G71">
        <f>$P71</f>
        <v>0.35826799999999998</v>
      </c>
      <c r="H71">
        <f>$G$4*G71</f>
        <v>356.47665999999998</v>
      </c>
      <c r="J71" t="s">
        <v>318</v>
      </c>
      <c r="K71" t="s">
        <v>11</v>
      </c>
      <c r="M71">
        <v>68645.119999999995</v>
      </c>
      <c r="N71">
        <v>24045.29</v>
      </c>
      <c r="P71">
        <v>0.35826799999999998</v>
      </c>
      <c r="Q71">
        <v>0</v>
      </c>
      <c r="R71">
        <v>211578.73</v>
      </c>
      <c r="S71">
        <v>1274541.22</v>
      </c>
      <c r="T71">
        <v>0</v>
      </c>
      <c r="U71">
        <v>3553012.2</v>
      </c>
      <c r="V71">
        <v>0</v>
      </c>
      <c r="W71">
        <v>893162.05</v>
      </c>
      <c r="X71">
        <v>63466.59</v>
      </c>
      <c r="Y71">
        <v>59515.14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1006788.01</v>
      </c>
      <c r="AF71">
        <v>0</v>
      </c>
      <c r="AG71">
        <v>0</v>
      </c>
      <c r="AH71">
        <v>0</v>
      </c>
      <c r="AI71">
        <v>127428.8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805513.45</v>
      </c>
      <c r="AQ71">
        <v>0</v>
      </c>
      <c r="AR71">
        <v>0</v>
      </c>
      <c r="AS71">
        <v>4713921395.4341202</v>
      </c>
    </row>
    <row r="72" spans="2:45" ht="15.75" hidden="1" thickBot="1" x14ac:dyDescent="0.3">
      <c r="B72" s="15" t="str" cm="1">
        <f t="array" ref="B72">INDEX(_xlfn.TEXTSPLIT($J72,"/"),3)</f>
        <v>EUn&amp;0&amp;cPVVE&amp;Ex&amp;Chiller__PumpCtrl</v>
      </c>
      <c r="C72" s="33" t="str" cm="1">
        <f t="array" ref="C72">INDEX(_xlfn.TEXTSPLIT($J72,"/"),2)</f>
        <v>CZ02</v>
      </c>
      <c r="D72" s="34">
        <f>$G$3*H72</f>
        <v>295.95051149999995</v>
      </c>
      <c r="F72" t="str" cm="1">
        <f t="array" ref="F72">INDEX(_xlfn.TEXTSPLIT($J72,"/"),4)</f>
        <v>NE-Chiller-CHWPumpCtrl-Full-Msr</v>
      </c>
      <c r="G72">
        <f>$P72</f>
        <v>0.42491099999999998</v>
      </c>
      <c r="H72">
        <f>$G$4*G72</f>
        <v>422.78644499999996</v>
      </c>
      <c r="J72" t="s">
        <v>297</v>
      </c>
      <c r="K72" t="s">
        <v>12</v>
      </c>
      <c r="M72">
        <v>81414.080000000002</v>
      </c>
      <c r="N72">
        <v>28518.06</v>
      </c>
      <c r="P72">
        <v>0.42491099999999998</v>
      </c>
      <c r="Q72">
        <v>0</v>
      </c>
      <c r="R72">
        <v>1725483.66</v>
      </c>
      <c r="S72">
        <v>1274541.22</v>
      </c>
      <c r="T72">
        <v>0</v>
      </c>
      <c r="U72">
        <v>3553012.2</v>
      </c>
      <c r="V72">
        <v>0</v>
      </c>
      <c r="W72">
        <v>1103453.6599999999</v>
      </c>
      <c r="X72">
        <v>319314.26</v>
      </c>
      <c r="Y72">
        <v>320755.71000000002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1259092.54</v>
      </c>
      <c r="AF72">
        <v>0</v>
      </c>
      <c r="AG72">
        <v>0</v>
      </c>
      <c r="AH72">
        <v>0</v>
      </c>
      <c r="AI72">
        <v>127428.8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739479.65</v>
      </c>
      <c r="AQ72">
        <v>0</v>
      </c>
      <c r="AR72">
        <v>0</v>
      </c>
      <c r="AS72">
        <v>7003637812.9886303</v>
      </c>
    </row>
    <row r="73" spans="2:45" ht="15.75" hidden="1" thickBot="1" x14ac:dyDescent="0.3">
      <c r="B73" s="15" t="str" cm="1">
        <f t="array" ref="B73">INDEX(_xlfn.TEXTSPLIT($J73,"/"),3)</f>
        <v>EUn&amp;0&amp;cPVVE&amp;Ex&amp;Chiller__PumpCtrl</v>
      </c>
      <c r="C73" s="33" t="str" cm="1">
        <f t="array" ref="C73">INDEX(_xlfn.TEXTSPLIT($J73,"/"),2)</f>
        <v>CZ03</v>
      </c>
      <c r="D73" s="34">
        <f>$G$3*H73</f>
        <v>286.28309149999995</v>
      </c>
      <c r="F73" t="str" cm="1">
        <f t="array" ref="F73">INDEX(_xlfn.TEXTSPLIT($J73,"/"),4)</f>
        <v>NE-Chiller-CHWPumpCtrl-Full-Msr</v>
      </c>
      <c r="G73">
        <f>$P73</f>
        <v>0.41103099999999998</v>
      </c>
      <c r="H73">
        <f>$G$4*G73</f>
        <v>408.97584499999999</v>
      </c>
      <c r="J73" t="s">
        <v>284</v>
      </c>
      <c r="K73" t="s">
        <v>13</v>
      </c>
      <c r="M73">
        <v>78754.509999999995</v>
      </c>
      <c r="N73">
        <v>27586.45</v>
      </c>
      <c r="P73">
        <v>0.41103099999999998</v>
      </c>
      <c r="Q73">
        <v>0</v>
      </c>
      <c r="R73">
        <v>1162985.95</v>
      </c>
      <c r="S73">
        <v>1274541.22</v>
      </c>
      <c r="T73">
        <v>0</v>
      </c>
      <c r="U73">
        <v>3553012.2</v>
      </c>
      <c r="V73">
        <v>0</v>
      </c>
      <c r="W73">
        <v>961407.32</v>
      </c>
      <c r="X73">
        <v>286465.43</v>
      </c>
      <c r="Y73">
        <v>303782.68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659243.76</v>
      </c>
      <c r="AF73">
        <v>0</v>
      </c>
      <c r="AG73">
        <v>0</v>
      </c>
      <c r="AH73">
        <v>0</v>
      </c>
      <c r="AI73">
        <v>127428.8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736925.09</v>
      </c>
      <c r="AQ73">
        <v>0</v>
      </c>
      <c r="AR73">
        <v>0</v>
      </c>
      <c r="AS73">
        <v>6100879684.0532398</v>
      </c>
    </row>
    <row r="74" spans="2:45" ht="15.75" hidden="1" thickBot="1" x14ac:dyDescent="0.3">
      <c r="B74" s="15" t="str" cm="1">
        <f t="array" ref="B74">INDEX(_xlfn.TEXTSPLIT($J74,"/"),3)</f>
        <v>EUn&amp;0&amp;cPVVE&amp;Ex&amp;Chiller__PumpCtrl</v>
      </c>
      <c r="C74" s="33" t="str" cm="1">
        <f t="array" ref="C74">INDEX(_xlfn.TEXTSPLIT($J74,"/"),2)</f>
        <v>CZ04</v>
      </c>
      <c r="D74" s="34">
        <f>$G$3*H74</f>
        <v>298.7128305</v>
      </c>
      <c r="F74" t="str" cm="1">
        <f t="array" ref="F74">INDEX(_xlfn.TEXTSPLIT($J74,"/"),4)</f>
        <v>NE-Chiller-CHWPumpCtrl-Full-Msr</v>
      </c>
      <c r="G74">
        <f>$P74</f>
        <v>0.42887700000000001</v>
      </c>
      <c r="H74">
        <f>$G$4*G74</f>
        <v>426.73261500000001</v>
      </c>
      <c r="J74" t="s">
        <v>268</v>
      </c>
      <c r="K74" t="s">
        <v>14</v>
      </c>
      <c r="M74">
        <v>82173.87</v>
      </c>
      <c r="N74">
        <v>28784.2</v>
      </c>
      <c r="P74">
        <v>0.42887700000000001</v>
      </c>
      <c r="Q74">
        <v>0</v>
      </c>
      <c r="R74">
        <v>1872370.6</v>
      </c>
      <c r="S74">
        <v>1274541.22</v>
      </c>
      <c r="T74">
        <v>0</v>
      </c>
      <c r="U74">
        <v>3553012.2</v>
      </c>
      <c r="V74">
        <v>0</v>
      </c>
      <c r="W74">
        <v>1116630.46</v>
      </c>
      <c r="X74">
        <v>357597.16</v>
      </c>
      <c r="Y74">
        <v>375559.38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960706.99</v>
      </c>
      <c r="AF74">
        <v>0</v>
      </c>
      <c r="AG74">
        <v>0</v>
      </c>
      <c r="AH74">
        <v>0</v>
      </c>
      <c r="AI74">
        <v>127428.8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711166.42</v>
      </c>
      <c r="AQ74">
        <v>0</v>
      </c>
      <c r="AR74">
        <v>0</v>
      </c>
      <c r="AS74">
        <v>7140352075.2938404</v>
      </c>
    </row>
    <row r="75" spans="2:45" ht="15.75" hidden="1" thickBot="1" x14ac:dyDescent="0.3">
      <c r="B75" s="15" t="str" cm="1">
        <f t="array" ref="B75">INDEX(_xlfn.TEXTSPLIT($J75,"/"),3)</f>
        <v>EUn&amp;0&amp;cPVVE&amp;Ex&amp;Chiller__PumpCtrl</v>
      </c>
      <c r="C75" s="33" t="str" cm="1">
        <f t="array" ref="C75">INDEX(_xlfn.TEXTSPLIT($J75,"/"),2)</f>
        <v>CZ05</v>
      </c>
      <c r="D75" s="34">
        <f>$G$3*H75</f>
        <v>271.78823</v>
      </c>
      <c r="F75" t="str" cm="1">
        <f t="array" ref="F75">INDEX(_xlfn.TEXTSPLIT($J75,"/"),4)</f>
        <v>NE-Chiller-CHWPumpCtrl-Full-Msr</v>
      </c>
      <c r="G75">
        <f>$P75</f>
        <v>0.39022000000000001</v>
      </c>
      <c r="H75">
        <f>$G$4*G75</f>
        <v>388.26890000000003</v>
      </c>
      <c r="J75" t="s">
        <v>252</v>
      </c>
      <c r="K75" t="s">
        <v>15</v>
      </c>
      <c r="M75">
        <v>74767.08</v>
      </c>
      <c r="N75">
        <v>26189.72</v>
      </c>
      <c r="P75">
        <v>0.39022000000000001</v>
      </c>
      <c r="Q75">
        <v>0</v>
      </c>
      <c r="R75">
        <v>1376068.88</v>
      </c>
      <c r="S75">
        <v>1274541.22</v>
      </c>
      <c r="T75">
        <v>0</v>
      </c>
      <c r="U75">
        <v>3553012.2</v>
      </c>
      <c r="V75">
        <v>0</v>
      </c>
      <c r="W75">
        <v>1006475.26</v>
      </c>
      <c r="X75">
        <v>297688.55</v>
      </c>
      <c r="Y75">
        <v>309485.7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713385.48</v>
      </c>
      <c r="AF75">
        <v>0</v>
      </c>
      <c r="AG75">
        <v>0</v>
      </c>
      <c r="AH75">
        <v>0</v>
      </c>
      <c r="AI75">
        <v>127428.8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736986.56</v>
      </c>
      <c r="AQ75">
        <v>0</v>
      </c>
      <c r="AR75">
        <v>0</v>
      </c>
      <c r="AS75">
        <v>3892954584.7011399</v>
      </c>
    </row>
    <row r="76" spans="2:45" ht="15.75" hidden="1" thickBot="1" x14ac:dyDescent="0.3">
      <c r="B76" s="15" t="str" cm="1">
        <f t="array" ref="B76">INDEX(_xlfn.TEXTSPLIT($J76,"/"),3)</f>
        <v>EUn&amp;0&amp;cPVVE&amp;Ex&amp;Chiller__PumpCtrl</v>
      </c>
      <c r="C76" s="33" t="str" cm="1">
        <f t="array" ref="C76">INDEX(_xlfn.TEXTSPLIT($J76,"/"),2)</f>
        <v>CZ06</v>
      </c>
      <c r="D76" s="34">
        <f>$G$3*H76</f>
        <v>280.21448700000002</v>
      </c>
      <c r="F76" t="str" cm="1">
        <f t="array" ref="F76">INDEX(_xlfn.TEXTSPLIT($J76,"/"),4)</f>
        <v>NE-Chiller-CHWPumpCtrl-Full-Msr</v>
      </c>
      <c r="G76">
        <f>$P76</f>
        <v>0.40231800000000001</v>
      </c>
      <c r="H76">
        <f>$G$4*G76</f>
        <v>400.30641000000003</v>
      </c>
      <c r="J76" t="s">
        <v>236</v>
      </c>
      <c r="K76" t="s">
        <v>16</v>
      </c>
      <c r="M76">
        <v>77085.25</v>
      </c>
      <c r="N76">
        <v>27001.74</v>
      </c>
      <c r="P76">
        <v>0.40231800000000001</v>
      </c>
      <c r="Q76">
        <v>0</v>
      </c>
      <c r="R76">
        <v>2477600.44</v>
      </c>
      <c r="S76">
        <v>1274541.22</v>
      </c>
      <c r="T76">
        <v>0</v>
      </c>
      <c r="U76">
        <v>3553012.2</v>
      </c>
      <c r="V76">
        <v>0</v>
      </c>
      <c r="W76">
        <v>1106346.8500000001</v>
      </c>
      <c r="X76">
        <v>446182.66</v>
      </c>
      <c r="Y76">
        <v>475914.12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530805.19999999995</v>
      </c>
      <c r="AF76">
        <v>0</v>
      </c>
      <c r="AG76">
        <v>0</v>
      </c>
      <c r="AH76">
        <v>0</v>
      </c>
      <c r="AI76">
        <v>127428.8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678590.72</v>
      </c>
      <c r="AQ76">
        <v>0</v>
      </c>
      <c r="AR76">
        <v>0</v>
      </c>
      <c r="AS76">
        <v>3632865481.3134699</v>
      </c>
    </row>
    <row r="77" spans="2:45" ht="15.75" hidden="1" thickBot="1" x14ac:dyDescent="0.3">
      <c r="B77" s="15" t="str" cm="1">
        <f t="array" ref="B77">INDEX(_xlfn.TEXTSPLIT($J77,"/"),3)</f>
        <v>EUn&amp;0&amp;cPVVE&amp;Ex&amp;Chiller__PumpCtrl</v>
      </c>
      <c r="C77" s="33" t="str" cm="1">
        <f t="array" ref="C77">INDEX(_xlfn.TEXTSPLIT($J77,"/"),2)</f>
        <v>CZ07</v>
      </c>
      <c r="D77" s="34">
        <f>$G$3*H77</f>
        <v>285.36649749999998</v>
      </c>
      <c r="F77" t="str" cm="1">
        <f t="array" ref="F77">INDEX(_xlfn.TEXTSPLIT($J77,"/"),4)</f>
        <v>NE-Chiller-CHWPumpCtrl-Full-Msr</v>
      </c>
      <c r="G77">
        <f>$P77</f>
        <v>0.409715</v>
      </c>
      <c r="H77">
        <f>$G$4*G77</f>
        <v>407.666425</v>
      </c>
      <c r="J77" t="s">
        <v>221</v>
      </c>
      <c r="K77" t="s">
        <v>17</v>
      </c>
      <c r="M77">
        <v>78502.37</v>
      </c>
      <c r="N77">
        <v>27498.13</v>
      </c>
      <c r="P77">
        <v>0.409715</v>
      </c>
      <c r="Q77">
        <v>0</v>
      </c>
      <c r="R77">
        <v>2757916.95</v>
      </c>
      <c r="S77">
        <v>1274541.22</v>
      </c>
      <c r="T77">
        <v>0</v>
      </c>
      <c r="U77">
        <v>3553012.2</v>
      </c>
      <c r="V77">
        <v>0</v>
      </c>
      <c r="W77">
        <v>1199956.79</v>
      </c>
      <c r="X77">
        <v>475069.55</v>
      </c>
      <c r="Y77">
        <v>501295.04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853637.05</v>
      </c>
      <c r="AF77">
        <v>0</v>
      </c>
      <c r="AG77">
        <v>0</v>
      </c>
      <c r="AH77">
        <v>0</v>
      </c>
      <c r="AI77">
        <v>127428.8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669785.75</v>
      </c>
      <c r="AQ77">
        <v>0</v>
      </c>
      <c r="AR77">
        <v>0</v>
      </c>
      <c r="AS77">
        <v>4285778727.4356899</v>
      </c>
    </row>
    <row r="78" spans="2:45" ht="15.75" hidden="1" thickBot="1" x14ac:dyDescent="0.3">
      <c r="B78" s="15" t="str" cm="1">
        <f t="array" ref="B78">INDEX(_xlfn.TEXTSPLIT($J78,"/"),3)</f>
        <v>EUn&amp;0&amp;cPVVE&amp;Ex&amp;Chiller__PumpCtrl</v>
      </c>
      <c r="C78" s="33" t="str" cm="1">
        <f t="array" ref="C78">INDEX(_xlfn.TEXTSPLIT($J78,"/"),2)</f>
        <v>CZ08</v>
      </c>
      <c r="D78" s="34">
        <f>$G$3*H78</f>
        <v>300.73198399999995</v>
      </c>
      <c r="F78" t="str" cm="1">
        <f t="array" ref="F78">INDEX(_xlfn.TEXTSPLIT($J78,"/"),4)</f>
        <v>NE-Chiller-CHWPumpCtrl-Full-Msr</v>
      </c>
      <c r="G78">
        <f>$P78</f>
        <v>0.43177599999999999</v>
      </c>
      <c r="H78">
        <f>$G$4*G78</f>
        <v>429.61712</v>
      </c>
      <c r="J78" t="s">
        <v>203</v>
      </c>
      <c r="K78" t="s">
        <v>18</v>
      </c>
      <c r="M78">
        <v>82729.37</v>
      </c>
      <c r="N78">
        <v>28978.78</v>
      </c>
      <c r="P78">
        <v>0.43177599999999999</v>
      </c>
      <c r="Q78">
        <v>0</v>
      </c>
      <c r="R78">
        <v>2846421.33</v>
      </c>
      <c r="S78">
        <v>1274541.22</v>
      </c>
      <c r="T78">
        <v>0</v>
      </c>
      <c r="U78">
        <v>3553012.2</v>
      </c>
      <c r="V78">
        <v>0</v>
      </c>
      <c r="W78">
        <v>1223243.28</v>
      </c>
      <c r="X78">
        <v>480392.2</v>
      </c>
      <c r="Y78">
        <v>509303.44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940257.93</v>
      </c>
      <c r="AF78">
        <v>0</v>
      </c>
      <c r="AG78">
        <v>0</v>
      </c>
      <c r="AH78">
        <v>0</v>
      </c>
      <c r="AI78">
        <v>127428.8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668519.11</v>
      </c>
      <c r="AQ78">
        <v>0</v>
      </c>
      <c r="AR78">
        <v>0</v>
      </c>
      <c r="AS78">
        <v>4081664503.5794802</v>
      </c>
    </row>
    <row r="79" spans="2:45" ht="15.75" hidden="1" thickBot="1" x14ac:dyDescent="0.3">
      <c r="B79" s="15" t="str" cm="1">
        <f t="array" ref="B79">INDEX(_xlfn.TEXTSPLIT($J79,"/"),3)</f>
        <v>EUn&amp;0&amp;cPVVE&amp;Ex&amp;Chiller__PumpCtrl</v>
      </c>
      <c r="C79" s="33" t="str" cm="1">
        <f t="array" ref="C79">INDEX(_xlfn.TEXTSPLIT($J79,"/"),2)</f>
        <v>CZ09</v>
      </c>
      <c r="D79" s="34">
        <f>$G$3*H79</f>
        <v>305.5649975</v>
      </c>
      <c r="F79" t="str" cm="1">
        <f t="array" ref="F79">INDEX(_xlfn.TEXTSPLIT($J79,"/"),4)</f>
        <v>NE-Chiller-CHWPumpCtrl-Full-Msr</v>
      </c>
      <c r="G79">
        <f>$P79</f>
        <v>0.43871500000000002</v>
      </c>
      <c r="H79">
        <f>$G$4*G79</f>
        <v>436.52142500000002</v>
      </c>
      <c r="J79" t="s">
        <v>185</v>
      </c>
      <c r="K79" t="s">
        <v>19</v>
      </c>
      <c r="M79">
        <v>84058.97</v>
      </c>
      <c r="N79">
        <v>29444.52</v>
      </c>
      <c r="P79">
        <v>0.43871500000000002</v>
      </c>
      <c r="Q79">
        <v>0</v>
      </c>
      <c r="R79">
        <v>3120892.26</v>
      </c>
      <c r="S79">
        <v>1274541.22</v>
      </c>
      <c r="T79">
        <v>0</v>
      </c>
      <c r="U79">
        <v>3553012.2</v>
      </c>
      <c r="V79">
        <v>0</v>
      </c>
      <c r="W79">
        <v>1301551.46</v>
      </c>
      <c r="X79">
        <v>502979.07</v>
      </c>
      <c r="Y79">
        <v>533087.80000000005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1101480.07</v>
      </c>
      <c r="AF79">
        <v>0</v>
      </c>
      <c r="AG79">
        <v>0</v>
      </c>
      <c r="AH79">
        <v>0</v>
      </c>
      <c r="AI79">
        <v>127428.8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659369.1</v>
      </c>
      <c r="AQ79">
        <v>0</v>
      </c>
      <c r="AR79">
        <v>0</v>
      </c>
      <c r="AS79">
        <v>4328772099.7628698</v>
      </c>
    </row>
    <row r="80" spans="2:45" ht="15.75" hidden="1" thickBot="1" x14ac:dyDescent="0.3">
      <c r="B80" s="15" t="str" cm="1">
        <f t="array" ref="B80">INDEX(_xlfn.TEXTSPLIT($J80,"/"),3)</f>
        <v>EUn&amp;0&amp;cPVVE&amp;Ex&amp;Chiller__PumpCtrl</v>
      </c>
      <c r="C80" s="33" t="str" cm="1">
        <f t="array" ref="C80">INDEX(_xlfn.TEXTSPLIT($J80,"/"),2)</f>
        <v>CZ10</v>
      </c>
      <c r="D80" s="34">
        <f>$G$3*H80</f>
        <v>310.15214650000001</v>
      </c>
      <c r="F80" t="str" cm="1">
        <f t="array" ref="F80">INDEX(_xlfn.TEXTSPLIT($J80,"/"),4)</f>
        <v>NE-Chiller-CHWPumpCtrl-Full-Msr</v>
      </c>
      <c r="G80">
        <f>$P80</f>
        <v>0.445301</v>
      </c>
      <c r="H80">
        <f>$G$4*G80</f>
        <v>443.07449500000001</v>
      </c>
      <c r="J80" t="s">
        <v>174</v>
      </c>
      <c r="K80" t="s">
        <v>20</v>
      </c>
      <c r="M80">
        <v>85320.76</v>
      </c>
      <c r="N80">
        <v>29886.5</v>
      </c>
      <c r="P80">
        <v>0.445301</v>
      </c>
      <c r="Q80">
        <v>0</v>
      </c>
      <c r="R80">
        <v>2983613.96</v>
      </c>
      <c r="S80">
        <v>1274541.22</v>
      </c>
      <c r="T80">
        <v>0</v>
      </c>
      <c r="U80">
        <v>3553012.2</v>
      </c>
      <c r="V80">
        <v>0</v>
      </c>
      <c r="W80">
        <v>1391836.19</v>
      </c>
      <c r="X80">
        <v>471259.97</v>
      </c>
      <c r="Y80">
        <v>494517.83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1479672.64</v>
      </c>
      <c r="AF80">
        <v>0</v>
      </c>
      <c r="AG80">
        <v>0</v>
      </c>
      <c r="AH80">
        <v>0</v>
      </c>
      <c r="AI80">
        <v>127428.8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653042.16</v>
      </c>
      <c r="AQ80">
        <v>0</v>
      </c>
      <c r="AR80">
        <v>0</v>
      </c>
      <c r="AS80">
        <v>7034431102.7249203</v>
      </c>
    </row>
    <row r="81" spans="2:45" ht="15.75" hidden="1" thickBot="1" x14ac:dyDescent="0.3">
      <c r="B81" s="15" t="str" cm="1">
        <f t="array" ref="B81">INDEX(_xlfn.TEXTSPLIT($J81,"/"),3)</f>
        <v>EUn&amp;0&amp;cPVVE&amp;Ex&amp;Chiller__PumpCtrl</v>
      </c>
      <c r="C81" s="33" t="str" cm="1">
        <f t="array" ref="C81">INDEX(_xlfn.TEXTSPLIT($J81,"/"),2)</f>
        <v>CZ11</v>
      </c>
      <c r="D81" s="34">
        <f>$G$3*H81</f>
        <v>319.10008199999999</v>
      </c>
      <c r="F81" t="str" cm="1">
        <f t="array" ref="F81">INDEX(_xlfn.TEXTSPLIT($J81,"/"),4)</f>
        <v>NE-Chiller-CHWPumpCtrl-Full-Msr</v>
      </c>
      <c r="G81">
        <f>$P81</f>
        <v>0.458148</v>
      </c>
      <c r="H81">
        <f>$G$4*G81</f>
        <v>455.85726</v>
      </c>
      <c r="J81" t="s">
        <v>155</v>
      </c>
      <c r="K81" t="s">
        <v>21</v>
      </c>
      <c r="M81">
        <v>87782.25</v>
      </c>
      <c r="N81">
        <v>30748.73</v>
      </c>
      <c r="P81">
        <v>0.458148</v>
      </c>
      <c r="Q81">
        <v>0</v>
      </c>
      <c r="R81">
        <v>2873241.31</v>
      </c>
      <c r="S81">
        <v>1274541.22</v>
      </c>
      <c r="T81">
        <v>0</v>
      </c>
      <c r="U81">
        <v>3553012.2</v>
      </c>
      <c r="V81">
        <v>0</v>
      </c>
      <c r="W81">
        <v>1440160</v>
      </c>
      <c r="X81">
        <v>433116</v>
      </c>
      <c r="Y81">
        <v>444328.78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2054564.72</v>
      </c>
      <c r="AF81">
        <v>0</v>
      </c>
      <c r="AG81">
        <v>0</v>
      </c>
      <c r="AH81">
        <v>0</v>
      </c>
      <c r="AI81">
        <v>127428.8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667526.85</v>
      </c>
      <c r="AQ81">
        <v>0</v>
      </c>
      <c r="AR81">
        <v>0</v>
      </c>
      <c r="AS81">
        <v>7584456047.4007101</v>
      </c>
    </row>
    <row r="82" spans="2:45" ht="15.75" hidden="1" thickBot="1" x14ac:dyDescent="0.3">
      <c r="B82" s="15" t="str" cm="1">
        <f t="array" ref="B82">INDEX(_xlfn.TEXTSPLIT($J82,"/"),3)</f>
        <v>EUn&amp;0&amp;cPVVE&amp;Ex&amp;Chiller__PumpCtrl</v>
      </c>
      <c r="C82" s="33" t="str" cm="1">
        <f t="array" ref="C82">INDEX(_xlfn.TEXTSPLIT($J82,"/"),2)</f>
        <v>CZ12</v>
      </c>
      <c r="D82" s="34">
        <f>$G$3*H82</f>
        <v>311.73041549999999</v>
      </c>
      <c r="F82" t="str" cm="1">
        <f t="array" ref="F82">INDEX(_xlfn.TEXTSPLIT($J82,"/"),4)</f>
        <v>NE-Chiller-CHWPumpCtrl-Full-Msr</v>
      </c>
      <c r="G82">
        <f>$P82</f>
        <v>0.44756699999999999</v>
      </c>
      <c r="H82">
        <f>$G$4*G82</f>
        <v>445.32916499999999</v>
      </c>
      <c r="J82" t="s">
        <v>139</v>
      </c>
      <c r="K82" t="s">
        <v>22</v>
      </c>
      <c r="M82">
        <v>85754.95</v>
      </c>
      <c r="N82">
        <v>30038.59</v>
      </c>
      <c r="P82">
        <v>0.44756699999999999</v>
      </c>
      <c r="Q82">
        <v>0</v>
      </c>
      <c r="R82">
        <v>2726797.12</v>
      </c>
      <c r="S82">
        <v>1274541.22</v>
      </c>
      <c r="T82">
        <v>0</v>
      </c>
      <c r="U82">
        <v>3553012.2</v>
      </c>
      <c r="V82">
        <v>0</v>
      </c>
      <c r="W82">
        <v>1379515.14</v>
      </c>
      <c r="X82">
        <v>416269.51</v>
      </c>
      <c r="Y82">
        <v>424079.05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1821785.21</v>
      </c>
      <c r="AF82">
        <v>0</v>
      </c>
      <c r="AG82">
        <v>0</v>
      </c>
      <c r="AH82">
        <v>0</v>
      </c>
      <c r="AI82">
        <v>127428.8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686831.78</v>
      </c>
      <c r="AQ82">
        <v>0</v>
      </c>
      <c r="AR82">
        <v>0</v>
      </c>
      <c r="AS82">
        <v>7897759062.0164299</v>
      </c>
    </row>
    <row r="83" spans="2:45" ht="15.75" hidden="1" thickBot="1" x14ac:dyDescent="0.3">
      <c r="B83" s="15" t="str" cm="1">
        <f t="array" ref="B83">INDEX(_xlfn.TEXTSPLIT($J83,"/"),3)</f>
        <v>EUn&amp;0&amp;cPVVE&amp;Ex&amp;Chiller__PumpCtrl</v>
      </c>
      <c r="C83" s="33" t="str" cm="1">
        <f t="array" ref="C83">INDEX(_xlfn.TEXTSPLIT($J83,"/"),2)</f>
        <v>CZ13</v>
      </c>
      <c r="D83" s="34">
        <f>$G$3*H83</f>
        <v>320.71247949999997</v>
      </c>
      <c r="F83" t="str" cm="1">
        <f t="array" ref="F83">INDEX(_xlfn.TEXTSPLIT($J83,"/"),4)</f>
        <v>NE-Chiller-CHWPumpCtrl-Full-Msr</v>
      </c>
      <c r="G83">
        <f>$P83</f>
        <v>0.46046300000000001</v>
      </c>
      <c r="H83">
        <f>$G$4*G83</f>
        <v>458.160685</v>
      </c>
      <c r="J83" t="s">
        <v>121</v>
      </c>
      <c r="K83" t="s">
        <v>23</v>
      </c>
      <c r="M83">
        <v>88225.95</v>
      </c>
      <c r="N83">
        <v>30904.15</v>
      </c>
      <c r="P83">
        <v>0.46046300000000001</v>
      </c>
      <c r="Q83">
        <v>0</v>
      </c>
      <c r="R83">
        <v>3250487.06</v>
      </c>
      <c r="S83">
        <v>1274541.22</v>
      </c>
      <c r="T83">
        <v>0</v>
      </c>
      <c r="U83">
        <v>3553012.2</v>
      </c>
      <c r="V83">
        <v>0</v>
      </c>
      <c r="W83">
        <v>1474166.2</v>
      </c>
      <c r="X83">
        <v>463485.34</v>
      </c>
      <c r="Y83">
        <v>480874.56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1886995.53</v>
      </c>
      <c r="AF83">
        <v>0</v>
      </c>
      <c r="AG83">
        <v>0</v>
      </c>
      <c r="AH83">
        <v>0</v>
      </c>
      <c r="AI83">
        <v>127428.8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647908.91</v>
      </c>
      <c r="AQ83">
        <v>0</v>
      </c>
      <c r="AR83">
        <v>0</v>
      </c>
      <c r="AS83">
        <v>8280822965.0825701</v>
      </c>
    </row>
    <row r="84" spans="2:45" ht="15.75" hidden="1" thickBot="1" x14ac:dyDescent="0.3">
      <c r="B84" s="15" t="str" cm="1">
        <f t="array" ref="B84">INDEX(_xlfn.TEXTSPLIT($J84,"/"),3)</f>
        <v>EUn&amp;0&amp;cPVVE&amp;Ex&amp;Chiller__PumpCtrl</v>
      </c>
      <c r="C84" s="33" t="str" cm="1">
        <f t="array" ref="C84">INDEX(_xlfn.TEXTSPLIT($J84,"/"),2)</f>
        <v>CZ14</v>
      </c>
      <c r="D84" s="34">
        <f>$G$3*H84</f>
        <v>320.84411799999998</v>
      </c>
      <c r="F84" t="str" cm="1">
        <f t="array" ref="F84">INDEX(_xlfn.TEXTSPLIT($J84,"/"),4)</f>
        <v>NE-Chiller-CHWPumpCtrl-Full-Msr</v>
      </c>
      <c r="G84">
        <f>$P84</f>
        <v>0.46065200000000001</v>
      </c>
      <c r="H84">
        <f>$G$4*G84</f>
        <v>458.34874000000002</v>
      </c>
      <c r="J84" t="s">
        <v>109</v>
      </c>
      <c r="K84" t="s">
        <v>24</v>
      </c>
      <c r="M84">
        <v>88262.12</v>
      </c>
      <c r="N84">
        <v>30916.82</v>
      </c>
      <c r="P84">
        <v>0.46065200000000001</v>
      </c>
      <c r="Q84">
        <v>0</v>
      </c>
      <c r="R84">
        <v>3477293.55</v>
      </c>
      <c r="S84">
        <v>1274541.22</v>
      </c>
      <c r="T84">
        <v>0</v>
      </c>
      <c r="U84">
        <v>3553012.2</v>
      </c>
      <c r="V84">
        <v>0</v>
      </c>
      <c r="W84">
        <v>1724917.88</v>
      </c>
      <c r="X84">
        <v>507380.43</v>
      </c>
      <c r="Y84">
        <v>520033.51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2213217.35</v>
      </c>
      <c r="AF84">
        <v>0</v>
      </c>
      <c r="AG84">
        <v>0</v>
      </c>
      <c r="AH84">
        <v>0</v>
      </c>
      <c r="AI84">
        <v>127428.8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613927.17000000004</v>
      </c>
      <c r="AQ84">
        <v>0</v>
      </c>
      <c r="AR84">
        <v>0</v>
      </c>
      <c r="AS84">
        <v>7884496368.0049</v>
      </c>
    </row>
    <row r="85" spans="2:45" ht="15.75" hidden="1" thickBot="1" x14ac:dyDescent="0.3">
      <c r="B85" s="15" t="str" cm="1">
        <f t="array" ref="B85">INDEX(_xlfn.TEXTSPLIT($J85,"/"),3)</f>
        <v>EUn&amp;0&amp;cPVVE&amp;Ex&amp;Chiller__PumpCtrl</v>
      </c>
      <c r="C85" s="33" t="str" cm="1">
        <f t="array" ref="C85">INDEX(_xlfn.TEXTSPLIT($J85,"/"),2)</f>
        <v>CZ15</v>
      </c>
      <c r="D85" s="34">
        <f>$G$3*H85</f>
        <v>328.06055449999997</v>
      </c>
      <c r="F85" t="str" cm="1">
        <f t="array" ref="F85">INDEX(_xlfn.TEXTSPLIT($J85,"/"),4)</f>
        <v>NE-Chiller-CHWPumpCtrl-Full-Msr</v>
      </c>
      <c r="G85">
        <f>$P85</f>
        <v>0.47101300000000001</v>
      </c>
      <c r="H85">
        <f>$G$4*G85</f>
        <v>468.65793500000001</v>
      </c>
      <c r="J85" t="s">
        <v>94</v>
      </c>
      <c r="K85" t="s">
        <v>25</v>
      </c>
      <c r="M85">
        <v>90247.38</v>
      </c>
      <c r="N85">
        <v>31612.22</v>
      </c>
      <c r="P85">
        <v>0.47101300000000001</v>
      </c>
      <c r="Q85">
        <v>0</v>
      </c>
      <c r="R85">
        <v>4934346.07</v>
      </c>
      <c r="S85">
        <v>1274541.22</v>
      </c>
      <c r="T85">
        <v>0</v>
      </c>
      <c r="U85">
        <v>3553012.2</v>
      </c>
      <c r="V85">
        <v>0</v>
      </c>
      <c r="W85">
        <v>1929019.36</v>
      </c>
      <c r="X85">
        <v>601249.78</v>
      </c>
      <c r="Y85">
        <v>635158.69999999995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2807747.73</v>
      </c>
      <c r="AF85">
        <v>0</v>
      </c>
      <c r="AG85">
        <v>0</v>
      </c>
      <c r="AH85">
        <v>0</v>
      </c>
      <c r="AI85">
        <v>127428.8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544716.48</v>
      </c>
      <c r="AQ85">
        <v>0</v>
      </c>
      <c r="AR85">
        <v>0</v>
      </c>
      <c r="AS85">
        <v>8677080461.8987503</v>
      </c>
    </row>
    <row r="86" spans="2:45" ht="15.75" hidden="1" thickBot="1" x14ac:dyDescent="0.3">
      <c r="B86" s="15" t="str" cm="1">
        <f t="array" ref="B86">INDEX(_xlfn.TEXTSPLIT($J86,"/"),3)</f>
        <v>EUn&amp;0&amp;cPVVE&amp;Ex&amp;Chiller__PumpCtrl</v>
      </c>
      <c r="C86" s="33" t="str" cm="1">
        <f t="array" ref="C86">INDEX(_xlfn.TEXTSPLIT($J86,"/"),2)</f>
        <v>CZ16</v>
      </c>
      <c r="D86" s="34">
        <f>$G$3*H86</f>
        <v>290.99003849999997</v>
      </c>
      <c r="F86" t="str" cm="1">
        <f t="array" ref="F86">INDEX(_xlfn.TEXTSPLIT($J86,"/"),4)</f>
        <v>NE-Chiller-CHWPumpCtrl-Full-Msr</v>
      </c>
      <c r="G86">
        <f>$P86</f>
        <v>0.41778900000000002</v>
      </c>
      <c r="H86">
        <f>$G$4*G86</f>
        <v>415.70005500000002</v>
      </c>
      <c r="J86" t="s">
        <v>73</v>
      </c>
      <c r="K86" t="s">
        <v>26</v>
      </c>
      <c r="M86">
        <v>80049.440000000002</v>
      </c>
      <c r="N86">
        <v>28040.05</v>
      </c>
      <c r="P86">
        <v>0.41778900000000002</v>
      </c>
      <c r="Q86">
        <v>0</v>
      </c>
      <c r="R86">
        <v>2524321.64</v>
      </c>
      <c r="S86">
        <v>1274541.22</v>
      </c>
      <c r="T86">
        <v>0</v>
      </c>
      <c r="U86">
        <v>3553012.2</v>
      </c>
      <c r="V86">
        <v>0</v>
      </c>
      <c r="W86">
        <v>1859200.42</v>
      </c>
      <c r="X86">
        <v>450012.08</v>
      </c>
      <c r="Y86">
        <v>379411.13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2814811.35</v>
      </c>
      <c r="AF86">
        <v>0</v>
      </c>
      <c r="AG86">
        <v>0</v>
      </c>
      <c r="AH86">
        <v>0</v>
      </c>
      <c r="AI86">
        <v>127428.8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725832.77</v>
      </c>
      <c r="AQ86">
        <v>0</v>
      </c>
      <c r="AR86">
        <v>0</v>
      </c>
      <c r="AS86">
        <v>6489795638.3838701</v>
      </c>
    </row>
    <row r="87" spans="2:45" ht="15.75" hidden="1" thickBot="1" x14ac:dyDescent="0.3">
      <c r="B87" s="15" t="str" cm="1">
        <f t="array" ref="B87">INDEX(_xlfn.TEXTSPLIT($J87,"/"),3)</f>
        <v>EUn&amp;0&amp;cPVVE&amp;New&amp;Chiller__PumpCtrl</v>
      </c>
      <c r="C87" s="33" t="str" cm="1">
        <f t="array" ref="C87">INDEX(_xlfn.TEXTSPLIT($J87,"/"),2)</f>
        <v>CZ01</v>
      </c>
      <c r="D87" s="34">
        <f>$G$3*H87</f>
        <v>177.38879900000001</v>
      </c>
      <c r="F87" t="str" cm="1">
        <f t="array" ref="F87">INDEX(_xlfn.TEXTSPLIT($J87,"/"),4)</f>
        <v>NE-Chiller-CHWPumpCtrl-Full-Msr</v>
      </c>
      <c r="G87">
        <f>$P87</f>
        <v>0.25468600000000002</v>
      </c>
      <c r="H87">
        <f>$G$4*G87</f>
        <v>253.41257000000002</v>
      </c>
      <c r="J87" t="s">
        <v>572</v>
      </c>
      <c r="K87" t="s">
        <v>11</v>
      </c>
      <c r="M87">
        <v>48798.47</v>
      </c>
      <c r="N87">
        <v>17093.330000000002</v>
      </c>
      <c r="P87">
        <v>0.25468600000000002</v>
      </c>
      <c r="Q87">
        <v>0</v>
      </c>
      <c r="R87">
        <v>145733.71</v>
      </c>
      <c r="S87">
        <v>643032.05000000005</v>
      </c>
      <c r="T87">
        <v>0</v>
      </c>
      <c r="U87">
        <v>3553012.2</v>
      </c>
      <c r="V87">
        <v>0</v>
      </c>
      <c r="W87">
        <v>804890.67</v>
      </c>
      <c r="X87">
        <v>38999.82</v>
      </c>
      <c r="Y87">
        <v>37432.81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821667.01</v>
      </c>
      <c r="AF87">
        <v>0</v>
      </c>
      <c r="AG87">
        <v>0</v>
      </c>
      <c r="AH87">
        <v>0</v>
      </c>
      <c r="AI87">
        <v>127428.8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805384.81</v>
      </c>
      <c r="AQ87">
        <v>0</v>
      </c>
      <c r="AR87">
        <v>0</v>
      </c>
      <c r="AS87">
        <v>3984187500.46697</v>
      </c>
    </row>
    <row r="88" spans="2:45" ht="15.75" hidden="1" thickBot="1" x14ac:dyDescent="0.3">
      <c r="B88" s="15" t="str" cm="1">
        <f t="array" ref="B88">INDEX(_xlfn.TEXTSPLIT($J88,"/"),3)</f>
        <v>EUn&amp;0&amp;cPVVE&amp;New&amp;Chiller__PumpCtrl</v>
      </c>
      <c r="C88" s="33" t="str" cm="1">
        <f t="array" ref="C88">INDEX(_xlfn.TEXTSPLIT($J88,"/"),2)</f>
        <v>CZ02</v>
      </c>
      <c r="D88" s="34">
        <f>$G$3*H88</f>
        <v>213.14850199999998</v>
      </c>
      <c r="F88" t="str" cm="1">
        <f t="array" ref="F88">INDEX(_xlfn.TEXTSPLIT($J88,"/"),4)</f>
        <v>NE-Chiller-CHWPumpCtrl-Full-Msr</v>
      </c>
      <c r="G88">
        <f>$P88</f>
        <v>0.30602800000000002</v>
      </c>
      <c r="H88">
        <f>$G$4*G88</f>
        <v>304.49786</v>
      </c>
      <c r="J88" t="s">
        <v>558</v>
      </c>
      <c r="K88" t="s">
        <v>12</v>
      </c>
      <c r="M88">
        <v>58635.73</v>
      </c>
      <c r="N88">
        <v>20539.16</v>
      </c>
      <c r="P88">
        <v>0.30602800000000002</v>
      </c>
      <c r="Q88">
        <v>0</v>
      </c>
      <c r="R88">
        <v>1233683.93</v>
      </c>
      <c r="S88">
        <v>643032.05000000005</v>
      </c>
      <c r="T88">
        <v>0</v>
      </c>
      <c r="U88">
        <v>3553012.2</v>
      </c>
      <c r="V88">
        <v>0</v>
      </c>
      <c r="W88">
        <v>945531.87</v>
      </c>
      <c r="X88">
        <v>209226.3</v>
      </c>
      <c r="Y88">
        <v>212234.28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871874.94</v>
      </c>
      <c r="AF88">
        <v>0</v>
      </c>
      <c r="AG88">
        <v>0</v>
      </c>
      <c r="AH88">
        <v>0</v>
      </c>
      <c r="AI88">
        <v>127428.8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739253.75</v>
      </c>
      <c r="AQ88">
        <v>0</v>
      </c>
      <c r="AR88">
        <v>0</v>
      </c>
      <c r="AS88">
        <v>5821036823.9710302</v>
      </c>
    </row>
    <row r="89" spans="2:45" ht="15.75" hidden="1" thickBot="1" x14ac:dyDescent="0.3">
      <c r="B89" s="15" t="str" cm="1">
        <f t="array" ref="B89">INDEX(_xlfn.TEXTSPLIT($J89,"/"),3)</f>
        <v>EUn&amp;0&amp;cPVVE&amp;New&amp;Chiller__PumpCtrl</v>
      </c>
      <c r="C89" s="33" t="str" cm="1">
        <f t="array" ref="C89">INDEX(_xlfn.TEXTSPLIT($J89,"/"),2)</f>
        <v>CZ03</v>
      </c>
      <c r="D89" s="34">
        <f>$G$3*H89</f>
        <v>206.52409049999997</v>
      </c>
      <c r="F89" t="str" cm="1">
        <f t="array" ref="F89">INDEX(_xlfn.TEXTSPLIT($J89,"/"),4)</f>
        <v>NE-Chiller-CHWPumpCtrl-Full-Msr</v>
      </c>
      <c r="G89">
        <f>$P89</f>
        <v>0.29651699999999998</v>
      </c>
      <c r="H89">
        <f>$G$4*G89</f>
        <v>295.03441499999997</v>
      </c>
      <c r="J89" t="s">
        <v>537</v>
      </c>
      <c r="K89" t="s">
        <v>13</v>
      </c>
      <c r="M89">
        <v>56813.42</v>
      </c>
      <c r="N89">
        <v>19900.84</v>
      </c>
      <c r="P89">
        <v>0.29651699999999998</v>
      </c>
      <c r="Q89">
        <v>0</v>
      </c>
      <c r="R89">
        <v>832452.37</v>
      </c>
      <c r="S89">
        <v>643032.05000000005</v>
      </c>
      <c r="T89">
        <v>0</v>
      </c>
      <c r="U89">
        <v>3553012.2</v>
      </c>
      <c r="V89">
        <v>0</v>
      </c>
      <c r="W89">
        <v>824633.97</v>
      </c>
      <c r="X89">
        <v>190398.94</v>
      </c>
      <c r="Y89">
        <v>202384.77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450074.31</v>
      </c>
      <c r="AF89">
        <v>0</v>
      </c>
      <c r="AG89">
        <v>0</v>
      </c>
      <c r="AH89">
        <v>0</v>
      </c>
      <c r="AI89">
        <v>127428.8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736685.04</v>
      </c>
      <c r="AQ89">
        <v>0</v>
      </c>
      <c r="AR89">
        <v>0</v>
      </c>
      <c r="AS89">
        <v>5096097589.7925901</v>
      </c>
    </row>
    <row r="90" spans="2:45" ht="15.75" hidden="1" thickBot="1" x14ac:dyDescent="0.3">
      <c r="B90" s="15" t="str" cm="1">
        <f t="array" ref="B90">INDEX(_xlfn.TEXTSPLIT($J90,"/"),3)</f>
        <v>EUn&amp;0&amp;cPVVE&amp;New&amp;Chiller__PumpCtrl</v>
      </c>
      <c r="C90" s="33" t="str" cm="1">
        <f t="array" ref="C90">INDEX(_xlfn.TEXTSPLIT($J90,"/"),2)</f>
        <v>CZ04</v>
      </c>
      <c r="D90" s="34">
        <f>$G$3*H90</f>
        <v>215.46297149999998</v>
      </c>
      <c r="F90" t="str" cm="1">
        <f t="array" ref="F90">INDEX(_xlfn.TEXTSPLIT($J90,"/"),4)</f>
        <v>NE-Chiller-CHWPumpCtrl-Full-Msr</v>
      </c>
      <c r="G90">
        <f>$P90</f>
        <v>0.30935099999999999</v>
      </c>
      <c r="H90">
        <f>$G$4*G90</f>
        <v>307.80424499999998</v>
      </c>
      <c r="J90" t="s">
        <v>522</v>
      </c>
      <c r="K90" t="s">
        <v>14</v>
      </c>
      <c r="M90">
        <v>59272.37</v>
      </c>
      <c r="N90">
        <v>20762.169999999998</v>
      </c>
      <c r="P90">
        <v>0.30935099999999999</v>
      </c>
      <c r="Q90">
        <v>0</v>
      </c>
      <c r="R90">
        <v>1353239.19</v>
      </c>
      <c r="S90">
        <v>643032.05000000005</v>
      </c>
      <c r="T90">
        <v>0</v>
      </c>
      <c r="U90">
        <v>3553012.2</v>
      </c>
      <c r="V90">
        <v>0</v>
      </c>
      <c r="W90">
        <v>945231.48</v>
      </c>
      <c r="X90">
        <v>238636.45</v>
      </c>
      <c r="Y90">
        <v>252096.1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649764.15</v>
      </c>
      <c r="AF90">
        <v>0</v>
      </c>
      <c r="AG90">
        <v>0</v>
      </c>
      <c r="AH90">
        <v>0</v>
      </c>
      <c r="AI90">
        <v>127428.8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711126.93</v>
      </c>
      <c r="AQ90">
        <v>0</v>
      </c>
      <c r="AR90">
        <v>0</v>
      </c>
      <c r="AS90">
        <v>5810176334.65205</v>
      </c>
    </row>
    <row r="91" spans="2:45" ht="15.75" hidden="1" thickBot="1" x14ac:dyDescent="0.3">
      <c r="B91" s="15" t="str" cm="1">
        <f t="array" ref="B91">INDEX(_xlfn.TEXTSPLIT($J91,"/"),3)</f>
        <v>EUn&amp;0&amp;cPVVE&amp;New&amp;Chiller__PumpCtrl</v>
      </c>
      <c r="C91" s="33" t="str" cm="1">
        <f t="array" ref="C91">INDEX(_xlfn.TEXTSPLIT($J91,"/"),2)</f>
        <v>CZ05</v>
      </c>
      <c r="D91" s="34">
        <f>$G$3*H91</f>
        <v>191.81818949999999</v>
      </c>
      <c r="F91" t="str" cm="1">
        <f t="array" ref="F91">INDEX(_xlfn.TEXTSPLIT($J91,"/"),4)</f>
        <v>NE-Chiller-CHWPumpCtrl-Full-Msr</v>
      </c>
      <c r="G91">
        <f>$P91</f>
        <v>0.27540300000000001</v>
      </c>
      <c r="H91">
        <f>$G$4*G91</f>
        <v>274.02598499999999</v>
      </c>
      <c r="J91" t="s">
        <v>508</v>
      </c>
      <c r="K91" t="s">
        <v>15</v>
      </c>
      <c r="M91">
        <v>52767.87</v>
      </c>
      <c r="N91">
        <v>18483.740000000002</v>
      </c>
      <c r="P91">
        <v>0.27540300000000001</v>
      </c>
      <c r="Q91">
        <v>0</v>
      </c>
      <c r="R91">
        <v>961691.89</v>
      </c>
      <c r="S91">
        <v>643032.05000000005</v>
      </c>
      <c r="T91">
        <v>0</v>
      </c>
      <c r="U91">
        <v>3553012.2</v>
      </c>
      <c r="V91">
        <v>0</v>
      </c>
      <c r="W91">
        <v>861318.26</v>
      </c>
      <c r="X91">
        <v>193177.01</v>
      </c>
      <c r="Y91">
        <v>200289.54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511447.29</v>
      </c>
      <c r="AF91">
        <v>0</v>
      </c>
      <c r="AG91">
        <v>0</v>
      </c>
      <c r="AH91">
        <v>0</v>
      </c>
      <c r="AI91">
        <v>127428.8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736918.55</v>
      </c>
      <c r="AQ91">
        <v>0</v>
      </c>
      <c r="AR91">
        <v>0</v>
      </c>
      <c r="AS91">
        <v>3032915251.0020099</v>
      </c>
    </row>
    <row r="92" spans="2:45" ht="15.75" hidden="1" thickBot="1" x14ac:dyDescent="0.3">
      <c r="B92" s="15" t="str" cm="1">
        <f t="array" ref="B92">INDEX(_xlfn.TEXTSPLIT($J92,"/"),3)</f>
        <v>EUn&amp;0&amp;cPVVE&amp;New&amp;Chiller__PumpCtrl</v>
      </c>
      <c r="C92" s="33" t="str" cm="1">
        <f t="array" ref="C92">INDEX(_xlfn.TEXTSPLIT($J92,"/"),2)</f>
        <v>CZ06</v>
      </c>
      <c r="D92" s="34">
        <f>$G$3*H92</f>
        <v>201.45565999999997</v>
      </c>
      <c r="F92" t="str" cm="1">
        <f t="array" ref="F92">INDEX(_xlfn.TEXTSPLIT($J92,"/"),4)</f>
        <v>NE-Chiller-CHWPumpCtrl-Full-Msr</v>
      </c>
      <c r="G92">
        <f>$P92</f>
        <v>0.28924</v>
      </c>
      <c r="H92">
        <f>$G$4*G92</f>
        <v>287.79379999999998</v>
      </c>
      <c r="J92" t="s">
        <v>489</v>
      </c>
      <c r="K92" t="s">
        <v>16</v>
      </c>
      <c r="M92">
        <v>55419.11</v>
      </c>
      <c r="N92">
        <v>19412.43</v>
      </c>
      <c r="P92">
        <v>0.28924</v>
      </c>
      <c r="Q92">
        <v>0</v>
      </c>
      <c r="R92">
        <v>1744621.88</v>
      </c>
      <c r="S92">
        <v>643032.05000000005</v>
      </c>
      <c r="T92">
        <v>0</v>
      </c>
      <c r="U92">
        <v>3553012.2</v>
      </c>
      <c r="V92">
        <v>0</v>
      </c>
      <c r="W92">
        <v>928168.11</v>
      </c>
      <c r="X92">
        <v>301292.02</v>
      </c>
      <c r="Y92">
        <v>320530.95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287622.45</v>
      </c>
      <c r="AF92">
        <v>0</v>
      </c>
      <c r="AG92">
        <v>0</v>
      </c>
      <c r="AH92">
        <v>0</v>
      </c>
      <c r="AI92">
        <v>127428.8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678443.29</v>
      </c>
      <c r="AQ92">
        <v>0</v>
      </c>
      <c r="AR92">
        <v>0</v>
      </c>
      <c r="AS92">
        <v>2796900295.6138301</v>
      </c>
    </row>
    <row r="93" spans="2:45" ht="15.75" hidden="1" thickBot="1" x14ac:dyDescent="0.3">
      <c r="B93" s="15" t="str" cm="1">
        <f t="array" ref="B93">INDEX(_xlfn.TEXTSPLIT($J93,"/"),3)</f>
        <v>EUn&amp;0&amp;cPVVE&amp;New&amp;Chiller__PumpCtrl</v>
      </c>
      <c r="C93" s="33" t="str" cm="1">
        <f t="array" ref="C93">INDEX(_xlfn.TEXTSPLIT($J93,"/"),2)</f>
        <v>CZ07</v>
      </c>
      <c r="D93" s="34">
        <f>$G$3*H93</f>
        <v>208.19708349999996</v>
      </c>
      <c r="F93" t="str" cm="1">
        <f t="array" ref="F93">INDEX(_xlfn.TEXTSPLIT($J93,"/"),4)</f>
        <v>NE-Chiller-CHWPumpCtrl-Full-Msr</v>
      </c>
      <c r="G93">
        <f>$P93</f>
        <v>0.29891899999999999</v>
      </c>
      <c r="H93">
        <f>$G$4*G93</f>
        <v>297.42440499999998</v>
      </c>
      <c r="J93" t="s">
        <v>472</v>
      </c>
      <c r="K93" t="s">
        <v>17</v>
      </c>
      <c r="M93">
        <v>57273.67</v>
      </c>
      <c r="N93">
        <v>20062.05</v>
      </c>
      <c r="P93">
        <v>0.29891899999999999</v>
      </c>
      <c r="Q93">
        <v>0</v>
      </c>
      <c r="R93">
        <v>1981540.39</v>
      </c>
      <c r="S93">
        <v>643032.05000000005</v>
      </c>
      <c r="T93">
        <v>0</v>
      </c>
      <c r="U93">
        <v>3553012.2</v>
      </c>
      <c r="V93">
        <v>0</v>
      </c>
      <c r="W93">
        <v>1004120.41</v>
      </c>
      <c r="X93">
        <v>324655.98</v>
      </c>
      <c r="Y93">
        <v>342064.3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510070.27</v>
      </c>
      <c r="AF93">
        <v>0</v>
      </c>
      <c r="AG93">
        <v>0</v>
      </c>
      <c r="AH93">
        <v>0</v>
      </c>
      <c r="AI93">
        <v>127428.8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669525.21</v>
      </c>
      <c r="AQ93">
        <v>0</v>
      </c>
      <c r="AR93">
        <v>0</v>
      </c>
      <c r="AS93">
        <v>3248399075.0756798</v>
      </c>
    </row>
    <row r="94" spans="2:45" ht="15.75" hidden="1" thickBot="1" x14ac:dyDescent="0.3">
      <c r="B94" s="15" t="str" cm="1">
        <f t="array" ref="B94">INDEX(_xlfn.TEXTSPLIT($J94,"/"),3)</f>
        <v>EUn&amp;0&amp;cPVVE&amp;New&amp;Chiller__PumpCtrl</v>
      </c>
      <c r="C94" s="33" t="str" cm="1">
        <f t="array" ref="C94">INDEX(_xlfn.TEXTSPLIT($J94,"/"),2)</f>
        <v>CZ08</v>
      </c>
      <c r="D94" s="34">
        <f>$G$3*H94</f>
        <v>217.52879050000001</v>
      </c>
      <c r="F94" t="str" cm="1">
        <f t="array" ref="F94">INDEX(_xlfn.TEXTSPLIT($J94,"/"),4)</f>
        <v>NE-Chiller-CHWPumpCtrl-Full-Msr</v>
      </c>
      <c r="G94">
        <f>$P94</f>
        <v>0.31231700000000001</v>
      </c>
      <c r="H94">
        <f>$G$4*G94</f>
        <v>310.75541500000003</v>
      </c>
      <c r="J94" t="s">
        <v>459</v>
      </c>
      <c r="K94" t="s">
        <v>18</v>
      </c>
      <c r="M94">
        <v>59840.78</v>
      </c>
      <c r="N94">
        <v>20961.27</v>
      </c>
      <c r="P94">
        <v>0.31231700000000001</v>
      </c>
      <c r="Q94">
        <v>0</v>
      </c>
      <c r="R94">
        <v>2016662.7</v>
      </c>
      <c r="S94">
        <v>643032.05000000005</v>
      </c>
      <c r="T94">
        <v>0</v>
      </c>
      <c r="U94">
        <v>3553012.2</v>
      </c>
      <c r="V94">
        <v>0</v>
      </c>
      <c r="W94">
        <v>1014960.64</v>
      </c>
      <c r="X94">
        <v>324325.71999999997</v>
      </c>
      <c r="Y94">
        <v>345377.18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578174.23</v>
      </c>
      <c r="AF94">
        <v>0</v>
      </c>
      <c r="AG94">
        <v>0</v>
      </c>
      <c r="AH94">
        <v>0</v>
      </c>
      <c r="AI94">
        <v>127428.8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668397.75</v>
      </c>
      <c r="AQ94">
        <v>0</v>
      </c>
      <c r="AR94">
        <v>0</v>
      </c>
      <c r="AS94">
        <v>3044324785.1233301</v>
      </c>
    </row>
    <row r="95" spans="2:45" ht="15.75" hidden="1" thickBot="1" x14ac:dyDescent="0.3">
      <c r="B95" s="15" t="str" cm="1">
        <f t="array" ref="B95">INDEX(_xlfn.TEXTSPLIT($J95,"/"),3)</f>
        <v>EUn&amp;0&amp;cPVVE&amp;New&amp;Chiller__PumpCtrl</v>
      </c>
      <c r="C95" s="33" t="str" cm="1">
        <f t="array" ref="C95">INDEX(_xlfn.TEXTSPLIT($J95,"/"),2)</f>
        <v>CZ09</v>
      </c>
      <c r="D95" s="34">
        <f>$G$3*H95</f>
        <v>214.36250149999998</v>
      </c>
      <c r="F95" t="str" cm="1">
        <f t="array" ref="F95">INDEX(_xlfn.TEXTSPLIT($J95,"/"),4)</f>
        <v>NE-Chiller-CHWPumpCtrl-Full-Msr</v>
      </c>
      <c r="G95">
        <f>$P95</f>
        <v>0.30777100000000002</v>
      </c>
      <c r="H95">
        <f>$G$4*G95</f>
        <v>306.232145</v>
      </c>
      <c r="J95" t="s">
        <v>443</v>
      </c>
      <c r="K95" t="s">
        <v>19</v>
      </c>
      <c r="M95">
        <v>58969.81</v>
      </c>
      <c r="N95">
        <v>20656.189999999999</v>
      </c>
      <c r="P95">
        <v>0.30777100000000002</v>
      </c>
      <c r="Q95">
        <v>0</v>
      </c>
      <c r="R95">
        <v>2255503.31</v>
      </c>
      <c r="S95">
        <v>643032.05000000005</v>
      </c>
      <c r="T95">
        <v>0</v>
      </c>
      <c r="U95">
        <v>3553012.2</v>
      </c>
      <c r="V95">
        <v>0</v>
      </c>
      <c r="W95">
        <v>1074345.07</v>
      </c>
      <c r="X95">
        <v>330742.15000000002</v>
      </c>
      <c r="Y95">
        <v>347647.4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671628.29</v>
      </c>
      <c r="AF95">
        <v>0</v>
      </c>
      <c r="AG95">
        <v>0</v>
      </c>
      <c r="AH95">
        <v>0</v>
      </c>
      <c r="AI95">
        <v>127428.8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659138.44999999995</v>
      </c>
      <c r="AQ95">
        <v>0</v>
      </c>
      <c r="AR95">
        <v>0</v>
      </c>
      <c r="AS95">
        <v>3309070789.5602498</v>
      </c>
    </row>
    <row r="96" spans="2:45" ht="15.75" hidden="1" thickBot="1" x14ac:dyDescent="0.3">
      <c r="B96" s="15" t="str" cm="1">
        <f t="array" ref="B96">INDEX(_xlfn.TEXTSPLIT($J96,"/"),3)</f>
        <v>EUn&amp;0&amp;cPVVE&amp;New&amp;Chiller__PumpCtrl</v>
      </c>
      <c r="C96" s="33" t="str" cm="1">
        <f t="array" ref="C96">INDEX(_xlfn.TEXTSPLIT($J96,"/"),2)</f>
        <v>CZ10</v>
      </c>
      <c r="D96" s="34">
        <f>$G$3*H96</f>
        <v>235.23033799999999</v>
      </c>
      <c r="F96" t="str" cm="1">
        <f t="array" ref="F96">INDEX(_xlfn.TEXTSPLIT($J96,"/"),4)</f>
        <v>NE-Chiller-CHWPumpCtrl-Full-Msr</v>
      </c>
      <c r="G96">
        <f>$P96</f>
        <v>0.33773199999999998</v>
      </c>
      <c r="H96">
        <f>$G$4*G96</f>
        <v>336.04334</v>
      </c>
      <c r="J96" t="s">
        <v>426</v>
      </c>
      <c r="K96" t="s">
        <v>20</v>
      </c>
      <c r="M96">
        <v>64710.34</v>
      </c>
      <c r="N96">
        <v>22667</v>
      </c>
      <c r="P96">
        <v>0.33773199999999998</v>
      </c>
      <c r="Q96">
        <v>0</v>
      </c>
      <c r="R96">
        <v>2251070.14</v>
      </c>
      <c r="S96">
        <v>643032.05000000005</v>
      </c>
      <c r="T96">
        <v>0</v>
      </c>
      <c r="U96">
        <v>3553012.2</v>
      </c>
      <c r="V96">
        <v>0</v>
      </c>
      <c r="W96">
        <v>1173847.3</v>
      </c>
      <c r="X96">
        <v>336925.93</v>
      </c>
      <c r="Y96">
        <v>354126.86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1038924.31</v>
      </c>
      <c r="AF96">
        <v>0</v>
      </c>
      <c r="AG96">
        <v>0</v>
      </c>
      <c r="AH96">
        <v>0</v>
      </c>
      <c r="AI96">
        <v>127428.8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652793.87</v>
      </c>
      <c r="AQ96">
        <v>0</v>
      </c>
      <c r="AR96">
        <v>0</v>
      </c>
      <c r="AS96">
        <v>5706486164.3740396</v>
      </c>
    </row>
    <row r="97" spans="2:45" ht="15.75" hidden="1" thickBot="1" x14ac:dyDescent="0.3">
      <c r="B97" s="15" t="str" cm="1">
        <f t="array" ref="B97">INDEX(_xlfn.TEXTSPLIT($J97,"/"),3)</f>
        <v>EUn&amp;0&amp;cPVVE&amp;New&amp;Chiller__PumpCtrl</v>
      </c>
      <c r="C97" s="33" t="str" cm="1">
        <f t="array" ref="C97">INDEX(_xlfn.TEXTSPLIT($J97,"/"),2)</f>
        <v>CZ11</v>
      </c>
      <c r="D97" s="34">
        <f>$G$3*H97</f>
        <v>230.80756299999999</v>
      </c>
      <c r="F97" t="str" cm="1">
        <f t="array" ref="F97">INDEX(_xlfn.TEXTSPLIT($J97,"/"),4)</f>
        <v>NE-Chiller-CHWPumpCtrl-Full-Msr</v>
      </c>
      <c r="G97">
        <f>$P97</f>
        <v>0.33138200000000001</v>
      </c>
      <c r="H97">
        <f>$G$4*G97</f>
        <v>329.72509000000002</v>
      </c>
      <c r="J97" t="s">
        <v>412</v>
      </c>
      <c r="K97" t="s">
        <v>21</v>
      </c>
      <c r="M97">
        <v>63493.61</v>
      </c>
      <c r="N97">
        <v>22240.799999999999</v>
      </c>
      <c r="P97">
        <v>0.33138200000000001</v>
      </c>
      <c r="Q97">
        <v>0</v>
      </c>
      <c r="R97">
        <v>2043427.8400000001</v>
      </c>
      <c r="S97">
        <v>643032.05000000005</v>
      </c>
      <c r="T97">
        <v>0</v>
      </c>
      <c r="U97">
        <v>3553012.2</v>
      </c>
      <c r="V97">
        <v>0</v>
      </c>
      <c r="W97">
        <v>1187790.44</v>
      </c>
      <c r="X97">
        <v>284223.99</v>
      </c>
      <c r="Y97">
        <v>295332.19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1411621.41</v>
      </c>
      <c r="AF97">
        <v>0</v>
      </c>
      <c r="AG97">
        <v>0</v>
      </c>
      <c r="AH97">
        <v>0</v>
      </c>
      <c r="AI97">
        <v>127428.8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667214.36</v>
      </c>
      <c r="AQ97">
        <v>0</v>
      </c>
      <c r="AR97">
        <v>0</v>
      </c>
      <c r="AS97">
        <v>5833272750.81495</v>
      </c>
    </row>
    <row r="98" spans="2:45" ht="15.75" hidden="1" thickBot="1" x14ac:dyDescent="0.3">
      <c r="B98" s="15" t="str" cm="1">
        <f t="array" ref="B98">INDEX(_xlfn.TEXTSPLIT($J98,"/"),3)</f>
        <v>EUn&amp;0&amp;cPVVE&amp;New&amp;Chiller__PumpCtrl</v>
      </c>
      <c r="C98" s="33" t="str" cm="1">
        <f t="array" ref="C98">INDEX(_xlfn.TEXTSPLIT($J98,"/"),2)</f>
        <v>CZ12</v>
      </c>
      <c r="D98" s="34">
        <f>$G$3*H98</f>
        <v>226.2740445</v>
      </c>
      <c r="F98" t="str" cm="1">
        <f t="array" ref="F98">INDEX(_xlfn.TEXTSPLIT($J98,"/"),4)</f>
        <v>NE-Chiller-CHWPumpCtrl-Full-Msr</v>
      </c>
      <c r="G98">
        <f>$P98</f>
        <v>0.32487300000000002</v>
      </c>
      <c r="H98">
        <f>$G$4*G98</f>
        <v>323.24863500000004</v>
      </c>
      <c r="J98" t="s">
        <v>395</v>
      </c>
      <c r="K98" t="s">
        <v>22</v>
      </c>
      <c r="M98">
        <v>62246.559999999998</v>
      </c>
      <c r="N98">
        <v>21803.98</v>
      </c>
      <c r="P98">
        <v>0.32487300000000002</v>
      </c>
      <c r="Q98">
        <v>0</v>
      </c>
      <c r="R98">
        <v>1908561.08</v>
      </c>
      <c r="S98">
        <v>643032.05000000005</v>
      </c>
      <c r="T98">
        <v>0</v>
      </c>
      <c r="U98">
        <v>3553012.2</v>
      </c>
      <c r="V98">
        <v>0</v>
      </c>
      <c r="W98">
        <v>1125381.3500000001</v>
      </c>
      <c r="X98">
        <v>272898.77</v>
      </c>
      <c r="Y98">
        <v>282558.40000000002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1245955.71</v>
      </c>
      <c r="AF98">
        <v>0</v>
      </c>
      <c r="AG98">
        <v>0</v>
      </c>
      <c r="AH98">
        <v>0</v>
      </c>
      <c r="AI98">
        <v>127428.8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686695.71</v>
      </c>
      <c r="AQ98">
        <v>0</v>
      </c>
      <c r="AR98">
        <v>0</v>
      </c>
      <c r="AS98">
        <v>6050254627.0322504</v>
      </c>
    </row>
    <row r="99" spans="2:45" ht="15.75" hidden="1" thickBot="1" x14ac:dyDescent="0.3">
      <c r="B99" s="15" t="str" cm="1">
        <f t="array" ref="B99">INDEX(_xlfn.TEXTSPLIT($J99,"/"),3)</f>
        <v>EUn&amp;0&amp;cPVVE&amp;New&amp;Chiller__PumpCtrl</v>
      </c>
      <c r="C99" s="33" t="str" cm="1">
        <f t="array" ref="C99">INDEX(_xlfn.TEXTSPLIT($J99,"/"),2)</f>
        <v>CZ13</v>
      </c>
      <c r="D99" s="34">
        <f>$G$3*H99</f>
        <v>235.84465099999997</v>
      </c>
      <c r="F99" t="str" cm="1">
        <f t="array" ref="F99">INDEX(_xlfn.TEXTSPLIT($J99,"/"),4)</f>
        <v>NE-Chiller-CHWPumpCtrl-Full-Msr</v>
      </c>
      <c r="G99">
        <f>$P99</f>
        <v>0.33861400000000003</v>
      </c>
      <c r="H99">
        <f>$G$4*G99</f>
        <v>336.92093</v>
      </c>
      <c r="J99" t="s">
        <v>378</v>
      </c>
      <c r="K99" t="s">
        <v>23</v>
      </c>
      <c r="M99">
        <v>64879.25</v>
      </c>
      <c r="N99">
        <v>22726.17</v>
      </c>
      <c r="P99">
        <v>0.33861400000000003</v>
      </c>
      <c r="Q99">
        <v>0</v>
      </c>
      <c r="R99">
        <v>2323159.13</v>
      </c>
      <c r="S99">
        <v>643032.05000000005</v>
      </c>
      <c r="T99">
        <v>0</v>
      </c>
      <c r="U99">
        <v>3553012.2</v>
      </c>
      <c r="V99">
        <v>0</v>
      </c>
      <c r="W99">
        <v>1207425.29</v>
      </c>
      <c r="X99">
        <v>309865.96000000002</v>
      </c>
      <c r="Y99">
        <v>324778.65000000002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1328988.2</v>
      </c>
      <c r="AF99">
        <v>0</v>
      </c>
      <c r="AG99">
        <v>0</v>
      </c>
      <c r="AH99">
        <v>0</v>
      </c>
      <c r="AI99">
        <v>127428.8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647645.59</v>
      </c>
      <c r="AQ99">
        <v>0</v>
      </c>
      <c r="AR99">
        <v>0</v>
      </c>
      <c r="AS99">
        <v>6370996952.3000898</v>
      </c>
    </row>
    <row r="100" spans="2:45" ht="15.75" hidden="1" thickBot="1" x14ac:dyDescent="0.3">
      <c r="B100" s="15" t="str" cm="1">
        <f t="array" ref="B100">INDEX(_xlfn.TEXTSPLIT($J100,"/"),3)</f>
        <v>EUn&amp;0&amp;cPVVE&amp;New&amp;Chiller__PumpCtrl</v>
      </c>
      <c r="C100" s="33" t="str" cm="1">
        <f t="array" ref="C100">INDEX(_xlfn.TEXTSPLIT($J100,"/"),2)</f>
        <v>CZ14</v>
      </c>
      <c r="D100" s="34">
        <f>$G$3*H100</f>
        <v>236.62194499999995</v>
      </c>
      <c r="F100" t="str" cm="1">
        <f t="array" ref="F100">INDEX(_xlfn.TEXTSPLIT($J100,"/"),4)</f>
        <v>NE-Chiller-CHWPumpCtrl-Full-Msr</v>
      </c>
      <c r="G100">
        <f>$P100</f>
        <v>0.33972999999999998</v>
      </c>
      <c r="H100">
        <f>$G$4*G100</f>
        <v>338.03134999999997</v>
      </c>
      <c r="J100" t="s">
        <v>362</v>
      </c>
      <c r="K100" t="s">
        <v>24</v>
      </c>
      <c r="M100">
        <v>65093.21</v>
      </c>
      <c r="N100">
        <v>22801.119999999999</v>
      </c>
      <c r="P100">
        <v>0.33972999999999998</v>
      </c>
      <c r="Q100">
        <v>0</v>
      </c>
      <c r="R100">
        <v>2656087.79</v>
      </c>
      <c r="S100">
        <v>643032.05000000005</v>
      </c>
      <c r="T100">
        <v>0</v>
      </c>
      <c r="U100">
        <v>3553012.2</v>
      </c>
      <c r="V100">
        <v>0</v>
      </c>
      <c r="W100">
        <v>1394596.58</v>
      </c>
      <c r="X100">
        <v>346885.58</v>
      </c>
      <c r="Y100">
        <v>354064.32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1488907.51</v>
      </c>
      <c r="AF100">
        <v>0</v>
      </c>
      <c r="AG100">
        <v>0</v>
      </c>
      <c r="AH100">
        <v>0</v>
      </c>
      <c r="AI100">
        <v>127428.8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613687.43000000005</v>
      </c>
      <c r="AQ100">
        <v>0</v>
      </c>
      <c r="AR100">
        <v>0</v>
      </c>
      <c r="AS100">
        <v>6253360517.8979301</v>
      </c>
    </row>
    <row r="101" spans="2:45" ht="15.75" hidden="1" thickBot="1" x14ac:dyDescent="0.3">
      <c r="B101" s="15" t="str" cm="1">
        <f t="array" ref="B101">INDEX(_xlfn.TEXTSPLIT($J101,"/"),3)</f>
        <v>EUn&amp;0&amp;cPVVE&amp;New&amp;Chiller__PumpCtrl</v>
      </c>
      <c r="C101" s="33" t="str" cm="1">
        <f t="array" ref="C101">INDEX(_xlfn.TEXTSPLIT($J101,"/"),2)</f>
        <v>CZ15</v>
      </c>
      <c r="D101" s="34">
        <f>$G$3*H101</f>
        <v>245.53644849999998</v>
      </c>
      <c r="F101" t="str" cm="1">
        <f t="array" ref="F101">INDEX(_xlfn.TEXTSPLIT($J101,"/"),4)</f>
        <v>NE-Chiller-CHWPumpCtrl-Full-Msr</v>
      </c>
      <c r="G101">
        <f>$P101</f>
        <v>0.35252899999999998</v>
      </c>
      <c r="H101">
        <f>$G$4*G101</f>
        <v>350.76635499999998</v>
      </c>
      <c r="J101" t="s">
        <v>347</v>
      </c>
      <c r="K101" t="s">
        <v>25</v>
      </c>
      <c r="M101">
        <v>67545.41</v>
      </c>
      <c r="N101">
        <v>23660.080000000002</v>
      </c>
      <c r="P101">
        <v>0.35252899999999998</v>
      </c>
      <c r="Q101">
        <v>0</v>
      </c>
      <c r="R101">
        <v>3353886.4</v>
      </c>
      <c r="S101">
        <v>643032.05000000005</v>
      </c>
      <c r="T101">
        <v>0</v>
      </c>
      <c r="U101">
        <v>3553012.2</v>
      </c>
      <c r="V101">
        <v>0</v>
      </c>
      <c r="W101">
        <v>1511282.7</v>
      </c>
      <c r="X101">
        <v>402608.77</v>
      </c>
      <c r="Y101">
        <v>439948.81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1873152.45</v>
      </c>
      <c r="AF101">
        <v>0</v>
      </c>
      <c r="AG101">
        <v>0</v>
      </c>
      <c r="AH101">
        <v>0</v>
      </c>
      <c r="AI101">
        <v>127428.8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544402.32999999996</v>
      </c>
      <c r="AQ101">
        <v>0</v>
      </c>
      <c r="AR101">
        <v>0</v>
      </c>
      <c r="AS101">
        <v>6497749283.7636299</v>
      </c>
    </row>
    <row r="102" spans="2:45" ht="15.75" hidden="1" thickBot="1" x14ac:dyDescent="0.3">
      <c r="B102" s="15" t="str" cm="1">
        <f t="array" ref="B102">INDEX(_xlfn.TEXTSPLIT($J102,"/"),3)</f>
        <v>EUn&amp;0&amp;cPVVE&amp;New&amp;Chiller__PumpCtrl</v>
      </c>
      <c r="C102" s="33" t="str" cm="1">
        <f t="array" ref="C102">INDEX(_xlfn.TEXTSPLIT($J102,"/"),2)</f>
        <v>CZ16</v>
      </c>
      <c r="D102" s="34">
        <f>$G$3*H102</f>
        <v>207.889927</v>
      </c>
      <c r="F102" t="str" cm="1">
        <f t="array" ref="F102">INDEX(_xlfn.TEXTSPLIT($J102,"/"),4)</f>
        <v>NE-Chiller-CHWPumpCtrl-Full-Msr</v>
      </c>
      <c r="G102">
        <f>$P102</f>
        <v>0.29847800000000002</v>
      </c>
      <c r="H102">
        <f>$G$4*G102</f>
        <v>296.98561000000001</v>
      </c>
      <c r="J102" t="s">
        <v>329</v>
      </c>
      <c r="K102" t="s">
        <v>26</v>
      </c>
      <c r="M102">
        <v>57189.2</v>
      </c>
      <c r="N102">
        <v>20032.47</v>
      </c>
      <c r="P102">
        <v>0.29847800000000002</v>
      </c>
      <c r="Q102">
        <v>0</v>
      </c>
      <c r="R102">
        <v>1935210.89</v>
      </c>
      <c r="S102">
        <v>643032.05000000005</v>
      </c>
      <c r="T102">
        <v>0</v>
      </c>
      <c r="U102">
        <v>3553012.2</v>
      </c>
      <c r="V102">
        <v>0</v>
      </c>
      <c r="W102">
        <v>1484769.12</v>
      </c>
      <c r="X102">
        <v>291393.5</v>
      </c>
      <c r="Y102">
        <v>252147.33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1893842.12</v>
      </c>
      <c r="AF102">
        <v>0</v>
      </c>
      <c r="AG102">
        <v>0</v>
      </c>
      <c r="AH102">
        <v>0</v>
      </c>
      <c r="AI102">
        <v>127428.8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725541.67</v>
      </c>
      <c r="AQ102">
        <v>0</v>
      </c>
      <c r="AR102">
        <v>0</v>
      </c>
      <c r="AS102">
        <v>5226516405.3677197</v>
      </c>
    </row>
    <row r="103" spans="2:45" ht="15.75" hidden="1" thickBot="1" x14ac:dyDescent="0.3">
      <c r="B103" s="15" t="str" cm="1">
        <f t="array" ref="B103">INDEX(_xlfn.TEXTSPLIT($J103,"/"),3)</f>
        <v>Hsp&amp;0&amp;cPVVE&amp;Ex&amp;Chiller__PumpCtrl</v>
      </c>
      <c r="C103" s="33" t="str" cm="1">
        <f t="array" ref="C103">INDEX(_xlfn.TEXTSPLIT($J103,"/"),2)</f>
        <v>CZ01</v>
      </c>
      <c r="D103" s="34">
        <f>$G$3*H103</f>
        <v>116.99040849999999</v>
      </c>
      <c r="F103" t="str" cm="1">
        <f t="array" ref="F103">INDEX(_xlfn.TEXTSPLIT($J103,"/"),4)</f>
        <v>NE-Chiller-CHWPumpCtrl-Full-Msr</v>
      </c>
      <c r="G103">
        <f>$P103</f>
        <v>0.16796900000000001</v>
      </c>
      <c r="H103">
        <f>$G$4*G103</f>
        <v>167.129155</v>
      </c>
      <c r="J103" t="s">
        <v>312</v>
      </c>
      <c r="K103" t="s">
        <v>11</v>
      </c>
      <c r="M103">
        <v>32183.24</v>
      </c>
      <c r="N103">
        <v>11273.28</v>
      </c>
      <c r="P103">
        <v>0.16796900000000001</v>
      </c>
      <c r="Q103">
        <v>0</v>
      </c>
      <c r="R103">
        <v>152430.32999999999</v>
      </c>
      <c r="S103">
        <v>857863.39</v>
      </c>
      <c r="T103">
        <v>0</v>
      </c>
      <c r="U103">
        <v>1141299.43</v>
      </c>
      <c r="V103">
        <v>0</v>
      </c>
      <c r="W103">
        <v>209771.42</v>
      </c>
      <c r="X103">
        <v>259312.43</v>
      </c>
      <c r="Y103">
        <v>284923.53999999998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516985.46</v>
      </c>
      <c r="AF103">
        <v>0</v>
      </c>
      <c r="AG103">
        <v>0</v>
      </c>
      <c r="AH103">
        <v>0</v>
      </c>
      <c r="AI103">
        <v>43737.51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299615.73</v>
      </c>
      <c r="AQ103">
        <v>0</v>
      </c>
      <c r="AR103">
        <v>0</v>
      </c>
      <c r="AS103">
        <v>1784646141.20439</v>
      </c>
    </row>
    <row r="104" spans="2:45" ht="15.75" hidden="1" thickBot="1" x14ac:dyDescent="0.3">
      <c r="B104" s="15" t="str" cm="1">
        <f t="array" ref="B104">INDEX(_xlfn.TEXTSPLIT($J104,"/"),3)</f>
        <v>Hsp&amp;0&amp;cPVVE&amp;Ex&amp;Chiller__PumpCtrl</v>
      </c>
      <c r="C104" s="33" t="str" cm="1">
        <f t="array" ref="C104">INDEX(_xlfn.TEXTSPLIT($J104,"/"),2)</f>
        <v>CZ02</v>
      </c>
      <c r="D104" s="34">
        <f>$G$3*H104</f>
        <v>143.94635149999999</v>
      </c>
      <c r="F104" t="str" cm="1">
        <f t="array" ref="F104">INDEX(_xlfn.TEXTSPLIT($J104,"/"),4)</f>
        <v>NE-Chiller-CHWPumpCtrl-Full-Msr</v>
      </c>
      <c r="G104">
        <f>$P104</f>
        <v>0.20667099999999999</v>
      </c>
      <c r="H104">
        <f>$G$4*G104</f>
        <v>205.63764499999999</v>
      </c>
      <c r="J104" t="s">
        <v>295</v>
      </c>
      <c r="K104" t="s">
        <v>12</v>
      </c>
      <c r="M104">
        <v>39598.639999999999</v>
      </c>
      <c r="N104">
        <v>13870.77</v>
      </c>
      <c r="P104">
        <v>0.20667099999999999</v>
      </c>
      <c r="Q104">
        <v>0</v>
      </c>
      <c r="R104">
        <v>950475.65</v>
      </c>
      <c r="S104">
        <v>857863.39</v>
      </c>
      <c r="T104">
        <v>0</v>
      </c>
      <c r="U104">
        <v>1141299.43</v>
      </c>
      <c r="V104">
        <v>0</v>
      </c>
      <c r="W104">
        <v>390337.32</v>
      </c>
      <c r="X104">
        <v>341998.64</v>
      </c>
      <c r="Y104">
        <v>339598.17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905004.1</v>
      </c>
      <c r="AF104">
        <v>0</v>
      </c>
      <c r="AG104">
        <v>0</v>
      </c>
      <c r="AH104">
        <v>0</v>
      </c>
      <c r="AI104">
        <v>43737.51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275278.75</v>
      </c>
      <c r="AQ104">
        <v>0</v>
      </c>
      <c r="AR104">
        <v>0</v>
      </c>
      <c r="AS104">
        <v>3182198413.22686</v>
      </c>
    </row>
    <row r="105" spans="2:45" ht="15.75" hidden="1" thickBot="1" x14ac:dyDescent="0.3">
      <c r="B105" s="15" t="str" cm="1">
        <f t="array" ref="B105">INDEX(_xlfn.TEXTSPLIT($J105,"/"),3)</f>
        <v>Hsp&amp;0&amp;cPVVE&amp;Ex&amp;Chiller__PumpCtrl</v>
      </c>
      <c r="C105" s="33" t="str" cm="1">
        <f t="array" ref="C105">INDEX(_xlfn.TEXTSPLIT($J105,"/"),2)</f>
        <v>CZ03</v>
      </c>
      <c r="D105" s="34">
        <f>$G$3*H105</f>
        <v>136.90543299999999</v>
      </c>
      <c r="F105" t="str" cm="1">
        <f t="array" ref="F105">INDEX(_xlfn.TEXTSPLIT($J105,"/"),4)</f>
        <v>NE-Chiller-CHWPumpCtrl-Full-Msr</v>
      </c>
      <c r="G105">
        <f>$P105</f>
        <v>0.19656199999999999</v>
      </c>
      <c r="H105">
        <f>$G$4*G105</f>
        <v>195.57918999999998</v>
      </c>
      <c r="J105" t="s">
        <v>280</v>
      </c>
      <c r="K105" t="s">
        <v>13</v>
      </c>
      <c r="M105">
        <v>37661.79</v>
      </c>
      <c r="N105">
        <v>13192.32</v>
      </c>
      <c r="P105">
        <v>0.19656199999999999</v>
      </c>
      <c r="Q105">
        <v>0</v>
      </c>
      <c r="R105">
        <v>640670.94999999995</v>
      </c>
      <c r="S105">
        <v>857863.39</v>
      </c>
      <c r="T105">
        <v>0</v>
      </c>
      <c r="U105">
        <v>1141299.43</v>
      </c>
      <c r="V105">
        <v>0</v>
      </c>
      <c r="W105">
        <v>281893.23</v>
      </c>
      <c r="X105">
        <v>316415.82</v>
      </c>
      <c r="Y105">
        <v>338438.41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475891.08</v>
      </c>
      <c r="AF105">
        <v>0</v>
      </c>
      <c r="AG105">
        <v>0</v>
      </c>
      <c r="AH105">
        <v>0</v>
      </c>
      <c r="AI105">
        <v>43737.51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274237.67</v>
      </c>
      <c r="AQ105">
        <v>0</v>
      </c>
      <c r="AR105">
        <v>0</v>
      </c>
      <c r="AS105">
        <v>2866776557.7825398</v>
      </c>
    </row>
    <row r="106" spans="2:45" ht="15.75" hidden="1" thickBot="1" x14ac:dyDescent="0.3">
      <c r="B106" s="15" t="str" cm="1">
        <f t="array" ref="B106">INDEX(_xlfn.TEXTSPLIT($J106,"/"),3)</f>
        <v>Hsp&amp;0&amp;cPVVE&amp;Ex&amp;Chiller__PumpCtrl</v>
      </c>
      <c r="C106" s="33" t="str" cm="1">
        <f t="array" ref="C106">INDEX(_xlfn.TEXTSPLIT($J106,"/"),2)</f>
        <v>CZ04</v>
      </c>
      <c r="D106" s="34">
        <f>$G$3*H106</f>
        <v>145.8603335</v>
      </c>
      <c r="F106" t="str" cm="1">
        <f t="array" ref="F106">INDEX(_xlfn.TEXTSPLIT($J106,"/"),4)</f>
        <v>NE-Chiller-CHWPumpCtrl-Full-Msr</v>
      </c>
      <c r="G106">
        <f>$P106</f>
        <v>0.20941899999999999</v>
      </c>
      <c r="H106">
        <f>$G$4*G106</f>
        <v>208.371905</v>
      </c>
      <c r="J106" t="s">
        <v>263</v>
      </c>
      <c r="K106" t="s">
        <v>14</v>
      </c>
      <c r="M106">
        <v>40125.19</v>
      </c>
      <c r="N106">
        <v>14055.21</v>
      </c>
      <c r="P106">
        <v>0.20941899999999999</v>
      </c>
      <c r="Q106">
        <v>0</v>
      </c>
      <c r="R106">
        <v>1059222.58</v>
      </c>
      <c r="S106">
        <v>857863.39</v>
      </c>
      <c r="T106">
        <v>0</v>
      </c>
      <c r="U106">
        <v>1141299.43</v>
      </c>
      <c r="V106">
        <v>0</v>
      </c>
      <c r="W106">
        <v>408287.49</v>
      </c>
      <c r="X106">
        <v>349011.21</v>
      </c>
      <c r="Y106">
        <v>365875.84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761727.43</v>
      </c>
      <c r="AF106">
        <v>0</v>
      </c>
      <c r="AG106">
        <v>0</v>
      </c>
      <c r="AH106">
        <v>0</v>
      </c>
      <c r="AI106">
        <v>43737.51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264795.84999999998</v>
      </c>
      <c r="AQ106">
        <v>0</v>
      </c>
      <c r="AR106">
        <v>0</v>
      </c>
      <c r="AS106">
        <v>3069307956.5953999</v>
      </c>
    </row>
    <row r="107" spans="2:45" ht="15.75" hidden="1" thickBot="1" x14ac:dyDescent="0.3">
      <c r="B107" s="15" t="str" cm="1">
        <f t="array" ref="B107">INDEX(_xlfn.TEXTSPLIT($J107,"/"),3)</f>
        <v>Hsp&amp;0&amp;cPVVE&amp;Ex&amp;Chiller__PumpCtrl</v>
      </c>
      <c r="C107" s="33" t="str" cm="1">
        <f t="array" ref="C107">INDEX(_xlfn.TEXTSPLIT($J107,"/"),2)</f>
        <v>CZ05</v>
      </c>
      <c r="D107" s="34">
        <f>$G$3*H107</f>
        <v>132.024361</v>
      </c>
      <c r="F107" t="str" cm="1">
        <f t="array" ref="F107">INDEX(_xlfn.TEXTSPLIT($J107,"/"),4)</f>
        <v>NE-Chiller-CHWPumpCtrl-Full-Msr</v>
      </c>
      <c r="G107">
        <f>$P107</f>
        <v>0.189554</v>
      </c>
      <c r="H107">
        <f>$G$4*G107</f>
        <v>188.60623000000001</v>
      </c>
      <c r="J107" t="s">
        <v>247</v>
      </c>
      <c r="K107" t="s">
        <v>15</v>
      </c>
      <c r="M107">
        <v>36319.089999999997</v>
      </c>
      <c r="N107">
        <v>12722</v>
      </c>
      <c r="P107">
        <v>0.189554</v>
      </c>
      <c r="Q107">
        <v>0</v>
      </c>
      <c r="R107">
        <v>746069.97</v>
      </c>
      <c r="S107">
        <v>857863.39</v>
      </c>
      <c r="T107">
        <v>0</v>
      </c>
      <c r="U107">
        <v>1141299.43</v>
      </c>
      <c r="V107">
        <v>0</v>
      </c>
      <c r="W107">
        <v>334200.8</v>
      </c>
      <c r="X107">
        <v>310323.93</v>
      </c>
      <c r="Y107">
        <v>320180.58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558461.1</v>
      </c>
      <c r="AF107">
        <v>0</v>
      </c>
      <c r="AG107">
        <v>0</v>
      </c>
      <c r="AH107">
        <v>0</v>
      </c>
      <c r="AI107">
        <v>43737.51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274267.07</v>
      </c>
      <c r="AQ107">
        <v>0</v>
      </c>
      <c r="AR107">
        <v>0</v>
      </c>
      <c r="AS107">
        <v>2144209207.01511</v>
      </c>
    </row>
    <row r="108" spans="2:45" ht="15.75" hidden="1" thickBot="1" x14ac:dyDescent="0.3">
      <c r="B108" s="15" t="str" cm="1">
        <f t="array" ref="B108">INDEX(_xlfn.TEXTSPLIT($J108,"/"),3)</f>
        <v>Hsp&amp;0&amp;cPVVE&amp;Ex&amp;Chiller__PumpCtrl</v>
      </c>
      <c r="C108" s="33" t="str" cm="1">
        <f t="array" ref="C108">INDEX(_xlfn.TEXTSPLIT($J108,"/"),2)</f>
        <v>CZ06</v>
      </c>
      <c r="D108" s="34">
        <f>$G$3*H108</f>
        <v>137.38601800000001</v>
      </c>
      <c r="F108" t="str" cm="1">
        <f t="array" ref="F108">INDEX(_xlfn.TEXTSPLIT($J108,"/"),4)</f>
        <v>NE-Chiller-CHWPumpCtrl-Full-Msr</v>
      </c>
      <c r="G108">
        <f>$P108</f>
        <v>0.19725200000000001</v>
      </c>
      <c r="H108">
        <f>$G$4*G108</f>
        <v>196.26574000000002</v>
      </c>
      <c r="J108" t="s">
        <v>231</v>
      </c>
      <c r="K108" t="s">
        <v>16</v>
      </c>
      <c r="M108">
        <v>37793.910000000003</v>
      </c>
      <c r="N108">
        <v>13238.61</v>
      </c>
      <c r="P108">
        <v>0.19725200000000001</v>
      </c>
      <c r="Q108">
        <v>0</v>
      </c>
      <c r="R108">
        <v>1282461.55</v>
      </c>
      <c r="S108">
        <v>857863.39</v>
      </c>
      <c r="T108">
        <v>0</v>
      </c>
      <c r="U108">
        <v>1141299.43</v>
      </c>
      <c r="V108">
        <v>0</v>
      </c>
      <c r="W108">
        <v>350751.15</v>
      </c>
      <c r="X108">
        <v>348853.53</v>
      </c>
      <c r="Y108">
        <v>376268.83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366843.68</v>
      </c>
      <c r="AF108">
        <v>0</v>
      </c>
      <c r="AG108">
        <v>0</v>
      </c>
      <c r="AH108">
        <v>0</v>
      </c>
      <c r="AI108">
        <v>43737.51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252623.1</v>
      </c>
      <c r="AQ108">
        <v>0</v>
      </c>
      <c r="AR108">
        <v>0</v>
      </c>
      <c r="AS108">
        <v>2193659713.0514898</v>
      </c>
    </row>
    <row r="109" spans="2:45" ht="15.75" hidden="1" thickBot="1" x14ac:dyDescent="0.3">
      <c r="B109" s="15" t="str" cm="1">
        <f t="array" ref="B109">INDEX(_xlfn.TEXTSPLIT($J109,"/"),3)</f>
        <v>Hsp&amp;0&amp;cPVVE&amp;Ex&amp;Chiller__PumpCtrl</v>
      </c>
      <c r="C109" s="33" t="str" cm="1">
        <f t="array" ref="C109">INDEX(_xlfn.TEXTSPLIT($J109,"/"),2)</f>
        <v>CZ07</v>
      </c>
      <c r="D109" s="34">
        <f>$G$3*H109</f>
        <v>140.789117</v>
      </c>
      <c r="F109" t="str" cm="1">
        <f t="array" ref="F109">INDEX(_xlfn.TEXTSPLIT($J109,"/"),4)</f>
        <v>NE-Chiller-CHWPumpCtrl-Full-Msr</v>
      </c>
      <c r="G109">
        <f>$P109</f>
        <v>0.20213800000000001</v>
      </c>
      <c r="H109">
        <f>$G$4*G109</f>
        <v>201.12731000000002</v>
      </c>
      <c r="J109" t="s">
        <v>215</v>
      </c>
      <c r="K109" t="s">
        <v>17</v>
      </c>
      <c r="M109">
        <v>38730.120000000003</v>
      </c>
      <c r="N109">
        <v>13566.54</v>
      </c>
      <c r="P109">
        <v>0.20213800000000001</v>
      </c>
      <c r="Q109">
        <v>0</v>
      </c>
      <c r="R109">
        <v>1439821.78</v>
      </c>
      <c r="S109">
        <v>857863.39</v>
      </c>
      <c r="T109">
        <v>0</v>
      </c>
      <c r="U109">
        <v>1141299.43</v>
      </c>
      <c r="V109">
        <v>0</v>
      </c>
      <c r="W109">
        <v>409183.65</v>
      </c>
      <c r="X109">
        <v>363494.62</v>
      </c>
      <c r="Y109">
        <v>391370.61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545747.41</v>
      </c>
      <c r="AF109">
        <v>0</v>
      </c>
      <c r="AG109">
        <v>0</v>
      </c>
      <c r="AH109">
        <v>0</v>
      </c>
      <c r="AI109">
        <v>43737.51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249459.29</v>
      </c>
      <c r="AQ109">
        <v>0</v>
      </c>
      <c r="AR109">
        <v>0</v>
      </c>
      <c r="AS109">
        <v>2460465906.3173599</v>
      </c>
    </row>
    <row r="110" spans="2:45" ht="15.75" hidden="1" thickBot="1" x14ac:dyDescent="0.3">
      <c r="B110" s="15" t="str" cm="1">
        <f t="array" ref="B110">INDEX(_xlfn.TEXTSPLIT($J110,"/"),3)</f>
        <v>Hsp&amp;0&amp;cPVVE&amp;Ex&amp;Chiller__PumpCtrl</v>
      </c>
      <c r="C110" s="33" t="str" cm="1">
        <f t="array" ref="C110">INDEX(_xlfn.TEXTSPLIT($J110,"/"),2)</f>
        <v>CZ08</v>
      </c>
      <c r="D110" s="34">
        <f>$G$3*H110</f>
        <v>147.94774399999997</v>
      </c>
      <c r="F110" t="str" cm="1">
        <f t="array" ref="F110">INDEX(_xlfn.TEXTSPLIT($J110,"/"),4)</f>
        <v>NE-Chiller-CHWPumpCtrl-Full-Msr</v>
      </c>
      <c r="G110">
        <f>$P110</f>
        <v>0.21241599999999999</v>
      </c>
      <c r="H110">
        <f>$G$4*G110</f>
        <v>211.35391999999999</v>
      </c>
      <c r="J110" t="s">
        <v>199</v>
      </c>
      <c r="K110" t="s">
        <v>18</v>
      </c>
      <c r="M110">
        <v>40699.46</v>
      </c>
      <c r="N110">
        <v>14256.37</v>
      </c>
      <c r="P110">
        <v>0.21241599999999999</v>
      </c>
      <c r="Q110">
        <v>0</v>
      </c>
      <c r="R110">
        <v>1551909.58</v>
      </c>
      <c r="S110">
        <v>857863.39</v>
      </c>
      <c r="T110">
        <v>0</v>
      </c>
      <c r="U110">
        <v>1141299.43</v>
      </c>
      <c r="V110">
        <v>0</v>
      </c>
      <c r="W110">
        <v>471875.77</v>
      </c>
      <c r="X110">
        <v>375078.28</v>
      </c>
      <c r="Y110">
        <v>395652.1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739596.22</v>
      </c>
      <c r="AF110">
        <v>0</v>
      </c>
      <c r="AG110">
        <v>0</v>
      </c>
      <c r="AH110">
        <v>0</v>
      </c>
      <c r="AI110">
        <v>43737.51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249023.41</v>
      </c>
      <c r="AQ110">
        <v>0</v>
      </c>
      <c r="AR110">
        <v>0</v>
      </c>
      <c r="AS110">
        <v>2246766593.0402298</v>
      </c>
    </row>
    <row r="111" spans="2:45" ht="15.75" hidden="1" thickBot="1" x14ac:dyDescent="0.3">
      <c r="B111" s="15" t="str" cm="1">
        <f t="array" ref="B111">INDEX(_xlfn.TEXTSPLIT($J111,"/"),3)</f>
        <v>Hsp&amp;0&amp;cPVVE&amp;Ex&amp;Chiller__PumpCtrl</v>
      </c>
      <c r="C111" s="33" t="str" cm="1">
        <f t="array" ref="C111">INDEX(_xlfn.TEXTSPLIT($J111,"/"),2)</f>
        <v>CZ09</v>
      </c>
      <c r="D111" s="34">
        <f>$G$3*H111</f>
        <v>151.03323900000001</v>
      </c>
      <c r="F111" t="str" cm="1">
        <f t="array" ref="F111">INDEX(_xlfn.TEXTSPLIT($J111,"/"),4)</f>
        <v>NE-Chiller-CHWPumpCtrl-Full-Msr</v>
      </c>
      <c r="G111">
        <f>$P111</f>
        <v>0.21684600000000001</v>
      </c>
      <c r="H111">
        <f>$G$4*G111</f>
        <v>215.76177000000001</v>
      </c>
      <c r="J111" t="s">
        <v>181</v>
      </c>
      <c r="K111" t="s">
        <v>19</v>
      </c>
      <c r="M111">
        <v>41548.28</v>
      </c>
      <c r="N111">
        <v>14553.7</v>
      </c>
      <c r="P111">
        <v>0.21684600000000001</v>
      </c>
      <c r="Q111">
        <v>0</v>
      </c>
      <c r="R111">
        <v>1737389.15</v>
      </c>
      <c r="S111">
        <v>857863.39</v>
      </c>
      <c r="T111">
        <v>0</v>
      </c>
      <c r="U111">
        <v>1141299.43</v>
      </c>
      <c r="V111">
        <v>0</v>
      </c>
      <c r="W111">
        <v>546739.07999999996</v>
      </c>
      <c r="X111">
        <v>387328.1</v>
      </c>
      <c r="Y111">
        <v>409486.97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909218.58</v>
      </c>
      <c r="AF111">
        <v>0</v>
      </c>
      <c r="AG111">
        <v>0</v>
      </c>
      <c r="AH111">
        <v>0</v>
      </c>
      <c r="AI111">
        <v>43737.51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245617.74</v>
      </c>
      <c r="AQ111">
        <v>0</v>
      </c>
      <c r="AR111">
        <v>0</v>
      </c>
      <c r="AS111">
        <v>2344297006.86133</v>
      </c>
    </row>
    <row r="112" spans="2:45" ht="15.75" hidden="1" thickBot="1" x14ac:dyDescent="0.3">
      <c r="B112" s="15" t="str" cm="1">
        <f t="array" ref="B112">INDEX(_xlfn.TEXTSPLIT($J112,"/"),3)</f>
        <v>Hsp&amp;0&amp;cPVVE&amp;Ex&amp;Chiller__PumpCtrl</v>
      </c>
      <c r="C112" s="33" t="str" cm="1">
        <f t="array" ref="C112">INDEX(_xlfn.TEXTSPLIT($J112,"/"),2)</f>
        <v>CZ10</v>
      </c>
      <c r="D112" s="34">
        <f>$G$3*H112</f>
        <v>160.68046050000001</v>
      </c>
      <c r="F112" t="str" cm="1">
        <f t="array" ref="F112">INDEX(_xlfn.TEXTSPLIT($J112,"/"),4)</f>
        <v>NE-Chiller-CHWPumpCtrl-Full-Msr</v>
      </c>
      <c r="G112">
        <f>$P112</f>
        <v>0.23069700000000001</v>
      </c>
      <c r="H112">
        <f>$G$4*G112</f>
        <v>229.54351500000001</v>
      </c>
      <c r="J112" t="s">
        <v>168</v>
      </c>
      <c r="K112" t="s">
        <v>20</v>
      </c>
      <c r="M112">
        <v>44202.1</v>
      </c>
      <c r="N112">
        <v>15483.29</v>
      </c>
      <c r="P112">
        <v>0.23069700000000001</v>
      </c>
      <c r="Q112">
        <v>0</v>
      </c>
      <c r="R112">
        <v>1804830.54</v>
      </c>
      <c r="S112">
        <v>857863.39</v>
      </c>
      <c r="T112">
        <v>0</v>
      </c>
      <c r="U112">
        <v>1141299.43</v>
      </c>
      <c r="V112">
        <v>0</v>
      </c>
      <c r="W112">
        <v>627222.98</v>
      </c>
      <c r="X112">
        <v>407317.53</v>
      </c>
      <c r="Y112">
        <v>410976.95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1362452.22</v>
      </c>
      <c r="AF112">
        <v>0</v>
      </c>
      <c r="AG112">
        <v>0</v>
      </c>
      <c r="AH112">
        <v>0</v>
      </c>
      <c r="AI112">
        <v>43737.51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243571.32</v>
      </c>
      <c r="AQ112">
        <v>0</v>
      </c>
      <c r="AR112">
        <v>0</v>
      </c>
      <c r="AS112">
        <v>3468217838.8204999</v>
      </c>
    </row>
    <row r="113" spans="2:45" ht="15.75" hidden="1" thickBot="1" x14ac:dyDescent="0.3">
      <c r="B113" s="15" t="str" cm="1">
        <f t="array" ref="B113">INDEX(_xlfn.TEXTSPLIT($J113,"/"),3)</f>
        <v>Hsp&amp;0&amp;cPVVE&amp;Ex&amp;Chiller__PumpCtrl</v>
      </c>
      <c r="C113" s="33" t="str" cm="1">
        <f t="array" ref="C113">INDEX(_xlfn.TEXTSPLIT($J113,"/"),2)</f>
        <v>CZ11</v>
      </c>
      <c r="D113" s="34">
        <f>$G$3*H113</f>
        <v>158.45792899999998</v>
      </c>
      <c r="F113" t="str" cm="1">
        <f t="array" ref="F113">INDEX(_xlfn.TEXTSPLIT($J113,"/"),4)</f>
        <v>NE-Chiller-CHWPumpCtrl-Full-Msr</v>
      </c>
      <c r="G113">
        <f>$P113</f>
        <v>0.22750600000000001</v>
      </c>
      <c r="H113">
        <f>$G$4*G113</f>
        <v>226.36847</v>
      </c>
      <c r="J113" t="s">
        <v>151</v>
      </c>
      <c r="K113" t="s">
        <v>21</v>
      </c>
      <c r="M113">
        <v>43590.66</v>
      </c>
      <c r="N113">
        <v>15269.12</v>
      </c>
      <c r="P113">
        <v>0.22750600000000001</v>
      </c>
      <c r="Q113">
        <v>0</v>
      </c>
      <c r="R113">
        <v>1667231.45</v>
      </c>
      <c r="S113">
        <v>857863.39</v>
      </c>
      <c r="T113">
        <v>0</v>
      </c>
      <c r="U113">
        <v>1141299.43</v>
      </c>
      <c r="V113">
        <v>0</v>
      </c>
      <c r="W113">
        <v>601292.77</v>
      </c>
      <c r="X113">
        <v>400455.01</v>
      </c>
      <c r="Y113">
        <v>396912.66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1478601.66</v>
      </c>
      <c r="AF113">
        <v>0</v>
      </c>
      <c r="AG113">
        <v>0</v>
      </c>
      <c r="AH113">
        <v>0</v>
      </c>
      <c r="AI113">
        <v>43737.51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249112.05</v>
      </c>
      <c r="AQ113">
        <v>0</v>
      </c>
      <c r="AR113">
        <v>0</v>
      </c>
      <c r="AS113">
        <v>3414973447.3474102</v>
      </c>
    </row>
    <row r="114" spans="2:45" ht="15.75" hidden="1" thickBot="1" x14ac:dyDescent="0.3">
      <c r="B114" s="15" t="str" cm="1">
        <f t="array" ref="B114">INDEX(_xlfn.TEXTSPLIT($J114,"/"),3)</f>
        <v>Hsp&amp;0&amp;cPVVE&amp;Ex&amp;Chiller__PumpCtrl</v>
      </c>
      <c r="C114" s="33" t="str" cm="1">
        <f t="array" ref="C114">INDEX(_xlfn.TEXTSPLIT($J114,"/"),2)</f>
        <v>CZ12</v>
      </c>
      <c r="D114" s="34">
        <f>$G$3*H114</f>
        <v>154.94617599999998</v>
      </c>
      <c r="F114" t="str" cm="1">
        <f t="array" ref="F114">INDEX(_xlfn.TEXTSPLIT($J114,"/"),4)</f>
        <v>NE-Chiller-CHWPumpCtrl-Full-Msr</v>
      </c>
      <c r="G114">
        <f>$P114</f>
        <v>0.222464</v>
      </c>
      <c r="H114">
        <f>$G$4*G114</f>
        <v>221.35167999999999</v>
      </c>
      <c r="J114" t="s">
        <v>135</v>
      </c>
      <c r="K114" t="s">
        <v>22</v>
      </c>
      <c r="M114">
        <v>42624.6</v>
      </c>
      <c r="N114">
        <v>14930.72</v>
      </c>
      <c r="P114">
        <v>0.222464</v>
      </c>
      <c r="Q114">
        <v>0</v>
      </c>
      <c r="R114">
        <v>1550708.47</v>
      </c>
      <c r="S114">
        <v>857863.39</v>
      </c>
      <c r="T114">
        <v>0</v>
      </c>
      <c r="U114">
        <v>1141299.43</v>
      </c>
      <c r="V114">
        <v>0</v>
      </c>
      <c r="W114">
        <v>551820.42000000004</v>
      </c>
      <c r="X114">
        <v>385174.91</v>
      </c>
      <c r="Y114">
        <v>383505.49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1267360.1299999999</v>
      </c>
      <c r="AF114">
        <v>0</v>
      </c>
      <c r="AG114">
        <v>0</v>
      </c>
      <c r="AH114">
        <v>0</v>
      </c>
      <c r="AI114">
        <v>43737.51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256106.83</v>
      </c>
      <c r="AQ114">
        <v>0</v>
      </c>
      <c r="AR114">
        <v>0</v>
      </c>
      <c r="AS114">
        <v>3498417549.19242</v>
      </c>
    </row>
    <row r="115" spans="2:45" ht="15.75" hidden="1" thickBot="1" x14ac:dyDescent="0.3">
      <c r="B115" s="15" t="str" cm="1">
        <f t="array" ref="B115">INDEX(_xlfn.TEXTSPLIT($J115,"/"),3)</f>
        <v>Hsp&amp;0&amp;cPVVE&amp;Ex&amp;Chiller__PumpCtrl</v>
      </c>
      <c r="C115" s="33" t="str" cm="1">
        <f t="array" ref="C115">INDEX(_xlfn.TEXTSPLIT($J115,"/"),2)</f>
        <v>CZ13</v>
      </c>
      <c r="D115" s="34">
        <f>$G$3*H115</f>
        <v>160.10793749999999</v>
      </c>
      <c r="F115" t="str" cm="1">
        <f t="array" ref="F115">INDEX(_xlfn.TEXTSPLIT($J115,"/"),4)</f>
        <v>NE-Chiller-CHWPumpCtrl-Full-Msr</v>
      </c>
      <c r="G115">
        <f>$P115</f>
        <v>0.229875</v>
      </c>
      <c r="H115">
        <f>$G$4*G115</f>
        <v>228.72562500000001</v>
      </c>
      <c r="J115" t="s">
        <v>120</v>
      </c>
      <c r="K115" t="s">
        <v>23</v>
      </c>
      <c r="M115">
        <v>44044.61</v>
      </c>
      <c r="N115">
        <v>15428.13</v>
      </c>
      <c r="P115">
        <v>0.229875</v>
      </c>
      <c r="Q115">
        <v>0</v>
      </c>
      <c r="R115">
        <v>1867954.19</v>
      </c>
      <c r="S115">
        <v>857863.39</v>
      </c>
      <c r="T115">
        <v>0</v>
      </c>
      <c r="U115">
        <v>1141299.43</v>
      </c>
      <c r="V115">
        <v>0</v>
      </c>
      <c r="W115">
        <v>622451.42000000004</v>
      </c>
      <c r="X115">
        <v>408124.91</v>
      </c>
      <c r="Y115">
        <v>414570.13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1361497.29</v>
      </c>
      <c r="AF115">
        <v>0</v>
      </c>
      <c r="AG115">
        <v>0</v>
      </c>
      <c r="AH115">
        <v>0</v>
      </c>
      <c r="AI115">
        <v>43737.51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241875.48</v>
      </c>
      <c r="AQ115">
        <v>0</v>
      </c>
      <c r="AR115">
        <v>0</v>
      </c>
      <c r="AS115">
        <v>3643502759.7139902</v>
      </c>
    </row>
    <row r="116" spans="2:45" ht="15.75" hidden="1" thickBot="1" x14ac:dyDescent="0.3">
      <c r="B116" s="15" t="str" cm="1">
        <f t="array" ref="B116">INDEX(_xlfn.TEXTSPLIT($J116,"/"),3)</f>
        <v>Hsp&amp;0&amp;cPVVE&amp;Ex&amp;Chiller__PumpCtrl</v>
      </c>
      <c r="C116" s="33" t="str" cm="1">
        <f t="array" ref="C116">INDEX(_xlfn.TEXTSPLIT($J116,"/"),2)</f>
        <v>CZ14</v>
      </c>
      <c r="D116" s="34">
        <f>$G$3*H116</f>
        <v>159.33551900000001</v>
      </c>
      <c r="F116" t="str" cm="1">
        <f t="array" ref="F116">INDEX(_xlfn.TEXTSPLIT($J116,"/"),4)</f>
        <v>NE-Chiller-CHWPumpCtrl-Full-Msr</v>
      </c>
      <c r="G116">
        <f>$P116</f>
        <v>0.228766</v>
      </c>
      <c r="H116">
        <f>$G$4*G116</f>
        <v>227.62217000000001</v>
      </c>
      <c r="J116" t="s">
        <v>107</v>
      </c>
      <c r="K116" t="s">
        <v>24</v>
      </c>
      <c r="M116">
        <v>43832.1</v>
      </c>
      <c r="N116">
        <v>15353.69</v>
      </c>
      <c r="P116">
        <v>0.228766</v>
      </c>
      <c r="Q116">
        <v>0</v>
      </c>
      <c r="R116">
        <v>1896796.55</v>
      </c>
      <c r="S116">
        <v>857863.39</v>
      </c>
      <c r="T116">
        <v>0</v>
      </c>
      <c r="U116">
        <v>1141299.43</v>
      </c>
      <c r="V116">
        <v>0</v>
      </c>
      <c r="W116">
        <v>749790.37</v>
      </c>
      <c r="X116">
        <v>413101.43</v>
      </c>
      <c r="Y116">
        <v>374721.68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1551138.23</v>
      </c>
      <c r="AF116">
        <v>0</v>
      </c>
      <c r="AG116">
        <v>0</v>
      </c>
      <c r="AH116">
        <v>0</v>
      </c>
      <c r="AI116">
        <v>43737.51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229435.5</v>
      </c>
      <c r="AQ116">
        <v>0</v>
      </c>
      <c r="AR116">
        <v>0</v>
      </c>
      <c r="AS116">
        <v>3492488613.85044</v>
      </c>
    </row>
    <row r="117" spans="2:45" ht="15.75" hidden="1" thickBot="1" x14ac:dyDescent="0.3">
      <c r="B117" s="15" t="str" cm="1">
        <f t="array" ref="B117">INDEX(_xlfn.TEXTSPLIT($J117,"/"),3)</f>
        <v>Hsp&amp;0&amp;cPVVE&amp;Ex&amp;Chiller__PumpCtrl</v>
      </c>
      <c r="C117" s="33" t="str" cm="1">
        <f t="array" ref="C117">INDEX(_xlfn.TEXTSPLIT($J117,"/"),2)</f>
        <v>CZ15</v>
      </c>
      <c r="D117" s="34">
        <f>$G$3*H117</f>
        <v>164.45409749999999</v>
      </c>
      <c r="F117" t="str" cm="1">
        <f t="array" ref="F117">INDEX(_xlfn.TEXTSPLIT($J117,"/"),4)</f>
        <v>NE-Chiller-CHWPumpCtrl-Full-Msr</v>
      </c>
      <c r="G117">
        <f>$P117</f>
        <v>0.23611499999999999</v>
      </c>
      <c r="H117">
        <f>$G$4*G117</f>
        <v>234.934425</v>
      </c>
      <c r="J117" t="s">
        <v>90</v>
      </c>
      <c r="K117" t="s">
        <v>25</v>
      </c>
      <c r="M117">
        <v>45240.28</v>
      </c>
      <c r="N117">
        <v>15846.95</v>
      </c>
      <c r="P117">
        <v>0.23611499999999999</v>
      </c>
      <c r="Q117">
        <v>0</v>
      </c>
      <c r="R117">
        <v>2648698.7000000002</v>
      </c>
      <c r="S117">
        <v>857863.39</v>
      </c>
      <c r="T117">
        <v>0</v>
      </c>
      <c r="U117">
        <v>1141299.43</v>
      </c>
      <c r="V117">
        <v>0</v>
      </c>
      <c r="W117">
        <v>800963.7</v>
      </c>
      <c r="X117">
        <v>436766.56</v>
      </c>
      <c r="Y117">
        <v>436992.18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1647927.23</v>
      </c>
      <c r="AF117">
        <v>0</v>
      </c>
      <c r="AG117">
        <v>0</v>
      </c>
      <c r="AH117">
        <v>0</v>
      </c>
      <c r="AI117">
        <v>43737.51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203717.46</v>
      </c>
      <c r="AQ117">
        <v>0</v>
      </c>
      <c r="AR117">
        <v>0</v>
      </c>
      <c r="AS117">
        <v>3738674031.3622799</v>
      </c>
    </row>
    <row r="118" spans="2:45" ht="15.75" hidden="1" thickBot="1" x14ac:dyDescent="0.3">
      <c r="B118" s="15" t="str" cm="1">
        <f t="array" ref="B118">INDEX(_xlfn.TEXTSPLIT($J118,"/"),3)</f>
        <v>Hsp&amp;0&amp;cPVVE&amp;Ex&amp;Chiller__PumpCtrl</v>
      </c>
      <c r="C118" s="33" t="str" cm="1">
        <f t="array" ref="C118">INDEX(_xlfn.TEXTSPLIT($J118,"/"),2)</f>
        <v>CZ16</v>
      </c>
      <c r="D118" s="34">
        <f>$G$3*H118</f>
        <v>144.34892849999997</v>
      </c>
      <c r="F118" t="str" cm="1">
        <f t="array" ref="F118">INDEX(_xlfn.TEXTSPLIT($J118,"/"),4)</f>
        <v>NE-Chiller-CHWPumpCtrl-Full-Msr</v>
      </c>
      <c r="G118">
        <f>$P118</f>
        <v>0.20724899999999999</v>
      </c>
      <c r="H118">
        <f>$G$4*G118</f>
        <v>206.21275499999999</v>
      </c>
      <c r="J118" t="s">
        <v>72</v>
      </c>
      <c r="K118" t="s">
        <v>26</v>
      </c>
      <c r="M118">
        <v>39709.5</v>
      </c>
      <c r="N118">
        <v>13909.61</v>
      </c>
      <c r="P118">
        <v>0.20724899999999999</v>
      </c>
      <c r="Q118">
        <v>0</v>
      </c>
      <c r="R118">
        <v>1278898.54</v>
      </c>
      <c r="S118">
        <v>857863.39</v>
      </c>
      <c r="T118">
        <v>0</v>
      </c>
      <c r="U118">
        <v>1141299.43</v>
      </c>
      <c r="V118">
        <v>0</v>
      </c>
      <c r="W118">
        <v>791718.12</v>
      </c>
      <c r="X118">
        <v>371625.91</v>
      </c>
      <c r="Y118">
        <v>261948.75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1739640.58</v>
      </c>
      <c r="AF118">
        <v>0</v>
      </c>
      <c r="AG118">
        <v>0</v>
      </c>
      <c r="AH118">
        <v>0</v>
      </c>
      <c r="AI118">
        <v>43737.51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270719.35999999999</v>
      </c>
      <c r="AQ118">
        <v>0</v>
      </c>
      <c r="AR118">
        <v>0</v>
      </c>
      <c r="AS118">
        <v>2550418303.8057399</v>
      </c>
    </row>
    <row r="119" spans="2:45" ht="15.75" hidden="1" thickBot="1" x14ac:dyDescent="0.3">
      <c r="B119" s="15" t="str" cm="1">
        <f t="array" ref="B119">INDEX(_xlfn.TEXTSPLIT($J119,"/"),3)</f>
        <v>Hsp&amp;0&amp;cPVVE&amp;New&amp;Chiller__PumpCtrl</v>
      </c>
      <c r="C119" s="33" t="str" cm="1">
        <f t="array" ref="C119">INDEX(_xlfn.TEXTSPLIT($J119,"/"),2)</f>
        <v>CZ01</v>
      </c>
      <c r="D119" s="34">
        <f>$G$3*H119</f>
        <v>99.575818999999996</v>
      </c>
      <c r="F119" t="str" cm="1">
        <f t="array" ref="F119">INDEX(_xlfn.TEXTSPLIT($J119,"/"),4)</f>
        <v>NE-Chiller-CHWPumpCtrl-Full-Msr</v>
      </c>
      <c r="G119">
        <f>$P119</f>
        <v>0.14296600000000001</v>
      </c>
      <c r="H119">
        <f>$G$4*G119</f>
        <v>142.25117</v>
      </c>
      <c r="J119" t="s">
        <v>567</v>
      </c>
      <c r="K119" t="s">
        <v>11</v>
      </c>
      <c r="M119">
        <v>27392.65</v>
      </c>
      <c r="N119">
        <v>9595.2099999999991</v>
      </c>
      <c r="P119">
        <v>0.14296600000000001</v>
      </c>
      <c r="Q119">
        <v>0</v>
      </c>
      <c r="R119">
        <v>123525.88</v>
      </c>
      <c r="S119">
        <v>626942.71</v>
      </c>
      <c r="T119">
        <v>0</v>
      </c>
      <c r="U119">
        <v>1141299.43</v>
      </c>
      <c r="V119">
        <v>0</v>
      </c>
      <c r="W119">
        <v>177911.36</v>
      </c>
      <c r="X119">
        <v>221148.01</v>
      </c>
      <c r="Y119">
        <v>241600.12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364745.25</v>
      </c>
      <c r="AF119">
        <v>0</v>
      </c>
      <c r="AG119">
        <v>0</v>
      </c>
      <c r="AH119">
        <v>0</v>
      </c>
      <c r="AI119">
        <v>43737.51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299628.45</v>
      </c>
      <c r="AQ119">
        <v>0</v>
      </c>
      <c r="AR119">
        <v>0</v>
      </c>
      <c r="AS119">
        <v>1504516782.4800301</v>
      </c>
    </row>
    <row r="120" spans="2:45" ht="15.75" hidden="1" thickBot="1" x14ac:dyDescent="0.3">
      <c r="B120" s="15" t="str" cm="1">
        <f t="array" ref="B120">INDEX(_xlfn.TEXTSPLIT($J120,"/"),3)</f>
        <v>Hsp&amp;0&amp;cPVVE&amp;New&amp;Chiller__PumpCtrl</v>
      </c>
      <c r="C120" s="33" t="str" cm="1">
        <f t="array" ref="C120">INDEX(_xlfn.TEXTSPLIT($J120,"/"),2)</f>
        <v>CZ02</v>
      </c>
      <c r="D120" s="34">
        <f>$G$3*H120</f>
        <v>133.99336649999998</v>
      </c>
      <c r="F120" t="str" cm="1">
        <f t="array" ref="F120">INDEX(_xlfn.TEXTSPLIT($J120,"/"),4)</f>
        <v>NE-Chiller-CHWPumpCtrl-Full-Msr</v>
      </c>
      <c r="G120">
        <f>$P120</f>
        <v>0.192381</v>
      </c>
      <c r="H120">
        <f>$G$4*G120</f>
        <v>191.419095</v>
      </c>
      <c r="J120" t="s">
        <v>551</v>
      </c>
      <c r="K120" t="s">
        <v>12</v>
      </c>
      <c r="M120">
        <v>36860.620000000003</v>
      </c>
      <c r="N120">
        <v>12911.69</v>
      </c>
      <c r="P120">
        <v>0.192381</v>
      </c>
      <c r="Q120">
        <v>0</v>
      </c>
      <c r="R120">
        <v>875583.93</v>
      </c>
      <c r="S120">
        <v>626942.71</v>
      </c>
      <c r="T120">
        <v>0</v>
      </c>
      <c r="U120">
        <v>1141299.43</v>
      </c>
      <c r="V120">
        <v>0</v>
      </c>
      <c r="W120">
        <v>347819.43</v>
      </c>
      <c r="X120">
        <v>316416.14</v>
      </c>
      <c r="Y120">
        <v>313195.78000000003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1115839.71</v>
      </c>
      <c r="AF120">
        <v>0</v>
      </c>
      <c r="AG120">
        <v>0</v>
      </c>
      <c r="AH120">
        <v>0</v>
      </c>
      <c r="AI120">
        <v>43737.51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275268.76</v>
      </c>
      <c r="AQ120">
        <v>0</v>
      </c>
      <c r="AR120">
        <v>0</v>
      </c>
      <c r="AS120">
        <v>2941945669.6187901</v>
      </c>
    </row>
    <row r="121" spans="2:45" ht="15.75" hidden="1" thickBot="1" x14ac:dyDescent="0.3">
      <c r="B121" s="15" t="str" cm="1">
        <f t="array" ref="B121">INDEX(_xlfn.TEXTSPLIT($J121,"/"),3)</f>
        <v>Hsp&amp;0&amp;cPVVE&amp;New&amp;Chiller__PumpCtrl</v>
      </c>
      <c r="C121" s="33" t="str" cm="1">
        <f t="array" ref="C121">INDEX(_xlfn.TEXTSPLIT($J121,"/"),2)</f>
        <v>CZ03</v>
      </c>
      <c r="D121" s="34">
        <f>$G$3*H121</f>
        <v>125.98779549999999</v>
      </c>
      <c r="F121" t="str" cm="1">
        <f t="array" ref="F121">INDEX(_xlfn.TEXTSPLIT($J121,"/"),4)</f>
        <v>NE-Chiller-CHWPumpCtrl-Full-Msr</v>
      </c>
      <c r="G121">
        <f>$P121</f>
        <v>0.18088699999999999</v>
      </c>
      <c r="H121">
        <f>$G$4*G121</f>
        <v>179.98256499999999</v>
      </c>
      <c r="J121" t="s">
        <v>535</v>
      </c>
      <c r="K121" t="s">
        <v>13</v>
      </c>
      <c r="M121">
        <v>34658.36</v>
      </c>
      <c r="N121">
        <v>12140.27</v>
      </c>
      <c r="P121">
        <v>0.18088699999999999</v>
      </c>
      <c r="Q121">
        <v>0</v>
      </c>
      <c r="R121">
        <v>577027.05000000005</v>
      </c>
      <c r="S121">
        <v>626942.71</v>
      </c>
      <c r="T121">
        <v>0</v>
      </c>
      <c r="U121">
        <v>1141299.43</v>
      </c>
      <c r="V121">
        <v>0</v>
      </c>
      <c r="W121">
        <v>252659.74</v>
      </c>
      <c r="X121">
        <v>289860.89</v>
      </c>
      <c r="Y121">
        <v>310107.94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662914.57999999996</v>
      </c>
      <c r="AF121">
        <v>0</v>
      </c>
      <c r="AG121">
        <v>0</v>
      </c>
      <c r="AH121">
        <v>0</v>
      </c>
      <c r="AI121">
        <v>43737.51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274233.02</v>
      </c>
      <c r="AQ121">
        <v>0</v>
      </c>
      <c r="AR121">
        <v>0</v>
      </c>
      <c r="AS121">
        <v>2535393920.8281398</v>
      </c>
    </row>
    <row r="122" spans="2:45" ht="15.75" hidden="1" thickBot="1" x14ac:dyDescent="0.3">
      <c r="B122" s="15" t="str" cm="1">
        <f t="array" ref="B122">INDEX(_xlfn.TEXTSPLIT($J122,"/"),3)</f>
        <v>Hsp&amp;0&amp;cPVVE&amp;New&amp;Chiller__PumpCtrl</v>
      </c>
      <c r="C122" s="33" t="str" cm="1">
        <f t="array" ref="C122">INDEX(_xlfn.TEXTSPLIT($J122,"/"),2)</f>
        <v>CZ04</v>
      </c>
      <c r="D122" s="34">
        <f>$G$3*H122</f>
        <v>135.60994299999999</v>
      </c>
      <c r="F122" t="str" cm="1">
        <f t="array" ref="F122">INDEX(_xlfn.TEXTSPLIT($J122,"/"),4)</f>
        <v>NE-Chiller-CHWPumpCtrl-Full-Msr</v>
      </c>
      <c r="G122">
        <f>$P122</f>
        <v>0.19470199999999999</v>
      </c>
      <c r="H122">
        <f>$G$4*G122</f>
        <v>193.72848999999999</v>
      </c>
      <c r="J122" t="s">
        <v>520</v>
      </c>
      <c r="K122" t="s">
        <v>14</v>
      </c>
      <c r="M122">
        <v>37305.379999999997</v>
      </c>
      <c r="N122">
        <v>13067.48</v>
      </c>
      <c r="P122">
        <v>0.19470199999999999</v>
      </c>
      <c r="Q122">
        <v>0</v>
      </c>
      <c r="R122">
        <v>970955.69</v>
      </c>
      <c r="S122">
        <v>626942.71</v>
      </c>
      <c r="T122">
        <v>0</v>
      </c>
      <c r="U122">
        <v>1141299.43</v>
      </c>
      <c r="V122">
        <v>0</v>
      </c>
      <c r="W122">
        <v>356921.38</v>
      </c>
      <c r="X122">
        <v>322956.28000000003</v>
      </c>
      <c r="Y122">
        <v>338359.79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899599.31</v>
      </c>
      <c r="AF122">
        <v>0</v>
      </c>
      <c r="AG122">
        <v>0</v>
      </c>
      <c r="AH122">
        <v>0</v>
      </c>
      <c r="AI122">
        <v>43737.51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264811.12</v>
      </c>
      <c r="AQ122">
        <v>0</v>
      </c>
      <c r="AR122">
        <v>0</v>
      </c>
      <c r="AS122">
        <v>2809295009.7630301</v>
      </c>
    </row>
    <row r="123" spans="2:45" ht="15.75" hidden="1" thickBot="1" x14ac:dyDescent="0.3">
      <c r="B123" s="15" t="str" cm="1">
        <f t="array" ref="B123">INDEX(_xlfn.TEXTSPLIT($J123,"/"),3)</f>
        <v>Hsp&amp;0&amp;cPVVE&amp;New&amp;Chiller__PumpCtrl</v>
      </c>
      <c r="C123" s="33" t="str" cm="1">
        <f t="array" ref="C123">INDEX(_xlfn.TEXTSPLIT($J123,"/"),2)</f>
        <v>CZ05</v>
      </c>
      <c r="D123" s="34">
        <f>$G$3*H123</f>
        <v>120.50076849999999</v>
      </c>
      <c r="F123" t="str" cm="1">
        <f t="array" ref="F123">INDEX(_xlfn.TEXTSPLIT($J123,"/"),4)</f>
        <v>NE-Chiller-CHWPumpCtrl-Full-Msr</v>
      </c>
      <c r="G123">
        <f>$P123</f>
        <v>0.173009</v>
      </c>
      <c r="H123">
        <f>$G$4*G123</f>
        <v>172.14395500000001</v>
      </c>
      <c r="J123" t="s">
        <v>503</v>
      </c>
      <c r="K123" t="s">
        <v>15</v>
      </c>
      <c r="M123">
        <v>33148.99</v>
      </c>
      <c r="N123">
        <v>11611.56</v>
      </c>
      <c r="P123">
        <v>0.173009</v>
      </c>
      <c r="Q123">
        <v>0</v>
      </c>
      <c r="R123">
        <v>670992.52</v>
      </c>
      <c r="S123">
        <v>626942.71</v>
      </c>
      <c r="T123">
        <v>0</v>
      </c>
      <c r="U123">
        <v>1141299.43</v>
      </c>
      <c r="V123">
        <v>0</v>
      </c>
      <c r="W123">
        <v>292060.45</v>
      </c>
      <c r="X123">
        <v>282426.78999999998</v>
      </c>
      <c r="Y123">
        <v>290843.08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727484.56</v>
      </c>
      <c r="AF123">
        <v>0</v>
      </c>
      <c r="AG123">
        <v>0</v>
      </c>
      <c r="AH123">
        <v>0</v>
      </c>
      <c r="AI123">
        <v>43737.51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274247.21000000002</v>
      </c>
      <c r="AQ123">
        <v>0</v>
      </c>
      <c r="AR123">
        <v>0</v>
      </c>
      <c r="AS123">
        <v>1915116813.91974</v>
      </c>
    </row>
    <row r="124" spans="2:45" ht="15.75" hidden="1" thickBot="1" x14ac:dyDescent="0.3">
      <c r="B124" s="15" t="str" cm="1">
        <f t="array" ref="B124">INDEX(_xlfn.TEXTSPLIT($J124,"/"),3)</f>
        <v>Hsp&amp;0&amp;cPVVE&amp;New&amp;Chiller__PumpCtrl</v>
      </c>
      <c r="C124" s="33" t="str" cm="1">
        <f t="array" ref="C124">INDEX(_xlfn.TEXTSPLIT($J124,"/"),2)</f>
        <v>CZ06</v>
      </c>
      <c r="D124" s="34">
        <f>$G$3*H124</f>
        <v>126.4934545</v>
      </c>
      <c r="F124" t="str" cm="1">
        <f t="array" ref="F124">INDEX(_xlfn.TEXTSPLIT($J124,"/"),4)</f>
        <v>NE-Chiller-CHWPumpCtrl-Full-Msr</v>
      </c>
      <c r="G124">
        <f>$P124</f>
        <v>0.181613</v>
      </c>
      <c r="H124">
        <f>$G$4*G124</f>
        <v>180.70493500000001</v>
      </c>
      <c r="J124" t="s">
        <v>488</v>
      </c>
      <c r="K124" t="s">
        <v>16</v>
      </c>
      <c r="M124">
        <v>34797.47</v>
      </c>
      <c r="N124">
        <v>12189</v>
      </c>
      <c r="P124">
        <v>0.181613</v>
      </c>
      <c r="Q124">
        <v>0</v>
      </c>
      <c r="R124">
        <v>1164190.02</v>
      </c>
      <c r="S124">
        <v>626942.71</v>
      </c>
      <c r="T124">
        <v>0</v>
      </c>
      <c r="U124">
        <v>1141299.43</v>
      </c>
      <c r="V124">
        <v>0</v>
      </c>
      <c r="W124">
        <v>311977.5</v>
      </c>
      <c r="X124">
        <v>321346.03000000003</v>
      </c>
      <c r="Y124">
        <v>346584.44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452388.56</v>
      </c>
      <c r="AF124">
        <v>0</v>
      </c>
      <c r="AG124">
        <v>0</v>
      </c>
      <c r="AH124">
        <v>0</v>
      </c>
      <c r="AI124">
        <v>43737.51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252627.01</v>
      </c>
      <c r="AQ124">
        <v>0</v>
      </c>
      <c r="AR124">
        <v>0</v>
      </c>
      <c r="AS124">
        <v>1985429853.5288401</v>
      </c>
    </row>
    <row r="125" spans="2:45" ht="15.75" hidden="1" thickBot="1" x14ac:dyDescent="0.3">
      <c r="B125" s="15" t="str" cm="1">
        <f t="array" ref="B125">INDEX(_xlfn.TEXTSPLIT($J125,"/"),3)</f>
        <v>Hsp&amp;0&amp;cPVVE&amp;New&amp;Chiller__PumpCtrl</v>
      </c>
      <c r="C125" s="33" t="str" cm="1">
        <f t="array" ref="C125">INDEX(_xlfn.TEXTSPLIT($J125,"/"),2)</f>
        <v>CZ07</v>
      </c>
      <c r="D125" s="34">
        <f>$G$3*H125</f>
        <v>128.7501145</v>
      </c>
      <c r="F125" t="str" cm="1">
        <f t="array" ref="F125">INDEX(_xlfn.TEXTSPLIT($J125,"/"),4)</f>
        <v>NE-Chiller-CHWPumpCtrl-Full-Msr</v>
      </c>
      <c r="G125">
        <f>$P125</f>
        <v>0.18485299999999999</v>
      </c>
      <c r="H125">
        <f>$G$4*G125</f>
        <v>183.92873499999999</v>
      </c>
      <c r="J125" t="s">
        <v>474</v>
      </c>
      <c r="K125" t="s">
        <v>17</v>
      </c>
      <c r="M125">
        <v>35418.39</v>
      </c>
      <c r="N125">
        <v>12406.5</v>
      </c>
      <c r="P125">
        <v>0.18485299999999999</v>
      </c>
      <c r="Q125">
        <v>0</v>
      </c>
      <c r="R125">
        <v>1293210.1499999999</v>
      </c>
      <c r="S125">
        <v>626942.71</v>
      </c>
      <c r="T125">
        <v>0</v>
      </c>
      <c r="U125">
        <v>1141299.43</v>
      </c>
      <c r="V125">
        <v>0</v>
      </c>
      <c r="W125">
        <v>357875.83</v>
      </c>
      <c r="X125">
        <v>331783.2</v>
      </c>
      <c r="Y125">
        <v>357002.19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595727.02</v>
      </c>
      <c r="AF125">
        <v>0</v>
      </c>
      <c r="AG125">
        <v>0</v>
      </c>
      <c r="AH125">
        <v>0</v>
      </c>
      <c r="AI125">
        <v>43737.51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249462.94</v>
      </c>
      <c r="AQ125">
        <v>0</v>
      </c>
      <c r="AR125">
        <v>0</v>
      </c>
      <c r="AS125">
        <v>2223522566.7562799</v>
      </c>
    </row>
    <row r="126" spans="2:45" ht="15.75" hidden="1" thickBot="1" x14ac:dyDescent="0.3">
      <c r="B126" s="15" t="str" cm="1">
        <f t="array" ref="B126">INDEX(_xlfn.TEXTSPLIT($J126,"/"),3)</f>
        <v>Hsp&amp;0&amp;cPVVE&amp;New&amp;Chiller__PumpCtrl</v>
      </c>
      <c r="C126" s="33" t="str" cm="1">
        <f t="array" ref="C126">INDEX(_xlfn.TEXTSPLIT($J126,"/"),2)</f>
        <v>CZ08</v>
      </c>
      <c r="D126" s="34">
        <f>$G$3*H126</f>
        <v>137.92232300000001</v>
      </c>
      <c r="F126" t="str" cm="1">
        <f t="array" ref="F126">INDEX(_xlfn.TEXTSPLIT($J126,"/"),4)</f>
        <v>NE-Chiller-CHWPumpCtrl-Full-Msr</v>
      </c>
      <c r="G126">
        <f>$P126</f>
        <v>0.198022</v>
      </c>
      <c r="H126">
        <f>$G$4*G126</f>
        <v>197.03189</v>
      </c>
      <c r="J126" t="s">
        <v>457</v>
      </c>
      <c r="K126" t="s">
        <v>18</v>
      </c>
      <c r="M126">
        <v>37941.440000000002</v>
      </c>
      <c r="N126">
        <v>13290.28</v>
      </c>
      <c r="P126">
        <v>0.198022</v>
      </c>
      <c r="Q126">
        <v>0</v>
      </c>
      <c r="R126">
        <v>1428624.84</v>
      </c>
      <c r="S126">
        <v>626942.71</v>
      </c>
      <c r="T126">
        <v>0</v>
      </c>
      <c r="U126">
        <v>1141299.43</v>
      </c>
      <c r="V126">
        <v>0</v>
      </c>
      <c r="W126">
        <v>413441.62</v>
      </c>
      <c r="X126">
        <v>348137.51</v>
      </c>
      <c r="Y126">
        <v>366993.71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822066.73</v>
      </c>
      <c r="AF126">
        <v>0</v>
      </c>
      <c r="AG126">
        <v>0</v>
      </c>
      <c r="AH126">
        <v>0</v>
      </c>
      <c r="AI126">
        <v>43737.51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249023.56</v>
      </c>
      <c r="AQ126">
        <v>0</v>
      </c>
      <c r="AR126">
        <v>0</v>
      </c>
      <c r="AS126">
        <v>2090878178.2072501</v>
      </c>
    </row>
    <row r="127" spans="2:45" ht="15.75" hidden="1" thickBot="1" x14ac:dyDescent="0.3">
      <c r="B127" s="15" t="str" cm="1">
        <f t="array" ref="B127">INDEX(_xlfn.TEXTSPLIT($J127,"/"),3)</f>
        <v>Hsp&amp;0&amp;cPVVE&amp;New&amp;Chiller__PumpCtrl</v>
      </c>
      <c r="C127" s="33" t="str" cm="1">
        <f t="array" ref="C127">INDEX(_xlfn.TEXTSPLIT($J127,"/"),2)</f>
        <v>CZ09</v>
      </c>
      <c r="D127" s="34">
        <f>$G$3*H127</f>
        <v>141.18263949999999</v>
      </c>
      <c r="F127" t="str" cm="1">
        <f t="array" ref="F127">INDEX(_xlfn.TEXTSPLIT($J127,"/"),4)</f>
        <v>NE-Chiller-CHWPumpCtrl-Full-Msr</v>
      </c>
      <c r="G127">
        <f>$P127</f>
        <v>0.20270299999999999</v>
      </c>
      <c r="H127">
        <f>$G$4*G127</f>
        <v>201.68948499999999</v>
      </c>
      <c r="J127" t="s">
        <v>440</v>
      </c>
      <c r="K127" t="s">
        <v>19</v>
      </c>
      <c r="M127">
        <v>38838.339999999997</v>
      </c>
      <c r="N127">
        <v>13604.45</v>
      </c>
      <c r="P127">
        <v>0.20270299999999999</v>
      </c>
      <c r="Q127">
        <v>0</v>
      </c>
      <c r="R127">
        <v>1599119.21</v>
      </c>
      <c r="S127">
        <v>626942.71</v>
      </c>
      <c r="T127">
        <v>0</v>
      </c>
      <c r="U127">
        <v>1141299.43</v>
      </c>
      <c r="V127">
        <v>0</v>
      </c>
      <c r="W127">
        <v>457907.92</v>
      </c>
      <c r="X127">
        <v>360838.13</v>
      </c>
      <c r="Y127">
        <v>381872.77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945496.96</v>
      </c>
      <c r="AF127">
        <v>0</v>
      </c>
      <c r="AG127">
        <v>0</v>
      </c>
      <c r="AH127">
        <v>0</v>
      </c>
      <c r="AI127">
        <v>43737.51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245612.32</v>
      </c>
      <c r="AQ127">
        <v>0</v>
      </c>
      <c r="AR127">
        <v>0</v>
      </c>
      <c r="AS127">
        <v>2130779752.15271</v>
      </c>
    </row>
    <row r="128" spans="2:45" ht="15.75" hidden="1" thickBot="1" x14ac:dyDescent="0.3">
      <c r="B128" s="15" t="str" cm="1">
        <f t="array" ref="B128">INDEX(_xlfn.TEXTSPLIT($J128,"/"),3)</f>
        <v>Hsp&amp;0&amp;cPVVE&amp;New&amp;Chiller__PumpCtrl</v>
      </c>
      <c r="C128" s="33" t="str" cm="1">
        <f t="array" ref="C128">INDEX(_xlfn.TEXTSPLIT($J128,"/"),2)</f>
        <v>CZ10</v>
      </c>
      <c r="D128" s="34">
        <f>$G$3*H128</f>
        <v>149.12552549999998</v>
      </c>
      <c r="F128" t="str" cm="1">
        <f t="array" ref="F128">INDEX(_xlfn.TEXTSPLIT($J128,"/"),4)</f>
        <v>NE-Chiller-CHWPumpCtrl-Full-Msr</v>
      </c>
      <c r="G128">
        <f>$P128</f>
        <v>0.21410699999999999</v>
      </c>
      <c r="H128">
        <f>$G$4*G128</f>
        <v>213.03646499999999</v>
      </c>
      <c r="J128" t="s">
        <v>423</v>
      </c>
      <c r="K128" t="s">
        <v>20</v>
      </c>
      <c r="M128">
        <v>41023.43</v>
      </c>
      <c r="N128">
        <v>14369.85</v>
      </c>
      <c r="P128">
        <v>0.21410699999999999</v>
      </c>
      <c r="Q128">
        <v>0</v>
      </c>
      <c r="R128">
        <v>1609477.57</v>
      </c>
      <c r="S128">
        <v>626942.71</v>
      </c>
      <c r="T128">
        <v>0</v>
      </c>
      <c r="U128">
        <v>1141299.43</v>
      </c>
      <c r="V128">
        <v>0</v>
      </c>
      <c r="W128">
        <v>520747.42</v>
      </c>
      <c r="X128">
        <v>375416.78</v>
      </c>
      <c r="Y128">
        <v>379587.47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1290210.83</v>
      </c>
      <c r="AF128">
        <v>0</v>
      </c>
      <c r="AG128">
        <v>0</v>
      </c>
      <c r="AH128">
        <v>0</v>
      </c>
      <c r="AI128">
        <v>43737.51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243569.08</v>
      </c>
      <c r="AQ128">
        <v>0</v>
      </c>
      <c r="AR128">
        <v>0</v>
      </c>
      <c r="AS128">
        <v>3104764587.19484</v>
      </c>
    </row>
    <row r="129" spans="2:45" ht="15.75" hidden="1" thickBot="1" x14ac:dyDescent="0.3">
      <c r="B129" s="15" t="str" cm="1">
        <f t="array" ref="B129">INDEX(_xlfn.TEXTSPLIT($J129,"/"),3)</f>
        <v>Hsp&amp;0&amp;cPVVE&amp;New&amp;Chiller__PumpCtrl</v>
      </c>
      <c r="C129" s="33" t="str" cm="1">
        <f t="array" ref="C129">INDEX(_xlfn.TEXTSPLIT($J129,"/"),2)</f>
        <v>CZ11</v>
      </c>
      <c r="D129" s="34">
        <f>$G$3*H129</f>
        <v>129.66601199999999</v>
      </c>
      <c r="F129" t="str" cm="1">
        <f t="array" ref="F129">INDEX(_xlfn.TEXTSPLIT($J129,"/"),4)</f>
        <v>NE-Chiller-CHWPumpCtrl-Full-Msr</v>
      </c>
      <c r="G129">
        <f>$P129</f>
        <v>0.186168</v>
      </c>
      <c r="H129">
        <f>$G$4*G129</f>
        <v>185.23715999999999</v>
      </c>
      <c r="J129" t="s">
        <v>408</v>
      </c>
      <c r="K129" t="s">
        <v>21</v>
      </c>
      <c r="M129">
        <v>35670.199999999997</v>
      </c>
      <c r="N129">
        <v>12494.7</v>
      </c>
      <c r="P129">
        <v>0.186168</v>
      </c>
      <c r="Q129">
        <v>0</v>
      </c>
      <c r="R129">
        <v>1323652.49</v>
      </c>
      <c r="S129">
        <v>626942.71</v>
      </c>
      <c r="T129">
        <v>0</v>
      </c>
      <c r="U129">
        <v>1141299.43</v>
      </c>
      <c r="V129">
        <v>0</v>
      </c>
      <c r="W129">
        <v>449128.57</v>
      </c>
      <c r="X129">
        <v>326738.43</v>
      </c>
      <c r="Y129">
        <v>323197.55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886898.87</v>
      </c>
      <c r="AF129">
        <v>0</v>
      </c>
      <c r="AG129">
        <v>0</v>
      </c>
      <c r="AH129">
        <v>0</v>
      </c>
      <c r="AI129">
        <v>43737.51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249122.35</v>
      </c>
      <c r="AQ129">
        <v>0</v>
      </c>
      <c r="AR129">
        <v>0</v>
      </c>
      <c r="AS129">
        <v>2785676708.1263399</v>
      </c>
    </row>
    <row r="130" spans="2:45" ht="15.75" hidden="1" thickBot="1" x14ac:dyDescent="0.3">
      <c r="B130" s="15" t="str" cm="1">
        <f t="array" ref="B130">INDEX(_xlfn.TEXTSPLIT($J130,"/"),3)</f>
        <v>Hsp&amp;0&amp;cPVVE&amp;New&amp;Chiller__PumpCtrl</v>
      </c>
      <c r="C130" s="33" t="str" cm="1">
        <f t="array" ref="C130">INDEX(_xlfn.TEXTSPLIT($J130,"/"),2)</f>
        <v>CZ12</v>
      </c>
      <c r="D130" s="34">
        <f>$G$3*H130</f>
        <v>130.274753</v>
      </c>
      <c r="F130" t="str" cm="1">
        <f t="array" ref="F130">INDEX(_xlfn.TEXTSPLIT($J130,"/"),4)</f>
        <v>NE-Chiller-CHWPumpCtrl-Full-Msr</v>
      </c>
      <c r="G130">
        <f>$P130</f>
        <v>0.18704200000000001</v>
      </c>
      <c r="H130">
        <f>$G$4*G130</f>
        <v>186.10679000000002</v>
      </c>
      <c r="J130" t="s">
        <v>391</v>
      </c>
      <c r="K130" t="s">
        <v>22</v>
      </c>
      <c r="M130">
        <v>35837.67</v>
      </c>
      <c r="N130">
        <v>12553.37</v>
      </c>
      <c r="P130">
        <v>0.18704200000000001</v>
      </c>
      <c r="Q130">
        <v>0</v>
      </c>
      <c r="R130">
        <v>1264847.8899999999</v>
      </c>
      <c r="S130">
        <v>626942.71</v>
      </c>
      <c r="T130">
        <v>0</v>
      </c>
      <c r="U130">
        <v>1141299.43</v>
      </c>
      <c r="V130">
        <v>0</v>
      </c>
      <c r="W130">
        <v>417795.99</v>
      </c>
      <c r="X130">
        <v>323315.34000000003</v>
      </c>
      <c r="Y130">
        <v>319727.78999999998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832952.27</v>
      </c>
      <c r="AF130">
        <v>0</v>
      </c>
      <c r="AG130">
        <v>0</v>
      </c>
      <c r="AH130">
        <v>0</v>
      </c>
      <c r="AI130">
        <v>43737.51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256090.49</v>
      </c>
      <c r="AQ130">
        <v>0</v>
      </c>
      <c r="AR130">
        <v>0</v>
      </c>
      <c r="AS130">
        <v>2907669439.50491</v>
      </c>
    </row>
    <row r="131" spans="2:45" ht="15.75" hidden="1" thickBot="1" x14ac:dyDescent="0.3">
      <c r="B131" s="15" t="str" cm="1">
        <f t="array" ref="B131">INDEX(_xlfn.TEXTSPLIT($J131,"/"),3)</f>
        <v>Hsp&amp;0&amp;cPVVE&amp;New&amp;Chiller__PumpCtrl</v>
      </c>
      <c r="C131" s="33" t="str" cm="1">
        <f t="array" ref="C131">INDEX(_xlfn.TEXTSPLIT($J131,"/"),2)</f>
        <v>CZ13</v>
      </c>
      <c r="D131" s="34">
        <f>$G$3*H131</f>
        <v>133.30661749999999</v>
      </c>
      <c r="F131" t="str" cm="1">
        <f t="array" ref="F131">INDEX(_xlfn.TEXTSPLIT($J131,"/"),4)</f>
        <v>NE-Chiller-CHWPumpCtrl-Full-Msr</v>
      </c>
      <c r="G131">
        <f>$P131</f>
        <v>0.19139500000000001</v>
      </c>
      <c r="H131">
        <f>$G$4*G131</f>
        <v>190.43802500000001</v>
      </c>
      <c r="J131" t="s">
        <v>375</v>
      </c>
      <c r="K131" t="s">
        <v>23</v>
      </c>
      <c r="M131">
        <v>36671.870000000003</v>
      </c>
      <c r="N131">
        <v>12845.57</v>
      </c>
      <c r="P131">
        <v>0.19139500000000001</v>
      </c>
      <c r="Q131">
        <v>0</v>
      </c>
      <c r="R131">
        <v>1505011.84</v>
      </c>
      <c r="S131">
        <v>626942.71</v>
      </c>
      <c r="T131">
        <v>0</v>
      </c>
      <c r="U131">
        <v>1141299.43</v>
      </c>
      <c r="V131">
        <v>0</v>
      </c>
      <c r="W131">
        <v>468143.72</v>
      </c>
      <c r="X131">
        <v>339029.09</v>
      </c>
      <c r="Y131">
        <v>342201.04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877105.94</v>
      </c>
      <c r="AF131">
        <v>0</v>
      </c>
      <c r="AG131">
        <v>0</v>
      </c>
      <c r="AH131">
        <v>0</v>
      </c>
      <c r="AI131">
        <v>43737.51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241875.72</v>
      </c>
      <c r="AQ131">
        <v>0</v>
      </c>
      <c r="AR131">
        <v>0</v>
      </c>
      <c r="AS131">
        <v>2992796422.0636301</v>
      </c>
    </row>
    <row r="132" spans="2:45" ht="15.75" hidden="1" thickBot="1" x14ac:dyDescent="0.3">
      <c r="B132" s="15" t="str" cm="1">
        <f t="array" ref="B132">INDEX(_xlfn.TEXTSPLIT($J132,"/"),3)</f>
        <v>Hsp&amp;0&amp;cPVVE&amp;New&amp;Chiller__PumpCtrl</v>
      </c>
      <c r="C132" s="33" t="str" cm="1">
        <f t="array" ref="C132">INDEX(_xlfn.TEXTSPLIT($J132,"/"),2)</f>
        <v>CZ14</v>
      </c>
      <c r="D132" s="34">
        <f>$G$3*H132</f>
        <v>133.319851</v>
      </c>
      <c r="F132" t="str" cm="1">
        <f t="array" ref="F132">INDEX(_xlfn.TEXTSPLIT($J132,"/"),4)</f>
        <v>NE-Chiller-CHWPumpCtrl-Full-Msr</v>
      </c>
      <c r="G132">
        <f>$P132</f>
        <v>0.191414</v>
      </c>
      <c r="H132">
        <f>$G$4*G132</f>
        <v>190.45693</v>
      </c>
      <c r="J132" t="s">
        <v>359</v>
      </c>
      <c r="K132" t="s">
        <v>24</v>
      </c>
      <c r="M132">
        <v>36675.480000000003</v>
      </c>
      <c r="N132">
        <v>12846.84</v>
      </c>
      <c r="P132">
        <v>0.191414</v>
      </c>
      <c r="Q132">
        <v>0</v>
      </c>
      <c r="R132">
        <v>1464828.52</v>
      </c>
      <c r="S132">
        <v>626942.71</v>
      </c>
      <c r="T132">
        <v>0</v>
      </c>
      <c r="U132">
        <v>1141299.43</v>
      </c>
      <c r="V132">
        <v>0</v>
      </c>
      <c r="W132">
        <v>543318.24</v>
      </c>
      <c r="X132">
        <v>343549.08</v>
      </c>
      <c r="Y132">
        <v>311400.78999999998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992148.83</v>
      </c>
      <c r="AF132">
        <v>0</v>
      </c>
      <c r="AG132">
        <v>0</v>
      </c>
      <c r="AH132">
        <v>0</v>
      </c>
      <c r="AI132">
        <v>43737.51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229425.69</v>
      </c>
      <c r="AQ132">
        <v>0</v>
      </c>
      <c r="AR132">
        <v>0</v>
      </c>
      <c r="AS132">
        <v>2794979850.74335</v>
      </c>
    </row>
    <row r="133" spans="2:45" ht="15.75" hidden="1" thickBot="1" x14ac:dyDescent="0.3">
      <c r="B133" s="15" t="str" cm="1">
        <f t="array" ref="B133">INDEX(_xlfn.TEXTSPLIT($J133,"/"),3)</f>
        <v>Hsp&amp;0&amp;cPVVE&amp;New&amp;Chiller__PumpCtrl</v>
      </c>
      <c r="C133" s="33" t="str" cm="1">
        <f t="array" ref="C133">INDEX(_xlfn.TEXTSPLIT($J133,"/"),2)</f>
        <v>CZ15</v>
      </c>
      <c r="D133" s="34">
        <f>$G$3*H133</f>
        <v>138.03794199999999</v>
      </c>
      <c r="F133" t="str" cm="1">
        <f t="array" ref="F133">INDEX(_xlfn.TEXTSPLIT($J133,"/"),4)</f>
        <v>NE-Chiller-CHWPumpCtrl-Full-Msr</v>
      </c>
      <c r="G133">
        <f>$P133</f>
        <v>0.198188</v>
      </c>
      <c r="H133">
        <f>$G$4*G133</f>
        <v>197.19705999999999</v>
      </c>
      <c r="J133" t="s">
        <v>343</v>
      </c>
      <c r="K133" t="s">
        <v>25</v>
      </c>
      <c r="M133">
        <v>37973.300000000003</v>
      </c>
      <c r="N133">
        <v>13301.44</v>
      </c>
      <c r="P133">
        <v>0.198188</v>
      </c>
      <c r="Q133">
        <v>0</v>
      </c>
      <c r="R133">
        <v>2004178.25</v>
      </c>
      <c r="S133">
        <v>626942.71</v>
      </c>
      <c r="T133">
        <v>0</v>
      </c>
      <c r="U133">
        <v>1141299.43</v>
      </c>
      <c r="V133">
        <v>0</v>
      </c>
      <c r="W133">
        <v>564387.06999999995</v>
      </c>
      <c r="X133">
        <v>360468.93</v>
      </c>
      <c r="Y133">
        <v>365590.39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1089913.95</v>
      </c>
      <c r="AF133">
        <v>0</v>
      </c>
      <c r="AG133">
        <v>0</v>
      </c>
      <c r="AH133">
        <v>0</v>
      </c>
      <c r="AI133">
        <v>43737.51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203695.1</v>
      </c>
      <c r="AQ133">
        <v>0</v>
      </c>
      <c r="AR133">
        <v>0</v>
      </c>
      <c r="AS133">
        <v>2974385555.7600899</v>
      </c>
    </row>
    <row r="134" spans="2:45" ht="15.75" hidden="1" thickBot="1" x14ac:dyDescent="0.3">
      <c r="B134" s="15" t="str" cm="1">
        <f t="array" ref="B134">INDEX(_xlfn.TEXTSPLIT($J134,"/"),3)</f>
        <v>Hsp&amp;0&amp;cPVVE&amp;New&amp;Chiller__PumpCtrl</v>
      </c>
      <c r="C134" s="33" t="str" cm="1">
        <f t="array" ref="C134">INDEX(_xlfn.TEXTSPLIT($J134,"/"),2)</f>
        <v>CZ16</v>
      </c>
      <c r="D134" s="34">
        <f>$G$3*H134</f>
        <v>120.99319399999999</v>
      </c>
      <c r="F134" t="str" cm="1">
        <f t="array" ref="F134">INDEX(_xlfn.TEXTSPLIT($J134,"/"),4)</f>
        <v>NE-Chiller-CHWPumpCtrl-Full-Msr</v>
      </c>
      <c r="G134">
        <f>$P134</f>
        <v>0.17371600000000001</v>
      </c>
      <c r="H134">
        <f>$G$4*G134</f>
        <v>172.84742</v>
      </c>
      <c r="J134" t="s">
        <v>328</v>
      </c>
      <c r="K134" t="s">
        <v>26</v>
      </c>
      <c r="M134">
        <v>33284.370000000003</v>
      </c>
      <c r="N134">
        <v>11658.98</v>
      </c>
      <c r="P134">
        <v>0.17371600000000001</v>
      </c>
      <c r="Q134">
        <v>0</v>
      </c>
      <c r="R134">
        <v>1003986.29</v>
      </c>
      <c r="S134">
        <v>626942.71</v>
      </c>
      <c r="T134">
        <v>0</v>
      </c>
      <c r="U134">
        <v>1141299.43</v>
      </c>
      <c r="V134">
        <v>0</v>
      </c>
      <c r="W134">
        <v>581284.98</v>
      </c>
      <c r="X134">
        <v>308962.59999999998</v>
      </c>
      <c r="Y134">
        <v>214945.37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1178054.49</v>
      </c>
      <c r="AF134">
        <v>0</v>
      </c>
      <c r="AG134">
        <v>0</v>
      </c>
      <c r="AH134">
        <v>0</v>
      </c>
      <c r="AI134">
        <v>43737.51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270731.32</v>
      </c>
      <c r="AQ134">
        <v>0</v>
      </c>
      <c r="AR134">
        <v>0</v>
      </c>
      <c r="AS134">
        <v>2070555987.51105</v>
      </c>
    </row>
    <row r="135" spans="2:45" ht="15.75" hidden="1" thickBot="1" x14ac:dyDescent="0.3">
      <c r="B135" s="15" t="str" cm="1">
        <f t="array" ref="B135">INDEX(_xlfn.TEXTSPLIT($J135,"/"),3)</f>
        <v>Htl&amp;0&amp;cPVVE&amp;Ex&amp;Chiller__PumpCtrl</v>
      </c>
      <c r="C135" s="33" t="str" cm="1">
        <f t="array" ref="C135">INDEX(_xlfn.TEXTSPLIT($J135,"/"),2)</f>
        <v>CZ01</v>
      </c>
      <c r="D135" s="34">
        <f>$G$3*H135</f>
        <v>11.944278500000001</v>
      </c>
      <c r="F135" t="str" cm="1">
        <f t="array" ref="F135">INDEX(_xlfn.TEXTSPLIT($J135,"/"),4)</f>
        <v>NE-Chiller-CHWPumpCtrl-Full-Msr</v>
      </c>
      <c r="G135">
        <f>$P135</f>
        <v>1.7149000000000001E-2</v>
      </c>
      <c r="H135">
        <f>$G$4*G135</f>
        <v>17.063255000000002</v>
      </c>
      <c r="J135" t="s">
        <v>605</v>
      </c>
      <c r="K135" t="s">
        <v>11</v>
      </c>
      <c r="M135">
        <v>3285.83</v>
      </c>
      <c r="N135">
        <v>1150.97</v>
      </c>
      <c r="P135">
        <v>1.7149000000000001E-2</v>
      </c>
      <c r="Q135">
        <v>0</v>
      </c>
      <c r="R135">
        <v>26206.43</v>
      </c>
      <c r="S135">
        <v>125722.95</v>
      </c>
      <c r="T135">
        <v>0</v>
      </c>
      <c r="U135">
        <v>179632.92</v>
      </c>
      <c r="V135">
        <v>0</v>
      </c>
      <c r="W135">
        <v>39907.85</v>
      </c>
      <c r="X135">
        <v>3207.07</v>
      </c>
      <c r="Y135">
        <v>3108.51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101686.59</v>
      </c>
      <c r="AF135">
        <v>0</v>
      </c>
      <c r="AG135">
        <v>0</v>
      </c>
      <c r="AH135">
        <v>0</v>
      </c>
      <c r="AI135">
        <v>25988.9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12884.56</v>
      </c>
      <c r="AQ135">
        <v>0</v>
      </c>
      <c r="AR135">
        <v>0</v>
      </c>
      <c r="AS135">
        <v>362453458.743792</v>
      </c>
    </row>
    <row r="136" spans="2:45" ht="15.75" hidden="1" thickBot="1" x14ac:dyDescent="0.3">
      <c r="B136" s="15" t="str" cm="1">
        <f t="array" ref="B136">INDEX(_xlfn.TEXTSPLIT($J136,"/"),3)</f>
        <v>Htl&amp;0&amp;cPVVE&amp;Ex&amp;Chiller__PumpCtrl</v>
      </c>
      <c r="C136" s="33" t="str" cm="1">
        <f t="array" ref="C136">INDEX(_xlfn.TEXTSPLIT($J136,"/"),2)</f>
        <v>CZ02</v>
      </c>
      <c r="D136" s="34">
        <f>$G$3*H136</f>
        <v>15.960297499999999</v>
      </c>
      <c r="F136" t="str" cm="1">
        <f t="array" ref="F136">INDEX(_xlfn.TEXTSPLIT($J136,"/"),4)</f>
        <v>NE-Chiller-CHWPumpCtrl-Full-Msr</v>
      </c>
      <c r="G136">
        <f>$P136</f>
        <v>2.2915000000000001E-2</v>
      </c>
      <c r="H136">
        <f>$G$4*G136</f>
        <v>22.800425000000001</v>
      </c>
      <c r="J136" t="s">
        <v>603</v>
      </c>
      <c r="K136" t="s">
        <v>12</v>
      </c>
      <c r="M136">
        <v>4390.62</v>
      </c>
      <c r="N136">
        <v>1537.96</v>
      </c>
      <c r="P136">
        <v>2.2915000000000001E-2</v>
      </c>
      <c r="Q136">
        <v>0</v>
      </c>
      <c r="R136">
        <v>122303.96</v>
      </c>
      <c r="S136">
        <v>125722.95</v>
      </c>
      <c r="T136">
        <v>0</v>
      </c>
      <c r="U136">
        <v>179632.92</v>
      </c>
      <c r="V136">
        <v>0</v>
      </c>
      <c r="W136">
        <v>57227.08</v>
      </c>
      <c r="X136">
        <v>17913.810000000001</v>
      </c>
      <c r="Y136">
        <v>18389.04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96024.44</v>
      </c>
      <c r="AF136">
        <v>0</v>
      </c>
      <c r="AG136">
        <v>0</v>
      </c>
      <c r="AH136">
        <v>0</v>
      </c>
      <c r="AI136">
        <v>25988.9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11934.79</v>
      </c>
      <c r="AQ136">
        <v>0</v>
      </c>
      <c r="AR136">
        <v>0</v>
      </c>
      <c r="AS136">
        <v>542117003.11676598</v>
      </c>
    </row>
    <row r="137" spans="2:45" ht="15.75" hidden="1" thickBot="1" x14ac:dyDescent="0.3">
      <c r="B137" s="15" t="str" cm="1">
        <f t="array" ref="B137">INDEX(_xlfn.TEXTSPLIT($J137,"/"),3)</f>
        <v>Htl&amp;0&amp;cPVVE&amp;Ex&amp;Chiller__PumpCtrl</v>
      </c>
      <c r="C137" s="33" t="str" cm="1">
        <f t="array" ref="C137">INDEX(_xlfn.TEXTSPLIT($J137,"/"),2)</f>
        <v>CZ03</v>
      </c>
      <c r="D137" s="34">
        <f>$G$3*H137</f>
        <v>15.026290999999999</v>
      </c>
      <c r="F137" t="str" cm="1">
        <f t="array" ref="F137">INDEX(_xlfn.TEXTSPLIT($J137,"/"),4)</f>
        <v>NE-Chiller-CHWPumpCtrl-Full-Msr</v>
      </c>
      <c r="G137">
        <f>$P137</f>
        <v>2.1573999999999999E-2</v>
      </c>
      <c r="H137">
        <f>$G$4*G137</f>
        <v>21.46613</v>
      </c>
      <c r="J137" t="s">
        <v>602</v>
      </c>
      <c r="K137" t="s">
        <v>13</v>
      </c>
      <c r="M137">
        <v>4133.54</v>
      </c>
      <c r="N137">
        <v>1447.91</v>
      </c>
      <c r="P137">
        <v>2.1573999999999999E-2</v>
      </c>
      <c r="Q137">
        <v>0</v>
      </c>
      <c r="R137">
        <v>103144.33</v>
      </c>
      <c r="S137">
        <v>125722.95</v>
      </c>
      <c r="T137">
        <v>0</v>
      </c>
      <c r="U137">
        <v>179632.92</v>
      </c>
      <c r="V137">
        <v>0</v>
      </c>
      <c r="W137">
        <v>44480.73</v>
      </c>
      <c r="X137">
        <v>16056.21</v>
      </c>
      <c r="Y137">
        <v>17110.04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46215.92</v>
      </c>
      <c r="AF137">
        <v>0</v>
      </c>
      <c r="AG137">
        <v>0</v>
      </c>
      <c r="AH137">
        <v>0</v>
      </c>
      <c r="AI137">
        <v>25988.9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11866.86</v>
      </c>
      <c r="AQ137">
        <v>0</v>
      </c>
      <c r="AR137">
        <v>0</v>
      </c>
      <c r="AS137">
        <v>531150202.15147698</v>
      </c>
    </row>
    <row r="138" spans="2:45" ht="15.75" hidden="1" thickBot="1" x14ac:dyDescent="0.3">
      <c r="B138" s="15" t="str" cm="1">
        <f t="array" ref="B138">INDEX(_xlfn.TEXTSPLIT($J138,"/"),3)</f>
        <v>Htl&amp;0&amp;cPVVE&amp;Ex&amp;Chiller__PumpCtrl</v>
      </c>
      <c r="C138" s="33" t="str" cm="1">
        <f t="array" ref="C138">INDEX(_xlfn.TEXTSPLIT($J138,"/"),2)</f>
        <v>CZ04</v>
      </c>
      <c r="D138" s="34">
        <f>$G$3*H138</f>
        <v>16.183177499999996</v>
      </c>
      <c r="F138" t="str" cm="1">
        <f t="array" ref="F138">INDEX(_xlfn.TEXTSPLIT($J138,"/"),4)</f>
        <v>NE-Chiller-CHWPumpCtrl-Full-Msr</v>
      </c>
      <c r="G138">
        <f>$P138</f>
        <v>2.3234999999999999E-2</v>
      </c>
      <c r="H138">
        <f>$G$4*G138</f>
        <v>23.118824999999998</v>
      </c>
      <c r="J138" t="s">
        <v>599</v>
      </c>
      <c r="K138" t="s">
        <v>14</v>
      </c>
      <c r="M138">
        <v>4451.8500000000004</v>
      </c>
      <c r="N138">
        <v>1559.41</v>
      </c>
      <c r="P138">
        <v>2.3234999999999999E-2</v>
      </c>
      <c r="Q138">
        <v>0</v>
      </c>
      <c r="R138">
        <v>141555.17000000001</v>
      </c>
      <c r="S138">
        <v>125722.95</v>
      </c>
      <c r="T138">
        <v>0</v>
      </c>
      <c r="U138">
        <v>179632.92</v>
      </c>
      <c r="V138">
        <v>0</v>
      </c>
      <c r="W138">
        <v>59874.77</v>
      </c>
      <c r="X138">
        <v>20301.12</v>
      </c>
      <c r="Y138">
        <v>21801.67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67205.600000000006</v>
      </c>
      <c r="AF138">
        <v>0</v>
      </c>
      <c r="AG138">
        <v>0</v>
      </c>
      <c r="AH138">
        <v>0</v>
      </c>
      <c r="AI138">
        <v>25988.9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11507.79</v>
      </c>
      <c r="AQ138">
        <v>0</v>
      </c>
      <c r="AR138">
        <v>0</v>
      </c>
      <c r="AS138">
        <v>587980146.00947201</v>
      </c>
    </row>
    <row r="139" spans="2:45" ht="15.75" hidden="1" thickBot="1" x14ac:dyDescent="0.3">
      <c r="B139" s="15" t="str" cm="1">
        <f t="array" ref="B139">INDEX(_xlfn.TEXTSPLIT($J139,"/"),3)</f>
        <v>Htl&amp;0&amp;cPVVE&amp;Ex&amp;Chiller__PumpCtrl</v>
      </c>
      <c r="C139" s="33" t="str" cm="1">
        <f t="array" ref="C139">INDEX(_xlfn.TEXTSPLIT($J139,"/"),2)</f>
        <v>CZ05</v>
      </c>
      <c r="D139" s="34">
        <f>$G$3*H139</f>
        <v>13.853385000000001</v>
      </c>
      <c r="F139" t="str" cm="1">
        <f t="array" ref="F139">INDEX(_xlfn.TEXTSPLIT($J139,"/"),4)</f>
        <v>NE-Chiller-CHWPumpCtrl-Full-Msr</v>
      </c>
      <c r="G139">
        <f>$P139</f>
        <v>1.9890000000000001E-2</v>
      </c>
      <c r="H139">
        <f>$G$4*G139</f>
        <v>19.790550000000003</v>
      </c>
      <c r="J139" t="s">
        <v>597</v>
      </c>
      <c r="K139" t="s">
        <v>15</v>
      </c>
      <c r="M139">
        <v>3810.92</v>
      </c>
      <c r="N139">
        <v>1334.91</v>
      </c>
      <c r="P139">
        <v>1.9890000000000001E-2</v>
      </c>
      <c r="Q139">
        <v>0</v>
      </c>
      <c r="R139">
        <v>114224.86</v>
      </c>
      <c r="S139">
        <v>125722.95</v>
      </c>
      <c r="T139">
        <v>0</v>
      </c>
      <c r="U139">
        <v>179632.92</v>
      </c>
      <c r="V139">
        <v>0</v>
      </c>
      <c r="W139">
        <v>48142.32</v>
      </c>
      <c r="X139">
        <v>15877.19</v>
      </c>
      <c r="Y139">
        <v>16397.75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43643.69</v>
      </c>
      <c r="AF139">
        <v>0</v>
      </c>
      <c r="AG139">
        <v>0</v>
      </c>
      <c r="AH139">
        <v>0</v>
      </c>
      <c r="AI139">
        <v>25988.9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11806.95</v>
      </c>
      <c r="AQ139">
        <v>0</v>
      </c>
      <c r="AR139">
        <v>0</v>
      </c>
      <c r="AS139">
        <v>433798728.78504598</v>
      </c>
    </row>
    <row r="140" spans="2:45" ht="15.75" hidden="1" thickBot="1" x14ac:dyDescent="0.3">
      <c r="B140" s="15" t="str" cm="1">
        <f t="array" ref="B140">INDEX(_xlfn.TEXTSPLIT($J140,"/"),3)</f>
        <v>Htl&amp;0&amp;cPVVE&amp;Ex&amp;Chiller__PumpCtrl</v>
      </c>
      <c r="C140" s="33" t="str" cm="1">
        <f t="array" ref="C140">INDEX(_xlfn.TEXTSPLIT($J140,"/"),2)</f>
        <v>CZ06</v>
      </c>
      <c r="D140" s="34">
        <f>$G$3*H140</f>
        <v>14.6146595</v>
      </c>
      <c r="F140" t="str" cm="1">
        <f t="array" ref="F140">INDEX(_xlfn.TEXTSPLIT($J140,"/"),4)</f>
        <v>NE-Chiller-CHWPumpCtrl-Full-Msr</v>
      </c>
      <c r="G140">
        <f>$P140</f>
        <v>2.0983000000000002E-2</v>
      </c>
      <c r="H140">
        <f>$G$4*G140</f>
        <v>20.878085000000002</v>
      </c>
      <c r="J140" t="s">
        <v>596</v>
      </c>
      <c r="K140" t="s">
        <v>16</v>
      </c>
      <c r="M140">
        <v>4020.46</v>
      </c>
      <c r="N140">
        <v>1408.3</v>
      </c>
      <c r="P140">
        <v>2.0983000000000002E-2</v>
      </c>
      <c r="Q140">
        <v>0</v>
      </c>
      <c r="R140">
        <v>197292.42</v>
      </c>
      <c r="S140">
        <v>125722.95</v>
      </c>
      <c r="T140">
        <v>0</v>
      </c>
      <c r="U140">
        <v>179632.92</v>
      </c>
      <c r="V140">
        <v>0</v>
      </c>
      <c r="W140">
        <v>59483.54</v>
      </c>
      <c r="X140">
        <v>25211.31</v>
      </c>
      <c r="Y140">
        <v>26715.58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25902.26</v>
      </c>
      <c r="AF140">
        <v>0</v>
      </c>
      <c r="AG140">
        <v>0</v>
      </c>
      <c r="AH140">
        <v>0</v>
      </c>
      <c r="AI140">
        <v>25988.9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10994.82</v>
      </c>
      <c r="AQ140">
        <v>0</v>
      </c>
      <c r="AR140">
        <v>0</v>
      </c>
      <c r="AS140">
        <v>492493199.71034998</v>
      </c>
    </row>
    <row r="141" spans="2:45" ht="15.75" hidden="1" thickBot="1" x14ac:dyDescent="0.3">
      <c r="B141" s="15" t="str" cm="1">
        <f t="array" ref="B141">INDEX(_xlfn.TEXTSPLIT($J141,"/"),3)</f>
        <v>Htl&amp;0&amp;cPVVE&amp;Ex&amp;Chiller__PumpCtrl</v>
      </c>
      <c r="C141" s="33" t="str" cm="1">
        <f t="array" ref="C141">INDEX(_xlfn.TEXTSPLIT($J141,"/"),2)</f>
        <v>CZ07</v>
      </c>
      <c r="D141" s="34">
        <f>$G$3*H141</f>
        <v>14.903706999999999</v>
      </c>
      <c r="F141" t="str" cm="1">
        <f t="array" ref="F141">INDEX(_xlfn.TEXTSPLIT($J141,"/"),4)</f>
        <v>NE-Chiller-CHWPumpCtrl-Full-Msr</v>
      </c>
      <c r="G141">
        <f>$P141</f>
        <v>2.1398E-2</v>
      </c>
      <c r="H141">
        <f>$G$4*G141</f>
        <v>21.29101</v>
      </c>
      <c r="J141" t="s">
        <v>592</v>
      </c>
      <c r="K141" t="s">
        <v>17</v>
      </c>
      <c r="M141">
        <v>4099.97</v>
      </c>
      <c r="N141">
        <v>1436.16</v>
      </c>
      <c r="P141">
        <v>2.1398E-2</v>
      </c>
      <c r="Q141">
        <v>0</v>
      </c>
      <c r="R141">
        <v>222306.07</v>
      </c>
      <c r="S141">
        <v>125722.95</v>
      </c>
      <c r="T141">
        <v>0</v>
      </c>
      <c r="U141">
        <v>179632.92</v>
      </c>
      <c r="V141">
        <v>0</v>
      </c>
      <c r="W141">
        <v>69676.28</v>
      </c>
      <c r="X141">
        <v>27155.73</v>
      </c>
      <c r="Y141">
        <v>28349.66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46536.7</v>
      </c>
      <c r="AF141">
        <v>0</v>
      </c>
      <c r="AG141">
        <v>0</v>
      </c>
      <c r="AH141">
        <v>0</v>
      </c>
      <c r="AI141">
        <v>25988.9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10842.76</v>
      </c>
      <c r="AQ141">
        <v>0</v>
      </c>
      <c r="AR141">
        <v>0</v>
      </c>
      <c r="AS141">
        <v>588197497.18910396</v>
      </c>
    </row>
    <row r="142" spans="2:45" ht="15.75" hidden="1" thickBot="1" x14ac:dyDescent="0.3">
      <c r="B142" s="15" t="str" cm="1">
        <f t="array" ref="B142">INDEX(_xlfn.TEXTSPLIT($J142,"/"),3)</f>
        <v>Htl&amp;0&amp;cPVVE&amp;Ex&amp;Chiller__PumpCtrl</v>
      </c>
      <c r="C142" s="33" t="str" cm="1">
        <f t="array" ref="C142">INDEX(_xlfn.TEXTSPLIT($J142,"/"),2)</f>
        <v>CZ08</v>
      </c>
      <c r="D142" s="34">
        <f>$G$3*H142</f>
        <v>16.351034000000002</v>
      </c>
      <c r="F142" t="str" cm="1">
        <f t="array" ref="F142">INDEX(_xlfn.TEXTSPLIT($J142,"/"),4)</f>
        <v>NE-Chiller-CHWPumpCtrl-Full-Msr</v>
      </c>
      <c r="G142">
        <f>$P142</f>
        <v>2.3476E-2</v>
      </c>
      <c r="H142">
        <f>$G$4*G142</f>
        <v>23.358620000000002</v>
      </c>
      <c r="J142" t="s">
        <v>591</v>
      </c>
      <c r="K142" t="s">
        <v>18</v>
      </c>
      <c r="M142">
        <v>4498.1400000000003</v>
      </c>
      <c r="N142">
        <v>1575.63</v>
      </c>
      <c r="P142">
        <v>2.3476E-2</v>
      </c>
      <c r="Q142">
        <v>0</v>
      </c>
      <c r="R142">
        <v>198907.4</v>
      </c>
      <c r="S142">
        <v>125722.95</v>
      </c>
      <c r="T142">
        <v>0</v>
      </c>
      <c r="U142">
        <v>179632.92</v>
      </c>
      <c r="V142">
        <v>0</v>
      </c>
      <c r="W142">
        <v>71448.89</v>
      </c>
      <c r="X142">
        <v>27360.7</v>
      </c>
      <c r="Y142">
        <v>29705.89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60055.3</v>
      </c>
      <c r="AF142">
        <v>0</v>
      </c>
      <c r="AG142">
        <v>0</v>
      </c>
      <c r="AH142">
        <v>0</v>
      </c>
      <c r="AI142">
        <v>25988.9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10836.58</v>
      </c>
      <c r="AQ142">
        <v>0</v>
      </c>
      <c r="AR142">
        <v>0</v>
      </c>
      <c r="AS142">
        <v>499455111.43771797</v>
      </c>
    </row>
    <row r="143" spans="2:45" ht="15.75" hidden="1" thickBot="1" x14ac:dyDescent="0.3">
      <c r="B143" s="15" t="str" cm="1">
        <f t="array" ref="B143">INDEX(_xlfn.TEXTSPLIT($J143,"/"),3)</f>
        <v>Htl&amp;0&amp;cPVVE&amp;Ex&amp;Chiller__PumpCtrl</v>
      </c>
      <c r="C143" s="33" t="str" cm="1">
        <f t="array" ref="C143">INDEX(_xlfn.TEXTSPLIT($J143,"/"),2)</f>
        <v>CZ09</v>
      </c>
      <c r="D143" s="34">
        <f>$G$3*H143</f>
        <v>16.3851625</v>
      </c>
      <c r="F143" t="str" cm="1">
        <f t="array" ref="F143">INDEX(_xlfn.TEXTSPLIT($J143,"/"),4)</f>
        <v>NE-Chiller-CHWPumpCtrl-Full-Msr</v>
      </c>
      <c r="G143">
        <f>$P143</f>
        <v>2.3525000000000001E-2</v>
      </c>
      <c r="H143">
        <f>$G$4*G143</f>
        <v>23.407375000000002</v>
      </c>
      <c r="J143" t="s">
        <v>588</v>
      </c>
      <c r="K143" t="s">
        <v>19</v>
      </c>
      <c r="M143">
        <v>4507.54</v>
      </c>
      <c r="N143">
        <v>1578.92</v>
      </c>
      <c r="P143">
        <v>2.3525000000000001E-2</v>
      </c>
      <c r="Q143">
        <v>0</v>
      </c>
      <c r="R143">
        <v>260926.97</v>
      </c>
      <c r="S143">
        <v>125722.95</v>
      </c>
      <c r="T143">
        <v>0</v>
      </c>
      <c r="U143">
        <v>179632.92</v>
      </c>
      <c r="V143">
        <v>0</v>
      </c>
      <c r="W143">
        <v>78313.98</v>
      </c>
      <c r="X143">
        <v>29134.82</v>
      </c>
      <c r="Y143">
        <v>30435.93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64643.95</v>
      </c>
      <c r="AF143">
        <v>0</v>
      </c>
      <c r="AG143">
        <v>0</v>
      </c>
      <c r="AH143">
        <v>0</v>
      </c>
      <c r="AI143">
        <v>25988.9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10727.66</v>
      </c>
      <c r="AQ143">
        <v>0</v>
      </c>
      <c r="AR143">
        <v>0</v>
      </c>
      <c r="AS143">
        <v>585631595.65516305</v>
      </c>
    </row>
    <row r="144" spans="2:45" ht="15.75" hidden="1" thickBot="1" x14ac:dyDescent="0.3">
      <c r="B144" s="15" t="str" cm="1">
        <f t="array" ref="B144">INDEX(_xlfn.TEXTSPLIT($J144,"/"),3)</f>
        <v>Htl&amp;0&amp;cPVVE&amp;Ex&amp;Chiller__PumpCtrl</v>
      </c>
      <c r="C144" s="33" t="str" cm="1">
        <f t="array" ref="C144">INDEX(_xlfn.TEXTSPLIT($J144,"/"),2)</f>
        <v>CZ10</v>
      </c>
      <c r="D144" s="34">
        <f>$G$3*H144</f>
        <v>17.854080999999997</v>
      </c>
      <c r="F144" t="str" cm="1">
        <f t="array" ref="F144">INDEX(_xlfn.TEXTSPLIT($J144,"/"),4)</f>
        <v>NE-Chiller-CHWPumpCtrl-Full-Msr</v>
      </c>
      <c r="G144">
        <f>$P144</f>
        <v>2.5634000000000001E-2</v>
      </c>
      <c r="H144">
        <f>$G$4*G144</f>
        <v>25.50583</v>
      </c>
      <c r="J144" t="s">
        <v>589</v>
      </c>
      <c r="K144" t="s">
        <v>20</v>
      </c>
      <c r="M144">
        <v>4911.5600000000004</v>
      </c>
      <c r="N144">
        <v>1720.44</v>
      </c>
      <c r="P144">
        <v>2.5634000000000001E-2</v>
      </c>
      <c r="Q144">
        <v>0</v>
      </c>
      <c r="R144">
        <v>224995.29</v>
      </c>
      <c r="S144">
        <v>125722.95</v>
      </c>
      <c r="T144">
        <v>0</v>
      </c>
      <c r="U144">
        <v>179632.92</v>
      </c>
      <c r="V144">
        <v>0</v>
      </c>
      <c r="W144">
        <v>85986.74</v>
      </c>
      <c r="X144">
        <v>28300.81</v>
      </c>
      <c r="Y144">
        <v>30369.200000000001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99582.21</v>
      </c>
      <c r="AF144">
        <v>0</v>
      </c>
      <c r="AG144">
        <v>0</v>
      </c>
      <c r="AH144">
        <v>0</v>
      </c>
      <c r="AI144">
        <v>25988.9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10564.6</v>
      </c>
      <c r="AQ144">
        <v>0</v>
      </c>
      <c r="AR144">
        <v>0</v>
      </c>
      <c r="AS144">
        <v>611048479.00726604</v>
      </c>
    </row>
    <row r="145" spans="2:45" ht="15.75" hidden="1" thickBot="1" x14ac:dyDescent="0.3">
      <c r="B145" s="15" t="str" cm="1">
        <f t="array" ref="B145">INDEX(_xlfn.TEXTSPLIT($J145,"/"),3)</f>
        <v>Htl&amp;0&amp;cPVVE&amp;Ex&amp;Chiller__PumpCtrl</v>
      </c>
      <c r="C145" s="33" t="str" cm="1">
        <f t="array" ref="C145">INDEX(_xlfn.TEXTSPLIT($J145,"/"),2)</f>
        <v>CZ11</v>
      </c>
      <c r="D145" s="34">
        <f>$G$3*H145</f>
        <v>18.487895999999999</v>
      </c>
      <c r="F145" t="str" cm="1">
        <f t="array" ref="F145">INDEX(_xlfn.TEXTSPLIT($J145,"/"),4)</f>
        <v>NE-Chiller-CHWPumpCtrl-Full-Msr</v>
      </c>
      <c r="G145">
        <f>$P145</f>
        <v>2.6544000000000002E-2</v>
      </c>
      <c r="H145">
        <f>$G$4*G145</f>
        <v>26.411280000000001</v>
      </c>
      <c r="J145" t="s">
        <v>585</v>
      </c>
      <c r="K145" t="s">
        <v>21</v>
      </c>
      <c r="M145">
        <v>5085.88</v>
      </c>
      <c r="N145">
        <v>1781.5</v>
      </c>
      <c r="P145">
        <v>2.6544000000000002E-2</v>
      </c>
      <c r="Q145">
        <v>0</v>
      </c>
      <c r="R145">
        <v>222030.1</v>
      </c>
      <c r="S145">
        <v>125722.95</v>
      </c>
      <c r="T145">
        <v>0</v>
      </c>
      <c r="U145">
        <v>179632.92</v>
      </c>
      <c r="V145">
        <v>0</v>
      </c>
      <c r="W145">
        <v>88119.679999999993</v>
      </c>
      <c r="X145">
        <v>25564.04</v>
      </c>
      <c r="Y145">
        <v>26757.599999999999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151728.78</v>
      </c>
      <c r="AF145">
        <v>0</v>
      </c>
      <c r="AG145">
        <v>0</v>
      </c>
      <c r="AH145">
        <v>0</v>
      </c>
      <c r="AI145">
        <v>25988.9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10785.6</v>
      </c>
      <c r="AQ145">
        <v>0</v>
      </c>
      <c r="AR145">
        <v>0</v>
      </c>
      <c r="AS145">
        <v>698695229.995</v>
      </c>
    </row>
    <row r="146" spans="2:45" ht="15.75" hidden="1" thickBot="1" x14ac:dyDescent="0.3">
      <c r="B146" s="15" t="str" cm="1">
        <f t="array" ref="B146">INDEX(_xlfn.TEXTSPLIT($J146,"/"),3)</f>
        <v>Htl&amp;0&amp;cPVVE&amp;Ex&amp;Chiller__PumpCtrl</v>
      </c>
      <c r="C146" s="33" t="str" cm="1">
        <f t="array" ref="C146">INDEX(_xlfn.TEXTSPLIT($J146,"/"),2)</f>
        <v>CZ12</v>
      </c>
      <c r="D146" s="34">
        <f>$G$3*H146</f>
        <v>17.878458500000001</v>
      </c>
      <c r="F146" t="str" cm="1">
        <f t="array" ref="F146">INDEX(_xlfn.TEXTSPLIT($J146,"/"),4)</f>
        <v>NE-Chiller-CHWPumpCtrl-Full-Msr</v>
      </c>
      <c r="G146">
        <f>$P146</f>
        <v>2.5669000000000001E-2</v>
      </c>
      <c r="H146">
        <f>$G$4*G146</f>
        <v>25.540655000000001</v>
      </c>
      <c r="J146" t="s">
        <v>583</v>
      </c>
      <c r="K146" t="s">
        <v>22</v>
      </c>
      <c r="M146">
        <v>4918.2</v>
      </c>
      <c r="N146">
        <v>1722.77</v>
      </c>
      <c r="P146">
        <v>2.5669000000000001E-2</v>
      </c>
      <c r="Q146">
        <v>0</v>
      </c>
      <c r="R146">
        <v>194155.98</v>
      </c>
      <c r="S146">
        <v>125722.95</v>
      </c>
      <c r="T146">
        <v>0</v>
      </c>
      <c r="U146">
        <v>179632.92</v>
      </c>
      <c r="V146">
        <v>0</v>
      </c>
      <c r="W146">
        <v>76436.92</v>
      </c>
      <c r="X146">
        <v>24463.27</v>
      </c>
      <c r="Y146">
        <v>25535.33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127239.53</v>
      </c>
      <c r="AF146">
        <v>0</v>
      </c>
      <c r="AG146">
        <v>0</v>
      </c>
      <c r="AH146">
        <v>0</v>
      </c>
      <c r="AI146">
        <v>25988.9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11150.86</v>
      </c>
      <c r="AQ146">
        <v>0</v>
      </c>
      <c r="AR146">
        <v>0</v>
      </c>
      <c r="AS146">
        <v>646106244.947914</v>
      </c>
    </row>
    <row r="147" spans="2:45" ht="15.75" hidden="1" thickBot="1" x14ac:dyDescent="0.3">
      <c r="B147" s="15" t="str" cm="1">
        <f t="array" ref="B147">INDEX(_xlfn.TEXTSPLIT($J147,"/"),3)</f>
        <v>Htl&amp;0&amp;cPVVE&amp;Ex&amp;Chiller__PumpCtrl</v>
      </c>
      <c r="C147" s="33" t="str" cm="1">
        <f t="array" ref="C147">INDEX(_xlfn.TEXTSPLIT($J147,"/"),2)</f>
        <v>CZ13</v>
      </c>
      <c r="D147" s="34">
        <f>$G$3*H147</f>
        <v>18.721223499999997</v>
      </c>
      <c r="F147" t="str" cm="1">
        <f t="array" ref="F147">INDEX(_xlfn.TEXTSPLIT($J147,"/"),4)</f>
        <v>NE-Chiller-CHWPumpCtrl-Full-Msr</v>
      </c>
      <c r="G147">
        <f>$P147</f>
        <v>2.6879E-2</v>
      </c>
      <c r="H147">
        <f>$G$4*G147</f>
        <v>26.744605</v>
      </c>
      <c r="J147" t="s">
        <v>582</v>
      </c>
      <c r="K147" t="s">
        <v>23</v>
      </c>
      <c r="M147">
        <v>5150.04</v>
      </c>
      <c r="N147">
        <v>1803.98</v>
      </c>
      <c r="P147">
        <v>2.6879E-2</v>
      </c>
      <c r="Q147">
        <v>0</v>
      </c>
      <c r="R147">
        <v>246553.97</v>
      </c>
      <c r="S147">
        <v>125722.95</v>
      </c>
      <c r="T147">
        <v>0</v>
      </c>
      <c r="U147">
        <v>179632.92</v>
      </c>
      <c r="V147">
        <v>0</v>
      </c>
      <c r="W147">
        <v>89902.25</v>
      </c>
      <c r="X147">
        <v>27404.74</v>
      </c>
      <c r="Y147">
        <v>28954.85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128378.19</v>
      </c>
      <c r="AF147">
        <v>0</v>
      </c>
      <c r="AG147">
        <v>0</v>
      </c>
      <c r="AH147">
        <v>0</v>
      </c>
      <c r="AI147">
        <v>25988.9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10573.56</v>
      </c>
      <c r="AQ147">
        <v>0</v>
      </c>
      <c r="AR147">
        <v>0</v>
      </c>
      <c r="AS147">
        <v>732573305.16424406</v>
      </c>
    </row>
    <row r="148" spans="2:45" ht="15.75" hidden="1" thickBot="1" x14ac:dyDescent="0.3">
      <c r="B148" s="15" t="str" cm="1">
        <f t="array" ref="B148">INDEX(_xlfn.TEXTSPLIT($J148,"/"),3)</f>
        <v>Htl&amp;0&amp;cPVVE&amp;Ex&amp;Chiller__PumpCtrl</v>
      </c>
      <c r="C148" s="33" t="str" cm="1">
        <f t="array" ref="C148">INDEX(_xlfn.TEXTSPLIT($J148,"/"),2)</f>
        <v>CZ14</v>
      </c>
      <c r="D148" s="34">
        <f>$G$3*H148</f>
        <v>18.519934999999997</v>
      </c>
      <c r="F148" t="str" cm="1">
        <f t="array" ref="F148">INDEX(_xlfn.TEXTSPLIT($J148,"/"),4)</f>
        <v>NE-Chiller-CHWPumpCtrl-Full-Msr</v>
      </c>
      <c r="G148">
        <f>$P148</f>
        <v>2.6589999999999999E-2</v>
      </c>
      <c r="H148">
        <f>$G$4*G148</f>
        <v>26.457049999999999</v>
      </c>
      <c r="J148" t="s">
        <v>580</v>
      </c>
      <c r="K148" t="s">
        <v>24</v>
      </c>
      <c r="M148">
        <v>5094.66</v>
      </c>
      <c r="N148">
        <v>1784.58</v>
      </c>
      <c r="P148">
        <v>2.6589999999999999E-2</v>
      </c>
      <c r="Q148">
        <v>0</v>
      </c>
      <c r="R148">
        <v>299614.90999999997</v>
      </c>
      <c r="S148">
        <v>125722.95</v>
      </c>
      <c r="T148">
        <v>0</v>
      </c>
      <c r="U148">
        <v>179632.92</v>
      </c>
      <c r="V148">
        <v>0</v>
      </c>
      <c r="W148">
        <v>102820.75</v>
      </c>
      <c r="X148">
        <v>30463.86</v>
      </c>
      <c r="Y148">
        <v>30826.62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111852.1</v>
      </c>
      <c r="AF148">
        <v>0</v>
      </c>
      <c r="AG148">
        <v>0</v>
      </c>
      <c r="AH148">
        <v>0</v>
      </c>
      <c r="AI148">
        <v>25988.9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10025.379999999999</v>
      </c>
      <c r="AQ148">
        <v>0</v>
      </c>
      <c r="AR148">
        <v>0</v>
      </c>
      <c r="AS148">
        <v>821948522.28135097</v>
      </c>
    </row>
    <row r="149" spans="2:45" ht="15.75" hidden="1" thickBot="1" x14ac:dyDescent="0.3">
      <c r="B149" s="15" t="str" cm="1">
        <f t="array" ref="B149">INDEX(_xlfn.TEXTSPLIT($J149,"/"),3)</f>
        <v>Htl&amp;0&amp;cPVVE&amp;Ex&amp;Chiller__PumpCtrl</v>
      </c>
      <c r="C149" s="33" t="str" cm="1">
        <f t="array" ref="C149">INDEX(_xlfn.TEXTSPLIT($J149,"/"),2)</f>
        <v>CZ15</v>
      </c>
      <c r="D149" s="34">
        <f>$G$3*H149</f>
        <v>19.171858999999998</v>
      </c>
      <c r="F149" t="str" cm="1">
        <f t="array" ref="F149">INDEX(_xlfn.TEXTSPLIT($J149,"/"),4)</f>
        <v>NE-Chiller-CHWPumpCtrl-Full-Msr</v>
      </c>
      <c r="G149">
        <f>$P149</f>
        <v>2.7525999999999998E-2</v>
      </c>
      <c r="H149">
        <f>$G$4*G149</f>
        <v>27.388369999999998</v>
      </c>
      <c r="J149" t="s">
        <v>578</v>
      </c>
      <c r="K149" t="s">
        <v>25</v>
      </c>
      <c r="M149">
        <v>5274.1</v>
      </c>
      <c r="N149">
        <v>1847.44</v>
      </c>
      <c r="P149">
        <v>2.7525999999999998E-2</v>
      </c>
      <c r="Q149">
        <v>0</v>
      </c>
      <c r="R149">
        <v>372803.68</v>
      </c>
      <c r="S149">
        <v>125722.95</v>
      </c>
      <c r="T149">
        <v>0</v>
      </c>
      <c r="U149">
        <v>179632.92</v>
      </c>
      <c r="V149">
        <v>0</v>
      </c>
      <c r="W149">
        <v>113951.3</v>
      </c>
      <c r="X149">
        <v>35130.410000000003</v>
      </c>
      <c r="Y149">
        <v>38249.57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132021.42000000001</v>
      </c>
      <c r="AF149">
        <v>0</v>
      </c>
      <c r="AG149">
        <v>0</v>
      </c>
      <c r="AH149">
        <v>0</v>
      </c>
      <c r="AI149">
        <v>25988.9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9028.48</v>
      </c>
      <c r="AQ149">
        <v>0</v>
      </c>
      <c r="AR149">
        <v>0</v>
      </c>
      <c r="AS149">
        <v>790513946.93565297</v>
      </c>
    </row>
    <row r="150" spans="2:45" ht="15.75" hidden="1" thickBot="1" x14ac:dyDescent="0.3">
      <c r="B150" s="15" t="str" cm="1">
        <f t="array" ref="B150">INDEX(_xlfn.TEXTSPLIT($J150,"/"),3)</f>
        <v>Htl&amp;0&amp;cPVVE&amp;Ex&amp;Chiller__PumpCtrl</v>
      </c>
      <c r="C150" s="33" t="str" cm="1">
        <f t="array" ref="C150">INDEX(_xlfn.TEXTSPLIT($J150,"/"),2)</f>
        <v>CZ16</v>
      </c>
      <c r="D150" s="34">
        <f>$G$3*H150</f>
        <v>16.156013999999999</v>
      </c>
      <c r="F150" t="str" cm="1">
        <f t="array" ref="F150">INDEX(_xlfn.TEXTSPLIT($J150,"/"),4)</f>
        <v>NE-Chiller-CHWPumpCtrl-Full-Msr</v>
      </c>
      <c r="G150">
        <f>$P150</f>
        <v>2.3196000000000001E-2</v>
      </c>
      <c r="H150">
        <f>$G$4*G150</f>
        <v>23.080020000000001</v>
      </c>
      <c r="J150" t="s">
        <v>576</v>
      </c>
      <c r="K150" t="s">
        <v>26</v>
      </c>
      <c r="M150">
        <v>4444.49</v>
      </c>
      <c r="N150">
        <v>1556.83</v>
      </c>
      <c r="P150">
        <v>2.3196000000000001E-2</v>
      </c>
      <c r="Q150">
        <v>0</v>
      </c>
      <c r="R150">
        <v>206975.52</v>
      </c>
      <c r="S150">
        <v>125722.95</v>
      </c>
      <c r="T150">
        <v>0</v>
      </c>
      <c r="U150">
        <v>179632.92</v>
      </c>
      <c r="V150">
        <v>0</v>
      </c>
      <c r="W150">
        <v>102720.43</v>
      </c>
      <c r="X150">
        <v>25585.759999999998</v>
      </c>
      <c r="Y150">
        <v>21760.25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165339.12</v>
      </c>
      <c r="AF150">
        <v>0</v>
      </c>
      <c r="AG150">
        <v>0</v>
      </c>
      <c r="AH150">
        <v>0</v>
      </c>
      <c r="AI150">
        <v>25988.9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11788.24</v>
      </c>
      <c r="AQ150">
        <v>0</v>
      </c>
      <c r="AR150">
        <v>0</v>
      </c>
      <c r="AS150">
        <v>616209022.06596005</v>
      </c>
    </row>
    <row r="151" spans="2:45" ht="15.75" hidden="1" thickBot="1" x14ac:dyDescent="0.3">
      <c r="B151" s="15" t="str" cm="1">
        <f t="array" ref="B151">INDEX(_xlfn.TEXTSPLIT($J151,"/"),3)</f>
        <v>Htl&amp;0&amp;cPVVE&amp;New&amp;Chiller__PumpCtrl</v>
      </c>
      <c r="C151" s="33" t="str" cm="1">
        <f t="array" ref="C151">INDEX(_xlfn.TEXTSPLIT($J151,"/"),2)</f>
        <v>CZ01</v>
      </c>
      <c r="D151" s="34">
        <f>$G$3*H151</f>
        <v>10.5345625</v>
      </c>
      <c r="F151" t="str" cm="1">
        <f t="array" ref="F151">INDEX(_xlfn.TEXTSPLIT($J151,"/"),4)</f>
        <v>NE-Chiller-CHWPumpCtrl-Full-Msr</v>
      </c>
      <c r="G151">
        <f>$P151</f>
        <v>1.5125E-2</v>
      </c>
      <c r="H151">
        <f>$G$4*G151</f>
        <v>15.049375</v>
      </c>
      <c r="J151" t="s">
        <v>638</v>
      </c>
      <c r="K151" t="s">
        <v>11</v>
      </c>
      <c r="M151">
        <v>2897.91</v>
      </c>
      <c r="N151">
        <v>1015.09</v>
      </c>
      <c r="P151">
        <v>1.5125E-2</v>
      </c>
      <c r="Q151">
        <v>0</v>
      </c>
      <c r="R151">
        <v>20274.689999999999</v>
      </c>
      <c r="S151">
        <v>125722.95</v>
      </c>
      <c r="T151">
        <v>0</v>
      </c>
      <c r="U151">
        <v>179632.92</v>
      </c>
      <c r="V151">
        <v>0</v>
      </c>
      <c r="W151">
        <v>37639.300000000003</v>
      </c>
      <c r="X151">
        <v>2783.3</v>
      </c>
      <c r="Y151">
        <v>2673.61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82545.789999999994</v>
      </c>
      <c r="AF151">
        <v>0</v>
      </c>
      <c r="AG151">
        <v>0</v>
      </c>
      <c r="AH151">
        <v>0</v>
      </c>
      <c r="AI151">
        <v>25988.9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12862.43</v>
      </c>
      <c r="AQ151">
        <v>0</v>
      </c>
      <c r="AR151">
        <v>0</v>
      </c>
      <c r="AS151">
        <v>331924549.52334797</v>
      </c>
    </row>
    <row r="152" spans="2:45" ht="15.75" hidden="1" thickBot="1" x14ac:dyDescent="0.3">
      <c r="B152" s="15" t="str" cm="1">
        <f t="array" ref="B152">INDEX(_xlfn.TEXTSPLIT($J152,"/"),3)</f>
        <v>Htl&amp;0&amp;cPVVE&amp;New&amp;Chiller__PumpCtrl</v>
      </c>
      <c r="C152" s="33" t="str" cm="1">
        <f t="array" ref="C152">INDEX(_xlfn.TEXTSPLIT($J152,"/"),2)</f>
        <v>CZ02</v>
      </c>
      <c r="D152" s="34">
        <f>$G$3*H152</f>
        <v>13.754482000000001</v>
      </c>
      <c r="F152" t="str" cm="1">
        <f t="array" ref="F152">INDEX(_xlfn.TEXTSPLIT($J152,"/"),4)</f>
        <v>NE-Chiller-CHWPumpCtrl-Full-Msr</v>
      </c>
      <c r="G152">
        <f>$P152</f>
        <v>1.9748000000000002E-2</v>
      </c>
      <c r="H152">
        <f>$G$4*G152</f>
        <v>19.649260000000002</v>
      </c>
      <c r="J152" t="s">
        <v>635</v>
      </c>
      <c r="K152" t="s">
        <v>12</v>
      </c>
      <c r="M152">
        <v>3783.79</v>
      </c>
      <c r="N152">
        <v>1325.4</v>
      </c>
      <c r="P152">
        <v>1.9748000000000002E-2</v>
      </c>
      <c r="Q152">
        <v>0</v>
      </c>
      <c r="R152">
        <v>99435.6</v>
      </c>
      <c r="S152">
        <v>125722.95</v>
      </c>
      <c r="T152">
        <v>0</v>
      </c>
      <c r="U152">
        <v>179632.92</v>
      </c>
      <c r="V152">
        <v>0</v>
      </c>
      <c r="W152">
        <v>48995.6</v>
      </c>
      <c r="X152">
        <v>15332.69</v>
      </c>
      <c r="Y152">
        <v>15712.94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75972.73</v>
      </c>
      <c r="AF152">
        <v>0</v>
      </c>
      <c r="AG152">
        <v>0</v>
      </c>
      <c r="AH152">
        <v>0</v>
      </c>
      <c r="AI152">
        <v>25988.9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11862.59</v>
      </c>
      <c r="AQ152">
        <v>0</v>
      </c>
      <c r="AR152">
        <v>0</v>
      </c>
      <c r="AS152">
        <v>471315139.834957</v>
      </c>
    </row>
    <row r="153" spans="2:45" ht="15.75" hidden="1" thickBot="1" x14ac:dyDescent="0.3">
      <c r="B153" s="15" t="str" cm="1">
        <f t="array" ref="B153">INDEX(_xlfn.TEXTSPLIT($J153,"/"),3)</f>
        <v>Htl&amp;0&amp;cPVVE&amp;New&amp;Chiller__PumpCtrl</v>
      </c>
      <c r="C153" s="33" t="str" cm="1">
        <f t="array" ref="C153">INDEX(_xlfn.TEXTSPLIT($J153,"/"),2)</f>
        <v>CZ03</v>
      </c>
      <c r="D153" s="34">
        <f>$G$3*H153</f>
        <v>12.967436999999999</v>
      </c>
      <c r="F153" t="str" cm="1">
        <f t="array" ref="F153">INDEX(_xlfn.TEXTSPLIT($J153,"/"),4)</f>
        <v>NE-Chiller-CHWPumpCtrl-Full-Msr</v>
      </c>
      <c r="G153">
        <f>$P153</f>
        <v>1.8617999999999999E-2</v>
      </c>
      <c r="H153">
        <f>$G$4*G153</f>
        <v>18.524909999999998</v>
      </c>
      <c r="J153" t="s">
        <v>633</v>
      </c>
      <c r="K153" t="s">
        <v>13</v>
      </c>
      <c r="M153">
        <v>3567.31</v>
      </c>
      <c r="N153">
        <v>1249.57</v>
      </c>
      <c r="P153">
        <v>1.8617999999999999E-2</v>
      </c>
      <c r="Q153">
        <v>0</v>
      </c>
      <c r="R153">
        <v>83588.33</v>
      </c>
      <c r="S153">
        <v>125722.95</v>
      </c>
      <c r="T153">
        <v>0</v>
      </c>
      <c r="U153">
        <v>179632.92</v>
      </c>
      <c r="V153">
        <v>0</v>
      </c>
      <c r="W153">
        <v>38092.68</v>
      </c>
      <c r="X153">
        <v>13797.3</v>
      </c>
      <c r="Y153">
        <v>14680.47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39558.03</v>
      </c>
      <c r="AF153">
        <v>0</v>
      </c>
      <c r="AG153">
        <v>0</v>
      </c>
      <c r="AH153">
        <v>0</v>
      </c>
      <c r="AI153">
        <v>25988.9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11857.17</v>
      </c>
      <c r="AQ153">
        <v>0</v>
      </c>
      <c r="AR153">
        <v>0</v>
      </c>
      <c r="AS153">
        <v>467593367.75358599</v>
      </c>
    </row>
    <row r="154" spans="2:45" ht="15.75" hidden="1" thickBot="1" x14ac:dyDescent="0.3">
      <c r="B154" s="15" t="str" cm="1">
        <f t="array" ref="B154">INDEX(_xlfn.TEXTSPLIT($J154,"/"),3)</f>
        <v>Htl&amp;0&amp;cPVVE&amp;New&amp;Chiller__PumpCtrl</v>
      </c>
      <c r="C154" s="33" t="str" cm="1">
        <f t="array" ref="C154">INDEX(_xlfn.TEXTSPLIT($J154,"/"),2)</f>
        <v>CZ04</v>
      </c>
      <c r="D154" s="34">
        <f>$G$3*H154</f>
        <v>13.9446265</v>
      </c>
      <c r="F154" t="str" cm="1">
        <f t="array" ref="F154">INDEX(_xlfn.TEXTSPLIT($J154,"/"),4)</f>
        <v>NE-Chiller-CHWPumpCtrl-Full-Msr</v>
      </c>
      <c r="G154">
        <f>$P154</f>
        <v>2.0021000000000001E-2</v>
      </c>
      <c r="H154">
        <f>$G$4*G154</f>
        <v>19.920895000000002</v>
      </c>
      <c r="J154" t="s">
        <v>631</v>
      </c>
      <c r="K154" t="s">
        <v>14</v>
      </c>
      <c r="M154">
        <v>3836.12</v>
      </c>
      <c r="N154">
        <v>1343.73</v>
      </c>
      <c r="P154">
        <v>2.0021000000000001E-2</v>
      </c>
      <c r="Q154">
        <v>0</v>
      </c>
      <c r="R154">
        <v>114010.17</v>
      </c>
      <c r="S154">
        <v>125722.95</v>
      </c>
      <c r="T154">
        <v>0</v>
      </c>
      <c r="U154">
        <v>179632.92</v>
      </c>
      <c r="V154">
        <v>0</v>
      </c>
      <c r="W154">
        <v>50331.89</v>
      </c>
      <c r="X154">
        <v>17439.07</v>
      </c>
      <c r="Y154">
        <v>18719.830000000002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59981.93</v>
      </c>
      <c r="AF154">
        <v>0</v>
      </c>
      <c r="AG154">
        <v>0</v>
      </c>
      <c r="AH154">
        <v>0</v>
      </c>
      <c r="AI154">
        <v>25988.9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11512.23</v>
      </c>
      <c r="AQ154">
        <v>0</v>
      </c>
      <c r="AR154">
        <v>0</v>
      </c>
      <c r="AS154">
        <v>508962401.733042</v>
      </c>
    </row>
    <row r="155" spans="2:45" ht="15.75" hidden="1" thickBot="1" x14ac:dyDescent="0.3">
      <c r="B155" s="15" t="str" cm="1">
        <f t="array" ref="B155">INDEX(_xlfn.TEXTSPLIT($J155,"/"),3)</f>
        <v>Htl&amp;0&amp;cPVVE&amp;New&amp;Chiller__PumpCtrl</v>
      </c>
      <c r="C155" s="33" t="str" cm="1">
        <f t="array" ref="C155">INDEX(_xlfn.TEXTSPLIT($J155,"/"),2)</f>
        <v>CZ05</v>
      </c>
      <c r="D155" s="34">
        <f>$G$3*H155</f>
        <v>12.030644499999999</v>
      </c>
      <c r="F155" t="str" cm="1">
        <f t="array" ref="F155">INDEX(_xlfn.TEXTSPLIT($J155,"/"),4)</f>
        <v>NE-Chiller-CHWPumpCtrl-Full-Msr</v>
      </c>
      <c r="G155">
        <f>$P155</f>
        <v>1.7273E-2</v>
      </c>
      <c r="H155">
        <f>$G$4*G155</f>
        <v>17.186634999999999</v>
      </c>
      <c r="J155" t="s">
        <v>628</v>
      </c>
      <c r="K155" t="s">
        <v>15</v>
      </c>
      <c r="M155">
        <v>3309.58</v>
      </c>
      <c r="N155">
        <v>1159.29</v>
      </c>
      <c r="P155">
        <v>1.7273E-2</v>
      </c>
      <c r="Q155">
        <v>0</v>
      </c>
      <c r="R155">
        <v>92667.87</v>
      </c>
      <c r="S155">
        <v>125722.95</v>
      </c>
      <c r="T155">
        <v>0</v>
      </c>
      <c r="U155">
        <v>179632.92</v>
      </c>
      <c r="V155">
        <v>0</v>
      </c>
      <c r="W155">
        <v>41583.21</v>
      </c>
      <c r="X155">
        <v>13746.97</v>
      </c>
      <c r="Y155">
        <v>14169.02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43288.74</v>
      </c>
      <c r="AF155">
        <v>0</v>
      </c>
      <c r="AG155">
        <v>0</v>
      </c>
      <c r="AH155">
        <v>0</v>
      </c>
      <c r="AI155">
        <v>25988.9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11782.85</v>
      </c>
      <c r="AQ155">
        <v>0</v>
      </c>
      <c r="AR155">
        <v>0</v>
      </c>
      <c r="AS155">
        <v>388712520.00018901</v>
      </c>
    </row>
    <row r="156" spans="2:45" ht="15.75" hidden="1" thickBot="1" x14ac:dyDescent="0.3">
      <c r="B156" s="15" t="str" cm="1">
        <f t="array" ref="B156">INDEX(_xlfn.TEXTSPLIT($J156,"/"),3)</f>
        <v>Htl&amp;0&amp;cPVVE&amp;New&amp;Chiller__PumpCtrl</v>
      </c>
      <c r="C156" s="33" t="str" cm="1">
        <f t="array" ref="C156">INDEX(_xlfn.TEXTSPLIT($J156,"/"),2)</f>
        <v>CZ06</v>
      </c>
      <c r="D156" s="34">
        <f>$G$3*H156</f>
        <v>12.752218499999998</v>
      </c>
      <c r="F156" t="str" cm="1">
        <f t="array" ref="F156">INDEX(_xlfn.TEXTSPLIT($J156,"/"),4)</f>
        <v>NE-Chiller-CHWPumpCtrl-Full-Msr</v>
      </c>
      <c r="G156">
        <f>$P156</f>
        <v>1.8308999999999999E-2</v>
      </c>
      <c r="H156">
        <f>$G$4*G156</f>
        <v>18.217454999999998</v>
      </c>
      <c r="J156" t="s">
        <v>627</v>
      </c>
      <c r="K156" t="s">
        <v>16</v>
      </c>
      <c r="M156">
        <v>3508.11</v>
      </c>
      <c r="N156">
        <v>1228.83</v>
      </c>
      <c r="P156">
        <v>1.8308999999999999E-2</v>
      </c>
      <c r="Q156">
        <v>0</v>
      </c>
      <c r="R156">
        <v>161701.9</v>
      </c>
      <c r="S156">
        <v>125722.95</v>
      </c>
      <c r="T156">
        <v>0</v>
      </c>
      <c r="U156">
        <v>179632.92</v>
      </c>
      <c r="V156">
        <v>0</v>
      </c>
      <c r="W156">
        <v>49154.93</v>
      </c>
      <c r="X156">
        <v>21924.240000000002</v>
      </c>
      <c r="Y156">
        <v>23209.18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27445.06</v>
      </c>
      <c r="AF156">
        <v>0</v>
      </c>
      <c r="AG156">
        <v>0</v>
      </c>
      <c r="AH156">
        <v>0</v>
      </c>
      <c r="AI156">
        <v>25988.9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10970.72</v>
      </c>
      <c r="AQ156">
        <v>0</v>
      </c>
      <c r="AR156">
        <v>0</v>
      </c>
      <c r="AS156">
        <v>443121999.10603303</v>
      </c>
    </row>
    <row r="157" spans="2:45" ht="15.75" hidden="1" thickBot="1" x14ac:dyDescent="0.3">
      <c r="B157" s="15" t="str" cm="1">
        <f t="array" ref="B157">INDEX(_xlfn.TEXTSPLIT($J157,"/"),3)</f>
        <v>Htl&amp;0&amp;cPVVE&amp;New&amp;Chiller__PumpCtrl</v>
      </c>
      <c r="C157" s="33" t="str" cm="1">
        <f t="array" ref="C157">INDEX(_xlfn.TEXTSPLIT($J157,"/"),2)</f>
        <v>CZ07</v>
      </c>
      <c r="D157" s="34">
        <f>$G$3*H157</f>
        <v>13.400659999999998</v>
      </c>
      <c r="F157" t="str" cm="1">
        <f t="array" ref="F157">INDEX(_xlfn.TEXTSPLIT($J157,"/"),4)</f>
        <v>NE-Chiller-CHWPumpCtrl-Full-Msr</v>
      </c>
      <c r="G157">
        <f>$P157</f>
        <v>1.924E-2</v>
      </c>
      <c r="H157">
        <f>$G$4*G157</f>
        <v>19.143799999999999</v>
      </c>
      <c r="J157" t="s">
        <v>625</v>
      </c>
      <c r="K157" t="s">
        <v>17</v>
      </c>
      <c r="M157">
        <v>3686.5</v>
      </c>
      <c r="N157">
        <v>1291.32</v>
      </c>
      <c r="P157">
        <v>1.924E-2</v>
      </c>
      <c r="Q157">
        <v>0</v>
      </c>
      <c r="R157">
        <v>187715.78</v>
      </c>
      <c r="S157">
        <v>125722.95</v>
      </c>
      <c r="T157">
        <v>0</v>
      </c>
      <c r="U157">
        <v>179632.92</v>
      </c>
      <c r="V157">
        <v>0</v>
      </c>
      <c r="W157">
        <v>59379.11</v>
      </c>
      <c r="X157">
        <v>24385.93</v>
      </c>
      <c r="Y157">
        <v>25449.14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49679.86</v>
      </c>
      <c r="AF157">
        <v>0</v>
      </c>
      <c r="AG157">
        <v>0</v>
      </c>
      <c r="AH157">
        <v>0</v>
      </c>
      <c r="AI157">
        <v>25988.9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10925.34</v>
      </c>
      <c r="AQ157">
        <v>0</v>
      </c>
      <c r="AR157">
        <v>0</v>
      </c>
      <c r="AS157">
        <v>537187993.65304506</v>
      </c>
    </row>
    <row r="158" spans="2:45" ht="15.75" hidden="1" thickBot="1" x14ac:dyDescent="0.3">
      <c r="B158" s="15" t="str" cm="1">
        <f t="array" ref="B158">INDEX(_xlfn.TEXTSPLIT($J158,"/"),3)</f>
        <v>Htl&amp;0&amp;cPVVE&amp;New&amp;Chiller__PumpCtrl</v>
      </c>
      <c r="C158" s="33" t="str" cm="1">
        <f t="array" ref="C158">INDEX(_xlfn.TEXTSPLIT($J158,"/"),2)</f>
        <v>CZ08</v>
      </c>
      <c r="D158" s="34">
        <f>$G$3*H158</f>
        <v>14.182829499999997</v>
      </c>
      <c r="F158" t="str" cm="1">
        <f t="array" ref="F158">INDEX(_xlfn.TEXTSPLIT($J158,"/"),4)</f>
        <v>NE-Chiller-CHWPumpCtrl-Full-Msr</v>
      </c>
      <c r="G158">
        <f>$P158</f>
        <v>2.0362999999999999E-2</v>
      </c>
      <c r="H158">
        <f>$G$4*G158</f>
        <v>20.261184999999998</v>
      </c>
      <c r="J158" t="s">
        <v>623</v>
      </c>
      <c r="K158" t="s">
        <v>18</v>
      </c>
      <c r="M158">
        <v>3901.66</v>
      </c>
      <c r="N158">
        <v>1366.69</v>
      </c>
      <c r="P158">
        <v>2.0362999999999999E-2</v>
      </c>
      <c r="Q158">
        <v>0</v>
      </c>
      <c r="R158">
        <v>160500.51999999999</v>
      </c>
      <c r="S158">
        <v>125722.95</v>
      </c>
      <c r="T158">
        <v>0</v>
      </c>
      <c r="U158">
        <v>179632.92</v>
      </c>
      <c r="V158">
        <v>0</v>
      </c>
      <c r="W158">
        <v>58715.74</v>
      </c>
      <c r="X158">
        <v>23654.22</v>
      </c>
      <c r="Y158">
        <v>25693.51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58945.85</v>
      </c>
      <c r="AF158">
        <v>0</v>
      </c>
      <c r="AG158">
        <v>0</v>
      </c>
      <c r="AH158">
        <v>0</v>
      </c>
      <c r="AI158">
        <v>25988.9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10835.57</v>
      </c>
      <c r="AQ158">
        <v>0</v>
      </c>
      <c r="AR158">
        <v>0</v>
      </c>
      <c r="AS158">
        <v>438847636.80552202</v>
      </c>
    </row>
    <row r="159" spans="2:45" ht="15.75" hidden="1" thickBot="1" x14ac:dyDescent="0.3">
      <c r="B159" s="15" t="str" cm="1">
        <f t="array" ref="B159">INDEX(_xlfn.TEXTSPLIT($J159,"/"),3)</f>
        <v>Htl&amp;0&amp;cPVVE&amp;New&amp;Chiller__PumpCtrl</v>
      </c>
      <c r="C159" s="33" t="str" cm="1">
        <f t="array" ref="C159">INDEX(_xlfn.TEXTSPLIT($J159,"/"),2)</f>
        <v>CZ09</v>
      </c>
      <c r="D159" s="34">
        <f>$G$3*H159</f>
        <v>14.076961499999999</v>
      </c>
      <c r="F159" t="str" cm="1">
        <f t="array" ref="F159">INDEX(_xlfn.TEXTSPLIT($J159,"/"),4)</f>
        <v>NE-Chiller-CHWPumpCtrl-Full-Msr</v>
      </c>
      <c r="G159">
        <f>$P159</f>
        <v>2.0211E-2</v>
      </c>
      <c r="H159">
        <f>$G$4*G159</f>
        <v>20.109945</v>
      </c>
      <c r="J159" t="s">
        <v>621</v>
      </c>
      <c r="K159" t="s">
        <v>19</v>
      </c>
      <c r="M159">
        <v>3872.42</v>
      </c>
      <c r="N159">
        <v>1356.45</v>
      </c>
      <c r="P159">
        <v>2.0211E-2</v>
      </c>
      <c r="Q159">
        <v>0</v>
      </c>
      <c r="R159">
        <v>171983.59</v>
      </c>
      <c r="S159">
        <v>125722.95</v>
      </c>
      <c r="T159">
        <v>0</v>
      </c>
      <c r="U159">
        <v>179632.92</v>
      </c>
      <c r="V159">
        <v>0</v>
      </c>
      <c r="W159">
        <v>63567.32</v>
      </c>
      <c r="X159">
        <v>24019.24</v>
      </c>
      <c r="Y159">
        <v>26095.18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65582.649999999994</v>
      </c>
      <c r="AF159">
        <v>0</v>
      </c>
      <c r="AG159">
        <v>0</v>
      </c>
      <c r="AH159">
        <v>0</v>
      </c>
      <c r="AI159">
        <v>25988.9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10690.75</v>
      </c>
      <c r="AQ159">
        <v>0</v>
      </c>
      <c r="AR159">
        <v>0</v>
      </c>
      <c r="AS159">
        <v>449551053.58283901</v>
      </c>
    </row>
    <row r="160" spans="2:45" ht="15.75" hidden="1" thickBot="1" x14ac:dyDescent="0.3">
      <c r="B160" s="15" t="str" cm="1">
        <f t="array" ref="B160">INDEX(_xlfn.TEXTSPLIT($J160,"/"),3)</f>
        <v>Htl&amp;0&amp;cPVVE&amp;New&amp;Chiller__PumpCtrl</v>
      </c>
      <c r="C160" s="33" t="str" cm="1">
        <f t="array" ref="C160">INDEX(_xlfn.TEXTSPLIT($J160,"/"),2)</f>
        <v>CZ10</v>
      </c>
      <c r="D160" s="34">
        <f>$G$3*H160</f>
        <v>15.786868999999998</v>
      </c>
      <c r="F160" t="str" cm="1">
        <f t="array" ref="F160">INDEX(_xlfn.TEXTSPLIT($J160,"/"),4)</f>
        <v>NE-Chiller-CHWPumpCtrl-Full-Msr</v>
      </c>
      <c r="G160">
        <f>$P160</f>
        <v>2.2665999999999999E-2</v>
      </c>
      <c r="H160">
        <f>$G$4*G160</f>
        <v>22.552669999999999</v>
      </c>
      <c r="J160" t="s">
        <v>619</v>
      </c>
      <c r="K160" t="s">
        <v>20</v>
      </c>
      <c r="M160">
        <v>4342.93</v>
      </c>
      <c r="N160">
        <v>1521.26</v>
      </c>
      <c r="P160">
        <v>2.2665999999999999E-2</v>
      </c>
      <c r="Q160">
        <v>0</v>
      </c>
      <c r="R160">
        <v>185199.94</v>
      </c>
      <c r="S160">
        <v>125722.95</v>
      </c>
      <c r="T160">
        <v>0</v>
      </c>
      <c r="U160">
        <v>179632.92</v>
      </c>
      <c r="V160">
        <v>0</v>
      </c>
      <c r="W160">
        <v>72472.08</v>
      </c>
      <c r="X160">
        <v>24964.76</v>
      </c>
      <c r="Y160">
        <v>26772.52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92058.240000000005</v>
      </c>
      <c r="AF160">
        <v>0</v>
      </c>
      <c r="AG160">
        <v>0</v>
      </c>
      <c r="AH160">
        <v>0</v>
      </c>
      <c r="AI160">
        <v>25988.9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10618.45</v>
      </c>
      <c r="AQ160">
        <v>0</v>
      </c>
      <c r="AR160">
        <v>0</v>
      </c>
      <c r="AS160">
        <v>535981187.22831798</v>
      </c>
    </row>
    <row r="161" spans="2:45" ht="15.75" hidden="1" thickBot="1" x14ac:dyDescent="0.3">
      <c r="B161" s="15" t="str" cm="1">
        <f t="array" ref="B161">INDEX(_xlfn.TEXTSPLIT($J161,"/"),3)</f>
        <v>Htl&amp;0&amp;cPVVE&amp;New&amp;Chiller__PumpCtrl</v>
      </c>
      <c r="C161" s="33" t="str" cm="1">
        <f t="array" ref="C161">INDEX(_xlfn.TEXTSPLIT($J161,"/"),2)</f>
        <v>CZ11</v>
      </c>
      <c r="D161" s="34">
        <f>$G$3*H161</f>
        <v>15.980495999999999</v>
      </c>
      <c r="F161" t="str" cm="1">
        <f t="array" ref="F161">INDEX(_xlfn.TEXTSPLIT($J161,"/"),4)</f>
        <v>NE-Chiller-CHWPumpCtrl-Full-Msr</v>
      </c>
      <c r="G161">
        <f>$P161</f>
        <v>2.2943999999999999E-2</v>
      </c>
      <c r="H161">
        <f>$G$4*G161</f>
        <v>22.829280000000001</v>
      </c>
      <c r="J161" t="s">
        <v>616</v>
      </c>
      <c r="K161" t="s">
        <v>21</v>
      </c>
      <c r="M161">
        <v>4396.07</v>
      </c>
      <c r="N161">
        <v>1539.87</v>
      </c>
      <c r="P161">
        <v>2.2943999999999999E-2</v>
      </c>
      <c r="Q161">
        <v>0</v>
      </c>
      <c r="R161">
        <v>175161.43</v>
      </c>
      <c r="S161">
        <v>125722.95</v>
      </c>
      <c r="T161">
        <v>0</v>
      </c>
      <c r="U161">
        <v>179632.92</v>
      </c>
      <c r="V161">
        <v>0</v>
      </c>
      <c r="W161">
        <v>72999.17</v>
      </c>
      <c r="X161">
        <v>21853.93</v>
      </c>
      <c r="Y161">
        <v>22994.54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122213.14</v>
      </c>
      <c r="AF161">
        <v>0</v>
      </c>
      <c r="AG161">
        <v>0</v>
      </c>
      <c r="AH161">
        <v>0</v>
      </c>
      <c r="AI161">
        <v>25988.9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10772.89</v>
      </c>
      <c r="AQ161">
        <v>0</v>
      </c>
      <c r="AR161">
        <v>0</v>
      </c>
      <c r="AS161">
        <v>586560541.95787597</v>
      </c>
    </row>
    <row r="162" spans="2:45" ht="15.75" hidden="1" thickBot="1" x14ac:dyDescent="0.3">
      <c r="B162" s="15" t="str" cm="1">
        <f t="array" ref="B162">INDEX(_xlfn.TEXTSPLIT($J162,"/"),3)</f>
        <v>Htl&amp;0&amp;cPVVE&amp;New&amp;Chiller__PumpCtrl</v>
      </c>
      <c r="C162" s="33" t="str" cm="1">
        <f t="array" ref="C162">INDEX(_xlfn.TEXTSPLIT($J162,"/"),2)</f>
        <v>CZ12</v>
      </c>
      <c r="D162" s="34">
        <f>$G$3*H162</f>
        <v>15.75483</v>
      </c>
      <c r="F162" t="str" cm="1">
        <f t="array" ref="F162">INDEX(_xlfn.TEXTSPLIT($J162,"/"),4)</f>
        <v>NE-Chiller-CHWPumpCtrl-Full-Msr</v>
      </c>
      <c r="G162">
        <f>$P162</f>
        <v>2.2620000000000001E-2</v>
      </c>
      <c r="H162">
        <f>$G$4*G162</f>
        <v>22.506900000000002</v>
      </c>
      <c r="J162" t="s">
        <v>615</v>
      </c>
      <c r="K162" t="s">
        <v>22</v>
      </c>
      <c r="M162">
        <v>4334.04</v>
      </c>
      <c r="N162">
        <v>1518.14</v>
      </c>
      <c r="P162">
        <v>2.2620000000000001E-2</v>
      </c>
      <c r="Q162">
        <v>0</v>
      </c>
      <c r="R162">
        <v>157860.14000000001</v>
      </c>
      <c r="S162">
        <v>125722.95</v>
      </c>
      <c r="T162">
        <v>0</v>
      </c>
      <c r="U162">
        <v>179632.92</v>
      </c>
      <c r="V162">
        <v>0</v>
      </c>
      <c r="W162">
        <v>65352.47</v>
      </c>
      <c r="X162">
        <v>21370.7</v>
      </c>
      <c r="Y162">
        <v>22367.98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105830.31</v>
      </c>
      <c r="AF162">
        <v>0</v>
      </c>
      <c r="AG162">
        <v>0</v>
      </c>
      <c r="AH162">
        <v>0</v>
      </c>
      <c r="AI162">
        <v>25988.9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11107.26</v>
      </c>
      <c r="AQ162">
        <v>0</v>
      </c>
      <c r="AR162">
        <v>0</v>
      </c>
      <c r="AS162">
        <v>549629082.63043201</v>
      </c>
    </row>
    <row r="163" spans="2:45" ht="15.75" hidden="1" thickBot="1" x14ac:dyDescent="0.3">
      <c r="B163" s="15" t="str" cm="1">
        <f t="array" ref="B163">INDEX(_xlfn.TEXTSPLIT($J163,"/"),3)</f>
        <v>Htl&amp;0&amp;cPVVE&amp;New&amp;Chiller__PumpCtrl</v>
      </c>
      <c r="C163" s="33" t="str" cm="1">
        <f t="array" ref="C163">INDEX(_xlfn.TEXTSPLIT($J163,"/"),2)</f>
        <v>CZ13</v>
      </c>
      <c r="D163" s="34">
        <f>$G$3*H163</f>
        <v>16.4374</v>
      </c>
      <c r="F163" t="str" cm="1">
        <f t="array" ref="F163">INDEX(_xlfn.TEXTSPLIT($J163,"/"),4)</f>
        <v>NE-Chiller-CHWPumpCtrl-Full-Msr</v>
      </c>
      <c r="G163">
        <f>$P163</f>
        <v>2.3599999999999999E-2</v>
      </c>
      <c r="H163">
        <f>$G$4*G163</f>
        <v>23.481999999999999</v>
      </c>
      <c r="J163" t="s">
        <v>612</v>
      </c>
      <c r="K163" t="s">
        <v>23</v>
      </c>
      <c r="M163">
        <v>4521.82</v>
      </c>
      <c r="N163">
        <v>1583.92</v>
      </c>
      <c r="P163">
        <v>2.3599999999999999E-2</v>
      </c>
      <c r="Q163">
        <v>0</v>
      </c>
      <c r="R163">
        <v>195080.51</v>
      </c>
      <c r="S163">
        <v>125722.95</v>
      </c>
      <c r="T163">
        <v>0</v>
      </c>
      <c r="U163">
        <v>179632.92</v>
      </c>
      <c r="V163">
        <v>0</v>
      </c>
      <c r="W163">
        <v>74775.539999999994</v>
      </c>
      <c r="X163">
        <v>23804.46</v>
      </c>
      <c r="Y163">
        <v>25296.84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112889.15</v>
      </c>
      <c r="AF163">
        <v>0</v>
      </c>
      <c r="AG163">
        <v>0</v>
      </c>
      <c r="AH163">
        <v>0</v>
      </c>
      <c r="AI163">
        <v>25988.9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10563.33</v>
      </c>
      <c r="AQ163">
        <v>0</v>
      </c>
      <c r="AR163">
        <v>0</v>
      </c>
      <c r="AS163">
        <v>613110395.49066806</v>
      </c>
    </row>
    <row r="164" spans="2:45" ht="15.75" hidden="1" thickBot="1" x14ac:dyDescent="0.3">
      <c r="B164" s="15" t="str" cm="1">
        <f t="array" ref="B164">INDEX(_xlfn.TEXTSPLIT($J164,"/"),3)</f>
        <v>Htl&amp;0&amp;cPVVE&amp;New&amp;Chiller__PumpCtrl</v>
      </c>
      <c r="C164" s="33" t="str" cm="1">
        <f t="array" ref="C164">INDEX(_xlfn.TEXTSPLIT($J164,"/"),2)</f>
        <v>CZ14</v>
      </c>
      <c r="D164" s="34">
        <f>$G$3*H164</f>
        <v>16.50705</v>
      </c>
      <c r="F164" t="str" cm="1">
        <f t="array" ref="F164">INDEX(_xlfn.TEXTSPLIT($J164,"/"),4)</f>
        <v>NE-Chiller-CHWPumpCtrl-Full-Msr</v>
      </c>
      <c r="G164">
        <f>$P164</f>
        <v>2.3699999999999999E-2</v>
      </c>
      <c r="H164">
        <f>$G$4*G164</f>
        <v>23.581499999999998</v>
      </c>
      <c r="J164" t="s">
        <v>611</v>
      </c>
      <c r="K164" t="s">
        <v>24</v>
      </c>
      <c r="M164">
        <v>4541.03</v>
      </c>
      <c r="N164">
        <v>1590.65</v>
      </c>
      <c r="P164">
        <v>2.3699999999999999E-2</v>
      </c>
      <c r="Q164">
        <v>0</v>
      </c>
      <c r="R164">
        <v>247032.05</v>
      </c>
      <c r="S164">
        <v>125722.95</v>
      </c>
      <c r="T164">
        <v>0</v>
      </c>
      <c r="U164">
        <v>179632.92</v>
      </c>
      <c r="V164">
        <v>0</v>
      </c>
      <c r="W164">
        <v>86266.02</v>
      </c>
      <c r="X164">
        <v>27124.01</v>
      </c>
      <c r="Y164">
        <v>27417.41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106898.38</v>
      </c>
      <c r="AF164">
        <v>0</v>
      </c>
      <c r="AG164">
        <v>0</v>
      </c>
      <c r="AH164">
        <v>0</v>
      </c>
      <c r="AI164">
        <v>25988.9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10040.52</v>
      </c>
      <c r="AQ164">
        <v>0</v>
      </c>
      <c r="AR164">
        <v>0</v>
      </c>
      <c r="AS164">
        <v>705188573.83920205</v>
      </c>
    </row>
    <row r="165" spans="2:45" ht="15.75" hidden="1" thickBot="1" x14ac:dyDescent="0.3">
      <c r="B165" s="15" t="str" cm="1">
        <f t="array" ref="B165">INDEX(_xlfn.TEXTSPLIT($J165,"/"),3)</f>
        <v>Htl&amp;0&amp;cPVVE&amp;New&amp;Chiller__PumpCtrl</v>
      </c>
      <c r="C165" s="33" t="str" cm="1">
        <f t="array" ref="C165">INDEX(_xlfn.TEXTSPLIT($J165,"/"),2)</f>
        <v>CZ15</v>
      </c>
      <c r="D165" s="34">
        <f>$G$3*H165</f>
        <v>17.007136999999997</v>
      </c>
      <c r="F165" t="str" cm="1">
        <f t="array" ref="F165">INDEX(_xlfn.TEXTSPLIT($J165,"/"),4)</f>
        <v>NE-Chiller-CHWPumpCtrl-Full-Msr</v>
      </c>
      <c r="G165">
        <f>$P165</f>
        <v>2.4417999999999999E-2</v>
      </c>
      <c r="H165">
        <f>$G$4*G165</f>
        <v>24.295909999999999</v>
      </c>
      <c r="J165" t="s">
        <v>609</v>
      </c>
      <c r="K165" t="s">
        <v>25</v>
      </c>
      <c r="M165">
        <v>4678.63</v>
      </c>
      <c r="N165">
        <v>1638.85</v>
      </c>
      <c r="P165">
        <v>2.4417999999999999E-2</v>
      </c>
      <c r="Q165">
        <v>0</v>
      </c>
      <c r="R165">
        <v>308378.55</v>
      </c>
      <c r="S165">
        <v>125722.95</v>
      </c>
      <c r="T165">
        <v>0</v>
      </c>
      <c r="U165">
        <v>179632.92</v>
      </c>
      <c r="V165">
        <v>0</v>
      </c>
      <c r="W165">
        <v>94833.34</v>
      </c>
      <c r="X165">
        <v>30956.82</v>
      </c>
      <c r="Y165">
        <v>33884.9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126384.18</v>
      </c>
      <c r="AF165">
        <v>0</v>
      </c>
      <c r="AG165">
        <v>0</v>
      </c>
      <c r="AH165">
        <v>0</v>
      </c>
      <c r="AI165">
        <v>25988.9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9025.39</v>
      </c>
      <c r="AQ165">
        <v>0</v>
      </c>
      <c r="AR165">
        <v>0</v>
      </c>
      <c r="AS165">
        <v>683402726.19143498</v>
      </c>
    </row>
    <row r="166" spans="2:45" ht="15.75" hidden="1" thickBot="1" x14ac:dyDescent="0.3">
      <c r="B166" s="15" t="str" cm="1">
        <f t="array" ref="B166">INDEX(_xlfn.TEXTSPLIT($J166,"/"),3)</f>
        <v>Htl&amp;0&amp;cPVVE&amp;New&amp;Chiller__PumpCtrl</v>
      </c>
      <c r="C166" s="33" t="str" cm="1">
        <f t="array" ref="C166">INDEX(_xlfn.TEXTSPLIT($J166,"/"),2)</f>
        <v>CZ16</v>
      </c>
      <c r="D166" s="34">
        <f>$G$3*H166</f>
        <v>14.077657999999998</v>
      </c>
      <c r="F166" t="str" cm="1">
        <f t="array" ref="F166">INDEX(_xlfn.TEXTSPLIT($J166,"/"),4)</f>
        <v>NE-Chiller-CHWPumpCtrl-Full-Msr</v>
      </c>
      <c r="G166">
        <f>$P166</f>
        <v>2.0212000000000001E-2</v>
      </c>
      <c r="H166">
        <f>$G$4*G166</f>
        <v>20.110939999999999</v>
      </c>
      <c r="J166" t="s">
        <v>607</v>
      </c>
      <c r="K166" t="s">
        <v>26</v>
      </c>
      <c r="M166">
        <v>3872.59</v>
      </c>
      <c r="N166">
        <v>1356.51</v>
      </c>
      <c r="P166">
        <v>2.0212000000000001E-2</v>
      </c>
      <c r="Q166">
        <v>0</v>
      </c>
      <c r="R166">
        <v>167101.57999999999</v>
      </c>
      <c r="S166">
        <v>125722.95</v>
      </c>
      <c r="T166">
        <v>0</v>
      </c>
      <c r="U166">
        <v>179632.92</v>
      </c>
      <c r="V166">
        <v>0</v>
      </c>
      <c r="W166">
        <v>85529.46</v>
      </c>
      <c r="X166">
        <v>21958.82</v>
      </c>
      <c r="Y166">
        <v>18679.89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140507.20000000001</v>
      </c>
      <c r="AF166">
        <v>0</v>
      </c>
      <c r="AG166">
        <v>0</v>
      </c>
      <c r="AH166">
        <v>0</v>
      </c>
      <c r="AI166">
        <v>25988.9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11672.67</v>
      </c>
      <c r="AQ166">
        <v>0</v>
      </c>
      <c r="AR166">
        <v>0</v>
      </c>
      <c r="AS166">
        <v>547967956.29374802</v>
      </c>
    </row>
    <row r="167" spans="2:45" ht="15.75" hidden="1" thickBot="1" x14ac:dyDescent="0.3">
      <c r="B167" s="15" t="str" cm="1">
        <f t="array" ref="B167">INDEX(_xlfn.TEXTSPLIT($J167,"/"),3)</f>
        <v>Nrs&amp;0&amp;cPVVE&amp;Ex&amp;Chiller__PumpCtrl</v>
      </c>
      <c r="C167" s="33" t="str" cm="1">
        <f t="array" ref="C167">INDEX(_xlfn.TEXTSPLIT($J167,"/"),2)</f>
        <v>CZ01</v>
      </c>
      <c r="D167" s="34">
        <f>$G$3*H167</f>
        <v>14.9141545</v>
      </c>
      <c r="F167" t="str" cm="1">
        <f t="array" ref="F167">INDEX(_xlfn.TEXTSPLIT($J167,"/"),4)</f>
        <v>NE-Chiller-CHWPumpCtrl-Full-Msr</v>
      </c>
      <c r="G167">
        <f>$P167</f>
        <v>2.1413000000000001E-2</v>
      </c>
      <c r="H167">
        <f>$G$4*G167</f>
        <v>21.305935000000002</v>
      </c>
      <c r="J167" t="s">
        <v>307</v>
      </c>
      <c r="K167" t="s">
        <v>11</v>
      </c>
      <c r="M167">
        <v>4102.88</v>
      </c>
      <c r="N167">
        <v>1437.17</v>
      </c>
      <c r="P167">
        <v>2.1413000000000001E-2</v>
      </c>
      <c r="Q167">
        <v>0</v>
      </c>
      <c r="R167">
        <v>35794.410000000003</v>
      </c>
      <c r="S167">
        <v>201226.15</v>
      </c>
      <c r="T167">
        <v>0</v>
      </c>
      <c r="U167">
        <v>282049.05</v>
      </c>
      <c r="V167">
        <v>0</v>
      </c>
      <c r="W167">
        <v>71093.179999999993</v>
      </c>
      <c r="X167">
        <v>5378.3</v>
      </c>
      <c r="Y167">
        <v>4950.49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178006.16</v>
      </c>
      <c r="AF167">
        <v>0</v>
      </c>
      <c r="AG167">
        <v>0</v>
      </c>
      <c r="AH167">
        <v>0</v>
      </c>
      <c r="AI167">
        <v>65854.75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137437.71</v>
      </c>
      <c r="AQ167">
        <v>0</v>
      </c>
      <c r="AR167">
        <v>0</v>
      </c>
      <c r="AS167">
        <v>342090687.01695597</v>
      </c>
    </row>
    <row r="168" spans="2:45" ht="15.75" hidden="1" thickBot="1" x14ac:dyDescent="0.3">
      <c r="B168" s="15" t="str" cm="1">
        <f t="array" ref="B168">INDEX(_xlfn.TEXTSPLIT($J168,"/"),3)</f>
        <v>Nrs&amp;0&amp;cPVVE&amp;Ex&amp;Chiller__PumpCtrl</v>
      </c>
      <c r="C168" s="33" t="str" cm="1">
        <f t="array" ref="C168">INDEX(_xlfn.TEXTSPLIT($J168,"/"),2)</f>
        <v>CZ02</v>
      </c>
      <c r="D168" s="34">
        <f>$G$3*H168</f>
        <v>18.968481000000001</v>
      </c>
      <c r="F168" t="str" cm="1">
        <f t="array" ref="F168">INDEX(_xlfn.TEXTSPLIT($J168,"/"),4)</f>
        <v>NE-Chiller-CHWPumpCtrl-Full-Msr</v>
      </c>
      <c r="G168">
        <f>$P168</f>
        <v>2.7234000000000001E-2</v>
      </c>
      <c r="H168">
        <f>$G$4*G168</f>
        <v>27.097830000000002</v>
      </c>
      <c r="J168" t="s">
        <v>291</v>
      </c>
      <c r="K168" t="s">
        <v>12</v>
      </c>
      <c r="M168">
        <v>5218.1499999999996</v>
      </c>
      <c r="N168">
        <v>1827.83</v>
      </c>
      <c r="P168">
        <v>2.7234000000000001E-2</v>
      </c>
      <c r="Q168">
        <v>0</v>
      </c>
      <c r="R168">
        <v>155518.54999999999</v>
      </c>
      <c r="S168">
        <v>201226.15</v>
      </c>
      <c r="T168">
        <v>0</v>
      </c>
      <c r="U168">
        <v>282049.05</v>
      </c>
      <c r="V168">
        <v>0</v>
      </c>
      <c r="W168">
        <v>103681.2</v>
      </c>
      <c r="X168">
        <v>19084.78</v>
      </c>
      <c r="Y168">
        <v>18731.78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185592.2</v>
      </c>
      <c r="AF168">
        <v>0</v>
      </c>
      <c r="AG168">
        <v>0</v>
      </c>
      <c r="AH168">
        <v>0</v>
      </c>
      <c r="AI168">
        <v>65854.75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126295.76</v>
      </c>
      <c r="AQ168">
        <v>0</v>
      </c>
      <c r="AR168">
        <v>0</v>
      </c>
      <c r="AS168">
        <v>538423152.91200697</v>
      </c>
    </row>
    <row r="169" spans="2:45" ht="15.75" hidden="1" thickBot="1" x14ac:dyDescent="0.3">
      <c r="B169" s="15" t="str" cm="1">
        <f t="array" ref="B169">INDEX(_xlfn.TEXTSPLIT($J169,"/"),3)</f>
        <v>Nrs&amp;0&amp;cPVVE&amp;Ex&amp;Chiller__PumpCtrl</v>
      </c>
      <c r="C169" s="33" t="str" cm="1">
        <f t="array" ref="C169">INDEX(_xlfn.TEXTSPLIT($J169,"/"),2)</f>
        <v>CZ03</v>
      </c>
      <c r="D169" s="34">
        <f>$G$3*H169</f>
        <v>17.949501499999997</v>
      </c>
      <c r="F169" t="str" cm="1">
        <f t="array" ref="F169">INDEX(_xlfn.TEXTSPLIT($J169,"/"),4)</f>
        <v>NE-Chiller-CHWPumpCtrl-Full-Msr</v>
      </c>
      <c r="G169">
        <f>$P169</f>
        <v>2.5770999999999999E-2</v>
      </c>
      <c r="H169">
        <f>$G$4*G169</f>
        <v>25.642144999999999</v>
      </c>
      <c r="J169" t="s">
        <v>275</v>
      </c>
      <c r="K169" t="s">
        <v>13</v>
      </c>
      <c r="M169">
        <v>4937.8500000000004</v>
      </c>
      <c r="N169">
        <v>1729.65</v>
      </c>
      <c r="P169">
        <v>2.5770999999999999E-2</v>
      </c>
      <c r="Q169">
        <v>0</v>
      </c>
      <c r="R169">
        <v>121000.06</v>
      </c>
      <c r="S169">
        <v>201226.15</v>
      </c>
      <c r="T169">
        <v>0</v>
      </c>
      <c r="U169">
        <v>282049.05</v>
      </c>
      <c r="V169">
        <v>0</v>
      </c>
      <c r="W169">
        <v>85235.86</v>
      </c>
      <c r="X169">
        <v>17831.32</v>
      </c>
      <c r="Y169">
        <v>18270.98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96241.61</v>
      </c>
      <c r="AF169">
        <v>0</v>
      </c>
      <c r="AG169">
        <v>0</v>
      </c>
      <c r="AH169">
        <v>0</v>
      </c>
      <c r="AI169">
        <v>65854.75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125819.33</v>
      </c>
      <c r="AQ169">
        <v>0</v>
      </c>
      <c r="AR169">
        <v>0</v>
      </c>
      <c r="AS169">
        <v>467039654.54050899</v>
      </c>
    </row>
    <row r="170" spans="2:45" ht="15.75" hidden="1" thickBot="1" x14ac:dyDescent="0.3">
      <c r="B170" s="15" t="str" cm="1">
        <f t="array" ref="B170">INDEX(_xlfn.TEXTSPLIT($J170,"/"),3)</f>
        <v>Nrs&amp;0&amp;cPVVE&amp;Ex&amp;Chiller__PumpCtrl</v>
      </c>
      <c r="C170" s="33" t="str" cm="1">
        <f t="array" ref="C170">INDEX(_xlfn.TEXTSPLIT($J170,"/"),2)</f>
        <v>CZ04</v>
      </c>
      <c r="D170" s="34">
        <f>$G$3*H170</f>
        <v>19.217131499999997</v>
      </c>
      <c r="F170" t="str" cm="1">
        <f t="array" ref="F170">INDEX(_xlfn.TEXTSPLIT($J170,"/"),4)</f>
        <v>NE-Chiller-CHWPumpCtrl-Full-Msr</v>
      </c>
      <c r="G170">
        <f>$P170</f>
        <v>2.7591000000000001E-2</v>
      </c>
      <c r="H170">
        <f>$G$4*G170</f>
        <v>27.453044999999999</v>
      </c>
      <c r="J170" t="s">
        <v>260</v>
      </c>
      <c r="K170" t="s">
        <v>14</v>
      </c>
      <c r="M170">
        <v>5286.59</v>
      </c>
      <c r="N170">
        <v>1851.81</v>
      </c>
      <c r="P170">
        <v>2.7591000000000001E-2</v>
      </c>
      <c r="Q170">
        <v>0</v>
      </c>
      <c r="R170">
        <v>174472.17</v>
      </c>
      <c r="S170">
        <v>201226.15</v>
      </c>
      <c r="T170">
        <v>0</v>
      </c>
      <c r="U170">
        <v>282049.05</v>
      </c>
      <c r="V170">
        <v>0</v>
      </c>
      <c r="W170">
        <v>107769.06</v>
      </c>
      <c r="X170">
        <v>21753.08</v>
      </c>
      <c r="Y170">
        <v>22281.59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122594.98</v>
      </c>
      <c r="AF170">
        <v>0</v>
      </c>
      <c r="AG170">
        <v>0</v>
      </c>
      <c r="AH170">
        <v>0</v>
      </c>
      <c r="AI170">
        <v>65854.75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121506.39</v>
      </c>
      <c r="AQ170">
        <v>0</v>
      </c>
      <c r="AR170">
        <v>0</v>
      </c>
      <c r="AS170">
        <v>569553045.06166804</v>
      </c>
    </row>
    <row r="171" spans="2:45" ht="15.75" hidden="1" thickBot="1" x14ac:dyDescent="0.3">
      <c r="B171" s="15" t="str" cm="1">
        <f t="array" ref="B171">INDEX(_xlfn.TEXTSPLIT($J171,"/"),3)</f>
        <v>Nrs&amp;0&amp;cPVVE&amp;Ex&amp;Chiller__PumpCtrl</v>
      </c>
      <c r="C171" s="33" t="str" cm="1">
        <f t="array" ref="C171">INDEX(_xlfn.TEXTSPLIT($J171,"/"),2)</f>
        <v>CZ05</v>
      </c>
      <c r="D171" s="34">
        <f>$G$3*H171</f>
        <v>16.872015999999999</v>
      </c>
      <c r="F171" t="str" cm="1">
        <f t="array" ref="F171">INDEX(_xlfn.TEXTSPLIT($J171,"/"),4)</f>
        <v>NE-Chiller-CHWPumpCtrl-Full-Msr</v>
      </c>
      <c r="G171">
        <f>$P171</f>
        <v>2.4223999999999999E-2</v>
      </c>
      <c r="H171">
        <f>$G$4*G171</f>
        <v>24.102879999999999</v>
      </c>
      <c r="J171" t="s">
        <v>246</v>
      </c>
      <c r="K171" t="s">
        <v>15</v>
      </c>
      <c r="M171">
        <v>4641.45</v>
      </c>
      <c r="N171">
        <v>1625.83</v>
      </c>
      <c r="P171">
        <v>2.4223999999999999E-2</v>
      </c>
      <c r="Q171">
        <v>0</v>
      </c>
      <c r="R171">
        <v>137597.88</v>
      </c>
      <c r="S171">
        <v>201226.15</v>
      </c>
      <c r="T171">
        <v>0</v>
      </c>
      <c r="U171">
        <v>282049.05</v>
      </c>
      <c r="V171">
        <v>0</v>
      </c>
      <c r="W171">
        <v>92196.27</v>
      </c>
      <c r="X171">
        <v>17714.990000000002</v>
      </c>
      <c r="Y171">
        <v>17781.37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98893.35</v>
      </c>
      <c r="AF171">
        <v>0</v>
      </c>
      <c r="AG171">
        <v>0</v>
      </c>
      <c r="AH171">
        <v>0</v>
      </c>
      <c r="AI171">
        <v>65854.75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125830.61</v>
      </c>
      <c r="AQ171">
        <v>0</v>
      </c>
      <c r="AR171">
        <v>0</v>
      </c>
      <c r="AS171">
        <v>387873265.90719497</v>
      </c>
    </row>
    <row r="172" spans="2:45" ht="15.75" hidden="1" thickBot="1" x14ac:dyDescent="0.3">
      <c r="B172" s="15" t="str" cm="1">
        <f t="array" ref="B172">INDEX(_xlfn.TEXTSPLIT($J172,"/"),3)</f>
        <v>Nrs&amp;0&amp;cPVVE&amp;Ex&amp;Chiller__PumpCtrl</v>
      </c>
      <c r="C172" s="33" t="str" cm="1">
        <f t="array" ref="C172">INDEX(_xlfn.TEXTSPLIT($J172,"/"),2)</f>
        <v>CZ06</v>
      </c>
      <c r="D172" s="34">
        <f>$G$3*H172</f>
        <v>17.589410999999998</v>
      </c>
      <c r="F172" t="str" cm="1">
        <f t="array" ref="F172">INDEX(_xlfn.TEXTSPLIT($J172,"/"),4)</f>
        <v>NE-Chiller-CHWPumpCtrl-Full-Msr</v>
      </c>
      <c r="G172">
        <f>$P172</f>
        <v>2.5253999999999999E-2</v>
      </c>
      <c r="H172">
        <f>$G$4*G172</f>
        <v>25.12773</v>
      </c>
      <c r="J172" t="s">
        <v>228</v>
      </c>
      <c r="K172" t="s">
        <v>16</v>
      </c>
      <c r="M172">
        <v>4838.79</v>
      </c>
      <c r="N172">
        <v>1694.95</v>
      </c>
      <c r="P172">
        <v>2.5253999999999999E-2</v>
      </c>
      <c r="Q172">
        <v>0</v>
      </c>
      <c r="R172">
        <v>236156.4</v>
      </c>
      <c r="S172">
        <v>201226.15</v>
      </c>
      <c r="T172">
        <v>0</v>
      </c>
      <c r="U172">
        <v>282049.05</v>
      </c>
      <c r="V172">
        <v>0</v>
      </c>
      <c r="W172">
        <v>103252.13</v>
      </c>
      <c r="X172">
        <v>26870.18</v>
      </c>
      <c r="Y172">
        <v>27751.09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69251.58</v>
      </c>
      <c r="AF172">
        <v>0</v>
      </c>
      <c r="AG172">
        <v>0</v>
      </c>
      <c r="AH172">
        <v>0</v>
      </c>
      <c r="AI172">
        <v>65854.75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115935.89</v>
      </c>
      <c r="AQ172">
        <v>0</v>
      </c>
      <c r="AR172">
        <v>0</v>
      </c>
      <c r="AS172">
        <v>332517340.75485802</v>
      </c>
    </row>
    <row r="173" spans="2:45" ht="15.75" hidden="1" thickBot="1" x14ac:dyDescent="0.3">
      <c r="B173" s="15" t="str" cm="1">
        <f t="array" ref="B173">INDEX(_xlfn.TEXTSPLIT($J173,"/"),3)</f>
        <v>Nrs&amp;0&amp;cPVVE&amp;Ex&amp;Chiller__PumpCtrl</v>
      </c>
      <c r="C173" s="33" t="str" cm="1">
        <f t="array" ref="C173">INDEX(_xlfn.TEXTSPLIT($J173,"/"),2)</f>
        <v>CZ07</v>
      </c>
      <c r="D173" s="34">
        <f>$G$3*H173</f>
        <v>17.918855499999999</v>
      </c>
      <c r="F173" t="str" cm="1">
        <f t="array" ref="F173">INDEX(_xlfn.TEXTSPLIT($J173,"/"),4)</f>
        <v>NE-Chiller-CHWPumpCtrl-Full-Msr</v>
      </c>
      <c r="G173">
        <f>$P173</f>
        <v>2.5727E-2</v>
      </c>
      <c r="H173">
        <f>$G$4*G173</f>
        <v>25.598365000000001</v>
      </c>
      <c r="J173" t="s">
        <v>213</v>
      </c>
      <c r="K173" t="s">
        <v>17</v>
      </c>
      <c r="M173">
        <v>4929.2700000000004</v>
      </c>
      <c r="N173">
        <v>1726.65</v>
      </c>
      <c r="P173">
        <v>2.5727E-2</v>
      </c>
      <c r="Q173">
        <v>0</v>
      </c>
      <c r="R173">
        <v>258365.98</v>
      </c>
      <c r="S173">
        <v>201226.15</v>
      </c>
      <c r="T173">
        <v>0</v>
      </c>
      <c r="U173">
        <v>282049.05</v>
      </c>
      <c r="V173">
        <v>0</v>
      </c>
      <c r="W173">
        <v>111852.9</v>
      </c>
      <c r="X173">
        <v>28647.25</v>
      </c>
      <c r="Y173">
        <v>29209.73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88075.68</v>
      </c>
      <c r="AF173">
        <v>0</v>
      </c>
      <c r="AG173">
        <v>0</v>
      </c>
      <c r="AH173">
        <v>0</v>
      </c>
      <c r="AI173">
        <v>65854.75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114478.96</v>
      </c>
      <c r="AQ173">
        <v>0</v>
      </c>
      <c r="AR173">
        <v>0</v>
      </c>
      <c r="AS173">
        <v>381033678.66586798</v>
      </c>
    </row>
    <row r="174" spans="2:45" ht="15.75" hidden="1" thickBot="1" x14ac:dyDescent="0.3">
      <c r="B174" s="15" t="str" cm="1">
        <f t="array" ref="B174">INDEX(_xlfn.TEXTSPLIT($J174,"/"),3)</f>
        <v>Nrs&amp;0&amp;cPVVE&amp;Ex&amp;Chiller__PumpCtrl</v>
      </c>
      <c r="C174" s="33" t="str" cm="1">
        <f t="array" ref="C174">INDEX(_xlfn.TEXTSPLIT($J174,"/"),2)</f>
        <v>CZ08</v>
      </c>
      <c r="D174" s="34">
        <f>$G$3*H174</f>
        <v>19.281209499999996</v>
      </c>
      <c r="F174" t="str" cm="1">
        <f t="array" ref="F174">INDEX(_xlfn.TEXTSPLIT($J174,"/"),4)</f>
        <v>NE-Chiller-CHWPumpCtrl-Full-Msr</v>
      </c>
      <c r="G174">
        <f>$P174</f>
        <v>2.7682999999999999E-2</v>
      </c>
      <c r="H174">
        <f>$G$4*G174</f>
        <v>27.544584999999998</v>
      </c>
      <c r="J174" t="s">
        <v>196</v>
      </c>
      <c r="K174" t="s">
        <v>18</v>
      </c>
      <c r="M174">
        <v>5304.23</v>
      </c>
      <c r="N174">
        <v>1857.99</v>
      </c>
      <c r="P174">
        <v>2.7682999999999999E-2</v>
      </c>
      <c r="Q174">
        <v>0</v>
      </c>
      <c r="R174">
        <v>256420.95</v>
      </c>
      <c r="S174">
        <v>201226.15</v>
      </c>
      <c r="T174">
        <v>0</v>
      </c>
      <c r="U174">
        <v>282049.05</v>
      </c>
      <c r="V174">
        <v>0</v>
      </c>
      <c r="W174">
        <v>123101.59</v>
      </c>
      <c r="X174">
        <v>28799.91</v>
      </c>
      <c r="Y174">
        <v>29765.9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105576.79</v>
      </c>
      <c r="AF174">
        <v>0</v>
      </c>
      <c r="AG174">
        <v>0</v>
      </c>
      <c r="AH174">
        <v>0</v>
      </c>
      <c r="AI174">
        <v>65854.75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114283.02</v>
      </c>
      <c r="AQ174">
        <v>0</v>
      </c>
      <c r="AR174">
        <v>0</v>
      </c>
      <c r="AS174">
        <v>364407059.45249599</v>
      </c>
    </row>
    <row r="175" spans="2:45" ht="15.75" hidden="1" thickBot="1" x14ac:dyDescent="0.3">
      <c r="B175" s="15" t="str" cm="1">
        <f t="array" ref="B175">INDEX(_xlfn.TEXTSPLIT($J175,"/"),3)</f>
        <v>Nrs&amp;0&amp;cPVVE&amp;Ex&amp;Chiller__PumpCtrl</v>
      </c>
      <c r="C175" s="33" t="str" cm="1">
        <f t="array" ref="C175">INDEX(_xlfn.TEXTSPLIT($J175,"/"),2)</f>
        <v>CZ09</v>
      </c>
      <c r="D175" s="34">
        <f>$G$3*H175</f>
        <v>19.418419999999998</v>
      </c>
      <c r="F175" t="str" cm="1">
        <f t="array" ref="F175">INDEX(_xlfn.TEXTSPLIT($J175,"/"),4)</f>
        <v>NE-Chiller-CHWPumpCtrl-Full-Msr</v>
      </c>
      <c r="G175">
        <f>$P175</f>
        <v>2.7879999999999999E-2</v>
      </c>
      <c r="H175">
        <f>$G$4*G175</f>
        <v>27.740599999999997</v>
      </c>
      <c r="J175" t="s">
        <v>182</v>
      </c>
      <c r="K175" t="s">
        <v>19</v>
      </c>
      <c r="M175">
        <v>5341.97</v>
      </c>
      <c r="N175">
        <v>1871.21</v>
      </c>
      <c r="P175">
        <v>2.7879999999999999E-2</v>
      </c>
      <c r="Q175">
        <v>0</v>
      </c>
      <c r="R175">
        <v>282959.34000000003</v>
      </c>
      <c r="S175">
        <v>201226.15</v>
      </c>
      <c r="T175">
        <v>0</v>
      </c>
      <c r="U175">
        <v>282049.05</v>
      </c>
      <c r="V175">
        <v>0</v>
      </c>
      <c r="W175">
        <v>138589.15</v>
      </c>
      <c r="X175">
        <v>29757.39</v>
      </c>
      <c r="Y175">
        <v>30820.16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130739.93</v>
      </c>
      <c r="AF175">
        <v>0</v>
      </c>
      <c r="AG175">
        <v>0</v>
      </c>
      <c r="AH175">
        <v>0</v>
      </c>
      <c r="AI175">
        <v>65854.75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112723.47</v>
      </c>
      <c r="AQ175">
        <v>0</v>
      </c>
      <c r="AR175">
        <v>0</v>
      </c>
      <c r="AS175">
        <v>375847849.230721</v>
      </c>
    </row>
    <row r="176" spans="2:45" ht="15.75" hidden="1" thickBot="1" x14ac:dyDescent="0.3">
      <c r="B176" s="15" t="str" cm="1">
        <f t="array" ref="B176">INDEX(_xlfn.TEXTSPLIT($J176,"/"),3)</f>
        <v>Nrs&amp;0&amp;cPVVE&amp;Ex&amp;Chiller__PumpCtrl</v>
      </c>
      <c r="C176" s="33" t="str" cm="1">
        <f t="array" ref="C176">INDEX(_xlfn.TEXTSPLIT($J176,"/"),2)</f>
        <v>CZ10</v>
      </c>
      <c r="D176" s="34">
        <f>$G$3*H176</f>
        <v>20.469438499999995</v>
      </c>
      <c r="F176" t="str" cm="1">
        <f t="array" ref="F176">INDEX(_xlfn.TEXTSPLIT($J176,"/"),4)</f>
        <v>NE-Chiller-CHWPumpCtrl-Full-Msr</v>
      </c>
      <c r="G176">
        <f>$P176</f>
        <v>2.9388999999999998E-2</v>
      </c>
      <c r="H176">
        <f>$G$4*G176</f>
        <v>29.242054999999997</v>
      </c>
      <c r="J176" t="s">
        <v>165</v>
      </c>
      <c r="K176" t="s">
        <v>20</v>
      </c>
      <c r="M176">
        <v>5630.96</v>
      </c>
      <c r="N176">
        <v>1972.43</v>
      </c>
      <c r="P176">
        <v>2.9388999999999998E-2</v>
      </c>
      <c r="Q176">
        <v>0</v>
      </c>
      <c r="R176">
        <v>276773.23</v>
      </c>
      <c r="S176">
        <v>201226.15</v>
      </c>
      <c r="T176">
        <v>0</v>
      </c>
      <c r="U176">
        <v>282049.05</v>
      </c>
      <c r="V176">
        <v>0</v>
      </c>
      <c r="W176">
        <v>144675.97</v>
      </c>
      <c r="X176">
        <v>28393.55</v>
      </c>
      <c r="Y176">
        <v>29508.17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177982.45</v>
      </c>
      <c r="AF176">
        <v>0</v>
      </c>
      <c r="AG176">
        <v>0</v>
      </c>
      <c r="AH176">
        <v>0</v>
      </c>
      <c r="AI176">
        <v>65854.75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111784.7</v>
      </c>
      <c r="AQ176">
        <v>0</v>
      </c>
      <c r="AR176">
        <v>0</v>
      </c>
      <c r="AS176">
        <v>580774357.04543996</v>
      </c>
    </row>
    <row r="177" spans="2:45" ht="15.75" hidden="1" thickBot="1" x14ac:dyDescent="0.3">
      <c r="B177" s="15" t="str" cm="1">
        <f t="array" ref="B177">INDEX(_xlfn.TEXTSPLIT($J177,"/"),3)</f>
        <v>Nrs&amp;0&amp;cPVVE&amp;Ex&amp;Chiller__PumpCtrl</v>
      </c>
      <c r="C177" s="33" t="str" cm="1">
        <f t="array" ref="C177">INDEX(_xlfn.TEXTSPLIT($J177,"/"),2)</f>
        <v>CZ11</v>
      </c>
      <c r="D177" s="34">
        <f>$G$3*H177</f>
        <v>21.111611499999999</v>
      </c>
      <c r="F177" t="str" cm="1">
        <f t="array" ref="F177">INDEX(_xlfn.TEXTSPLIT($J177,"/"),4)</f>
        <v>NE-Chiller-CHWPumpCtrl-Full-Msr</v>
      </c>
      <c r="G177">
        <f>$P177</f>
        <v>3.0311000000000001E-2</v>
      </c>
      <c r="H177">
        <f>$G$4*G177</f>
        <v>30.159445000000002</v>
      </c>
      <c r="J177" t="s">
        <v>149</v>
      </c>
      <c r="K177" t="s">
        <v>21</v>
      </c>
      <c r="M177">
        <v>5807.66</v>
      </c>
      <c r="N177">
        <v>2034.33</v>
      </c>
      <c r="P177">
        <v>3.0311000000000001E-2</v>
      </c>
      <c r="Q177">
        <v>0</v>
      </c>
      <c r="R177">
        <v>283347.42</v>
      </c>
      <c r="S177">
        <v>201226.15</v>
      </c>
      <c r="T177">
        <v>0</v>
      </c>
      <c r="U177">
        <v>282049.05</v>
      </c>
      <c r="V177">
        <v>0</v>
      </c>
      <c r="W177">
        <v>153230.04999999999</v>
      </c>
      <c r="X177">
        <v>25689.62</v>
      </c>
      <c r="Y177">
        <v>26135.759999999998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299776.57</v>
      </c>
      <c r="AF177">
        <v>0</v>
      </c>
      <c r="AG177">
        <v>0</v>
      </c>
      <c r="AH177">
        <v>0</v>
      </c>
      <c r="AI177">
        <v>65854.75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114330.42</v>
      </c>
      <c r="AQ177">
        <v>0</v>
      </c>
      <c r="AR177">
        <v>0</v>
      </c>
      <c r="AS177">
        <v>690490888.55693996</v>
      </c>
    </row>
    <row r="178" spans="2:45" ht="15.75" hidden="1" thickBot="1" x14ac:dyDescent="0.3">
      <c r="B178" s="15" t="str" cm="1">
        <f t="array" ref="B178">INDEX(_xlfn.TEXTSPLIT($J178,"/"),3)</f>
        <v>Nrs&amp;0&amp;cPVVE&amp;Ex&amp;Chiller__PumpCtrl</v>
      </c>
      <c r="C178" s="33" t="str" cm="1">
        <f t="array" ref="C178">INDEX(_xlfn.TEXTSPLIT($J178,"/"),2)</f>
        <v>CZ12</v>
      </c>
      <c r="D178" s="34">
        <f>$G$3*H178</f>
        <v>20.355908999999997</v>
      </c>
      <c r="F178" t="str" cm="1">
        <f t="array" ref="F178">INDEX(_xlfn.TEXTSPLIT($J178,"/"),4)</f>
        <v>NE-Chiller-CHWPumpCtrl-Full-Msr</v>
      </c>
      <c r="G178">
        <f>$P178</f>
        <v>2.9225999999999999E-2</v>
      </c>
      <c r="H178">
        <f>$G$4*G178</f>
        <v>29.07987</v>
      </c>
      <c r="J178" t="s">
        <v>133</v>
      </c>
      <c r="K178" t="s">
        <v>22</v>
      </c>
      <c r="M178">
        <v>5599.86</v>
      </c>
      <c r="N178">
        <v>1961.54</v>
      </c>
      <c r="P178">
        <v>2.9225999999999999E-2</v>
      </c>
      <c r="Q178">
        <v>0</v>
      </c>
      <c r="R178">
        <v>247420.74</v>
      </c>
      <c r="S178">
        <v>201226.15</v>
      </c>
      <c r="T178">
        <v>0</v>
      </c>
      <c r="U178">
        <v>282049.05</v>
      </c>
      <c r="V178">
        <v>0</v>
      </c>
      <c r="W178">
        <v>135146.82</v>
      </c>
      <c r="X178">
        <v>24485.06</v>
      </c>
      <c r="Y178">
        <v>24657.01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235114.43</v>
      </c>
      <c r="AF178">
        <v>0</v>
      </c>
      <c r="AG178">
        <v>0</v>
      </c>
      <c r="AH178">
        <v>0</v>
      </c>
      <c r="AI178">
        <v>65854.75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117531.44</v>
      </c>
      <c r="AQ178">
        <v>0</v>
      </c>
      <c r="AR178">
        <v>0</v>
      </c>
      <c r="AS178">
        <v>655397265.61001098</v>
      </c>
    </row>
    <row r="179" spans="2:45" ht="15.75" hidden="1" thickBot="1" x14ac:dyDescent="0.3">
      <c r="B179" s="15" t="str" cm="1">
        <f t="array" ref="B179">INDEX(_xlfn.TEXTSPLIT($J179,"/"),3)</f>
        <v>Nrs&amp;0&amp;cPVVE&amp;Ex&amp;Chiller__PumpCtrl</v>
      </c>
      <c r="C179" s="33" t="str" cm="1">
        <f t="array" ref="C179">INDEX(_xlfn.TEXTSPLIT($J179,"/"),2)</f>
        <v>CZ13</v>
      </c>
      <c r="D179" s="34">
        <f>$G$3*H179</f>
        <v>21.179172000000001</v>
      </c>
      <c r="F179" t="str" cm="1">
        <f t="array" ref="F179">INDEX(_xlfn.TEXTSPLIT($J179,"/"),4)</f>
        <v>NE-Chiller-CHWPumpCtrl-Full-Msr</v>
      </c>
      <c r="G179">
        <f>$P179</f>
        <v>3.0408000000000001E-2</v>
      </c>
      <c r="H179">
        <f>$G$4*G179</f>
        <v>30.255960000000002</v>
      </c>
      <c r="J179" t="s">
        <v>114</v>
      </c>
      <c r="K179" t="s">
        <v>23</v>
      </c>
      <c r="M179">
        <v>5826.28</v>
      </c>
      <c r="N179">
        <v>2040.85</v>
      </c>
      <c r="P179">
        <v>3.0408000000000001E-2</v>
      </c>
      <c r="Q179">
        <v>0</v>
      </c>
      <c r="R179">
        <v>309825.28999999998</v>
      </c>
      <c r="S179">
        <v>201226.15</v>
      </c>
      <c r="T179">
        <v>0</v>
      </c>
      <c r="U179">
        <v>282049.05</v>
      </c>
      <c r="V179">
        <v>0</v>
      </c>
      <c r="W179">
        <v>154968.68</v>
      </c>
      <c r="X179">
        <v>27593.29</v>
      </c>
      <c r="Y179">
        <v>28235.14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241104.64000000001</v>
      </c>
      <c r="AF179">
        <v>0</v>
      </c>
      <c r="AG179">
        <v>0</v>
      </c>
      <c r="AH179">
        <v>0</v>
      </c>
      <c r="AI179">
        <v>65854.75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111016.22</v>
      </c>
      <c r="AQ179">
        <v>0</v>
      </c>
      <c r="AR179">
        <v>0</v>
      </c>
      <c r="AS179">
        <v>732643941.55245101</v>
      </c>
    </row>
    <row r="180" spans="2:45" ht="15.75" hidden="1" thickBot="1" x14ac:dyDescent="0.3">
      <c r="B180" s="15" t="str" cm="1">
        <f t="array" ref="B180">INDEX(_xlfn.TEXTSPLIT($J180,"/"),3)</f>
        <v>Nrs&amp;0&amp;cPVVE&amp;Ex&amp;Chiller__PumpCtrl</v>
      </c>
      <c r="C180" s="33" t="str" cm="1">
        <f t="array" ref="C180">INDEX(_xlfn.TEXTSPLIT($J180,"/"),2)</f>
        <v>CZ14</v>
      </c>
      <c r="D180" s="34">
        <f>$G$3*H180</f>
        <v>21.308720999999998</v>
      </c>
      <c r="F180" t="str" cm="1">
        <f t="array" ref="F180">INDEX(_xlfn.TEXTSPLIT($J180,"/"),4)</f>
        <v>NE-Chiller-CHWPumpCtrl-Full-Msr</v>
      </c>
      <c r="G180">
        <f>$P180</f>
        <v>3.0594E-2</v>
      </c>
      <c r="H180">
        <f>$G$4*G180</f>
        <v>30.441030000000001</v>
      </c>
      <c r="J180" t="s">
        <v>100</v>
      </c>
      <c r="K180" t="s">
        <v>24</v>
      </c>
      <c r="M180">
        <v>5861.97</v>
      </c>
      <c r="N180">
        <v>2053.36</v>
      </c>
      <c r="P180">
        <v>3.0594E-2</v>
      </c>
      <c r="Q180">
        <v>0</v>
      </c>
      <c r="R180">
        <v>345999.72</v>
      </c>
      <c r="S180">
        <v>201226.15</v>
      </c>
      <c r="T180">
        <v>0</v>
      </c>
      <c r="U180">
        <v>282049.05</v>
      </c>
      <c r="V180">
        <v>0</v>
      </c>
      <c r="W180">
        <v>182474.13</v>
      </c>
      <c r="X180">
        <v>29690.09</v>
      </c>
      <c r="Y180">
        <v>30333.119999999999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268889.81</v>
      </c>
      <c r="AF180">
        <v>0</v>
      </c>
      <c r="AG180">
        <v>0</v>
      </c>
      <c r="AH180">
        <v>0</v>
      </c>
      <c r="AI180">
        <v>65854.75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105316.32</v>
      </c>
      <c r="AQ180">
        <v>0</v>
      </c>
      <c r="AR180">
        <v>0</v>
      </c>
      <c r="AS180">
        <v>755212440.04663205</v>
      </c>
    </row>
    <row r="181" spans="2:45" ht="15.75" hidden="1" thickBot="1" x14ac:dyDescent="0.3">
      <c r="B181" s="15" t="str" cm="1">
        <f t="array" ref="B181">INDEX(_xlfn.TEXTSPLIT($J181,"/"),3)</f>
        <v>Nrs&amp;0&amp;cPVVE&amp;Ex&amp;Chiller__PumpCtrl</v>
      </c>
      <c r="C181" s="33" t="str" cm="1">
        <f t="array" ref="C181">INDEX(_xlfn.TEXTSPLIT($J181,"/"),2)</f>
        <v>CZ15</v>
      </c>
      <c r="D181" s="34">
        <f>$G$3*H181</f>
        <v>21.836667999999996</v>
      </c>
      <c r="F181" t="str" cm="1">
        <f t="array" ref="F181">INDEX(_xlfn.TEXTSPLIT($J181,"/"),4)</f>
        <v>NE-Chiller-CHWPumpCtrl-Full-Msr</v>
      </c>
      <c r="G181">
        <f>$P181</f>
        <v>3.1351999999999998E-2</v>
      </c>
      <c r="H181">
        <f>$G$4*G181</f>
        <v>31.195239999999998</v>
      </c>
      <c r="J181" t="s">
        <v>85</v>
      </c>
      <c r="K181" t="s">
        <v>25</v>
      </c>
      <c r="M181">
        <v>6007.07</v>
      </c>
      <c r="N181">
        <v>2104.1799999999998</v>
      </c>
      <c r="P181">
        <v>3.1351999999999998E-2</v>
      </c>
      <c r="Q181">
        <v>0</v>
      </c>
      <c r="R181">
        <v>444924.68</v>
      </c>
      <c r="S181">
        <v>201226.15</v>
      </c>
      <c r="T181">
        <v>0</v>
      </c>
      <c r="U181">
        <v>282049.05</v>
      </c>
      <c r="V181">
        <v>0</v>
      </c>
      <c r="W181">
        <v>202301.37</v>
      </c>
      <c r="X181">
        <v>33837.33</v>
      </c>
      <c r="Y181">
        <v>36952.79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290438.45</v>
      </c>
      <c r="AF181">
        <v>0</v>
      </c>
      <c r="AG181">
        <v>0</v>
      </c>
      <c r="AH181">
        <v>0</v>
      </c>
      <c r="AI181">
        <v>65854.75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93542.73</v>
      </c>
      <c r="AQ181">
        <v>0</v>
      </c>
      <c r="AR181">
        <v>0</v>
      </c>
      <c r="AS181">
        <v>732216872.05424404</v>
      </c>
    </row>
    <row r="182" spans="2:45" ht="15.75" hidden="1" thickBot="1" x14ac:dyDescent="0.3">
      <c r="B182" s="15" t="str" cm="1">
        <f t="array" ref="B182">INDEX(_xlfn.TEXTSPLIT($J182,"/"),3)</f>
        <v>Nrs&amp;0&amp;cPVVE&amp;Ex&amp;Chiller__PumpCtrl</v>
      </c>
      <c r="C182" s="33" t="str" cm="1">
        <f t="array" ref="C182">INDEX(_xlfn.TEXTSPLIT($J182,"/"),2)</f>
        <v>CZ16</v>
      </c>
      <c r="D182" s="34">
        <f>$G$3*H182</f>
        <v>18.691273999999996</v>
      </c>
      <c r="F182" t="str" cm="1">
        <f t="array" ref="F182">INDEX(_xlfn.TEXTSPLIT($J182,"/"),4)</f>
        <v>NE-Chiller-CHWPumpCtrl-Full-Msr</v>
      </c>
      <c r="G182">
        <f>$P182</f>
        <v>2.6835999999999999E-2</v>
      </c>
      <c r="H182">
        <f>$G$4*G182</f>
        <v>26.701819999999998</v>
      </c>
      <c r="J182" t="s">
        <v>66</v>
      </c>
      <c r="K182" t="s">
        <v>26</v>
      </c>
      <c r="M182">
        <v>5141.88</v>
      </c>
      <c r="N182">
        <v>1801.12</v>
      </c>
      <c r="P182">
        <v>2.6835999999999999E-2</v>
      </c>
      <c r="Q182">
        <v>0</v>
      </c>
      <c r="R182">
        <v>240593.34</v>
      </c>
      <c r="S182">
        <v>201226.15</v>
      </c>
      <c r="T182">
        <v>0</v>
      </c>
      <c r="U182">
        <v>282049.05</v>
      </c>
      <c r="V182">
        <v>0</v>
      </c>
      <c r="W182">
        <v>181145.4</v>
      </c>
      <c r="X182">
        <v>24923.18</v>
      </c>
      <c r="Y182">
        <v>21471.64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390516.18</v>
      </c>
      <c r="AF182">
        <v>0</v>
      </c>
      <c r="AG182">
        <v>0</v>
      </c>
      <c r="AH182">
        <v>0</v>
      </c>
      <c r="AI182">
        <v>65854.75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124220.75</v>
      </c>
      <c r="AQ182">
        <v>0</v>
      </c>
      <c r="AR182">
        <v>0</v>
      </c>
      <c r="AS182">
        <v>571220287.34349406</v>
      </c>
    </row>
    <row r="183" spans="2:45" ht="15.75" hidden="1" thickBot="1" x14ac:dyDescent="0.3">
      <c r="B183" s="15" t="str" cm="1">
        <f t="array" ref="B183">INDEX(_xlfn.TEXTSPLIT($J183,"/"),3)</f>
        <v>Nrs&amp;0&amp;cPVVE&amp;New&amp;Chiller__PumpCtrl</v>
      </c>
      <c r="C183" s="33" t="str" cm="1">
        <f t="array" ref="C183">INDEX(_xlfn.TEXTSPLIT($J183,"/"),2)</f>
        <v>CZ01</v>
      </c>
      <c r="D183" s="34">
        <f>$G$3*H183</f>
        <v>10.662022</v>
      </c>
      <c r="F183" t="str" cm="1">
        <f t="array" ref="F183">INDEX(_xlfn.TEXTSPLIT($J183,"/"),4)</f>
        <v>NE-Chiller-CHWPumpCtrl-Full-Msr</v>
      </c>
      <c r="G183">
        <f>$P183</f>
        <v>1.5308E-2</v>
      </c>
      <c r="H183">
        <f>$G$4*G183</f>
        <v>15.23146</v>
      </c>
      <c r="J183" t="s">
        <v>565</v>
      </c>
      <c r="K183" t="s">
        <v>11</v>
      </c>
      <c r="M183">
        <v>2932.99</v>
      </c>
      <c r="N183">
        <v>1027.3800000000001</v>
      </c>
      <c r="P183">
        <v>1.5308E-2</v>
      </c>
      <c r="Q183">
        <v>0</v>
      </c>
      <c r="R183">
        <v>23444.14</v>
      </c>
      <c r="S183">
        <v>103288.37</v>
      </c>
      <c r="T183">
        <v>0</v>
      </c>
      <c r="U183">
        <v>282049.05</v>
      </c>
      <c r="V183">
        <v>0</v>
      </c>
      <c r="W183">
        <v>57382.26</v>
      </c>
      <c r="X183">
        <v>2950.43</v>
      </c>
      <c r="Y183">
        <v>2949.16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137329.44</v>
      </c>
      <c r="AF183">
        <v>0</v>
      </c>
      <c r="AG183">
        <v>0</v>
      </c>
      <c r="AH183">
        <v>0</v>
      </c>
      <c r="AI183">
        <v>65854.75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137432.03</v>
      </c>
      <c r="AQ183">
        <v>0</v>
      </c>
      <c r="AR183">
        <v>0</v>
      </c>
      <c r="AS183">
        <v>252955568.96309799</v>
      </c>
    </row>
    <row r="184" spans="2:45" ht="15.75" hidden="1" thickBot="1" x14ac:dyDescent="0.3">
      <c r="B184" s="15" t="str" cm="1">
        <f t="array" ref="B184">INDEX(_xlfn.TEXTSPLIT($J184,"/"),3)</f>
        <v>Nrs&amp;0&amp;cPVVE&amp;New&amp;Chiller__PumpCtrl</v>
      </c>
      <c r="C184" s="33" t="str" cm="1">
        <f t="array" ref="C184">INDEX(_xlfn.TEXTSPLIT($J184,"/"),2)</f>
        <v>CZ02</v>
      </c>
      <c r="D184" s="34">
        <f>$G$3*H184</f>
        <v>13.721049999999998</v>
      </c>
      <c r="F184" t="str" cm="1">
        <f t="array" ref="F184">INDEX(_xlfn.TEXTSPLIT($J184,"/"),4)</f>
        <v>NE-Chiller-CHWPumpCtrl-Full-Msr</v>
      </c>
      <c r="G184">
        <f>$P184</f>
        <v>1.9699999999999999E-2</v>
      </c>
      <c r="H184">
        <f>$G$4*G184</f>
        <v>19.601499999999998</v>
      </c>
      <c r="J184" t="s">
        <v>550</v>
      </c>
      <c r="K184" t="s">
        <v>12</v>
      </c>
      <c r="M184">
        <v>3774.56</v>
      </c>
      <c r="N184">
        <v>1322.17</v>
      </c>
      <c r="P184">
        <v>1.9699999999999999E-2</v>
      </c>
      <c r="Q184">
        <v>0</v>
      </c>
      <c r="R184">
        <v>108966.31</v>
      </c>
      <c r="S184">
        <v>103288.37</v>
      </c>
      <c r="T184">
        <v>0</v>
      </c>
      <c r="U184">
        <v>282049.05</v>
      </c>
      <c r="V184">
        <v>0</v>
      </c>
      <c r="W184">
        <v>72981.05</v>
      </c>
      <c r="X184">
        <v>13111.88</v>
      </c>
      <c r="Y184">
        <v>13046.16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107465.64</v>
      </c>
      <c r="AF184">
        <v>0</v>
      </c>
      <c r="AG184">
        <v>0</v>
      </c>
      <c r="AH184">
        <v>0</v>
      </c>
      <c r="AI184">
        <v>65854.75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126288.53</v>
      </c>
      <c r="AQ184">
        <v>0</v>
      </c>
      <c r="AR184">
        <v>0</v>
      </c>
      <c r="AS184">
        <v>405826899.17097998</v>
      </c>
    </row>
    <row r="185" spans="2:45" ht="15.75" hidden="1" thickBot="1" x14ac:dyDescent="0.3">
      <c r="B185" s="15" t="str" cm="1">
        <f t="array" ref="B185">INDEX(_xlfn.TEXTSPLIT($J185,"/"),3)</f>
        <v>Nrs&amp;0&amp;cPVVE&amp;New&amp;Chiller__PumpCtrl</v>
      </c>
      <c r="C185" s="33" t="str" cm="1">
        <f t="array" ref="C185">INDEX(_xlfn.TEXTSPLIT($J185,"/"),2)</f>
        <v>CZ03</v>
      </c>
      <c r="D185" s="34">
        <f>$G$3*H185</f>
        <v>13.258574000000001</v>
      </c>
      <c r="F185" t="str" cm="1">
        <f t="array" ref="F185">INDEX(_xlfn.TEXTSPLIT($J185,"/"),4)</f>
        <v>NE-Chiller-CHWPumpCtrl-Full-Msr</v>
      </c>
      <c r="G185">
        <f>$P185</f>
        <v>1.9036000000000001E-2</v>
      </c>
      <c r="H185">
        <f>$G$4*G185</f>
        <v>18.940820000000002</v>
      </c>
      <c r="J185" t="s">
        <v>533</v>
      </c>
      <c r="K185" t="s">
        <v>13</v>
      </c>
      <c r="M185">
        <v>3647.44</v>
      </c>
      <c r="N185">
        <v>1277.6400000000001</v>
      </c>
      <c r="P185">
        <v>1.9036000000000001E-2</v>
      </c>
      <c r="Q185">
        <v>0</v>
      </c>
      <c r="R185">
        <v>83494.960000000006</v>
      </c>
      <c r="S185">
        <v>103288.37</v>
      </c>
      <c r="T185">
        <v>0</v>
      </c>
      <c r="U185">
        <v>282049.05</v>
      </c>
      <c r="V185">
        <v>0</v>
      </c>
      <c r="W185">
        <v>61157.03</v>
      </c>
      <c r="X185">
        <v>12605.72</v>
      </c>
      <c r="Y185">
        <v>12922.83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70651.59</v>
      </c>
      <c r="AF185">
        <v>0</v>
      </c>
      <c r="AG185">
        <v>0</v>
      </c>
      <c r="AH185">
        <v>0</v>
      </c>
      <c r="AI185">
        <v>65854.75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125812.93</v>
      </c>
      <c r="AQ185">
        <v>0</v>
      </c>
      <c r="AR185">
        <v>0</v>
      </c>
      <c r="AS185">
        <v>347092233.47907901</v>
      </c>
    </row>
    <row r="186" spans="2:45" ht="15.75" hidden="1" thickBot="1" x14ac:dyDescent="0.3">
      <c r="B186" s="15" t="str" cm="1">
        <f t="array" ref="B186">INDEX(_xlfn.TEXTSPLIT($J186,"/"),3)</f>
        <v>Nrs&amp;0&amp;cPVVE&amp;New&amp;Chiller__PumpCtrl</v>
      </c>
      <c r="C186" s="33" t="str" cm="1">
        <f t="array" ref="C186">INDEX(_xlfn.TEXTSPLIT($J186,"/"),2)</f>
        <v>CZ04</v>
      </c>
      <c r="D186" s="34">
        <f>$G$3*H186</f>
        <v>13.950198500000001</v>
      </c>
      <c r="F186" t="str" cm="1">
        <f t="array" ref="F186">INDEX(_xlfn.TEXTSPLIT($J186,"/"),4)</f>
        <v>NE-Chiller-CHWPumpCtrl-Full-Msr</v>
      </c>
      <c r="G186">
        <f>$P186</f>
        <v>2.0029000000000002E-2</v>
      </c>
      <c r="H186">
        <f>$G$4*G186</f>
        <v>19.928855000000002</v>
      </c>
      <c r="J186" t="s">
        <v>517</v>
      </c>
      <c r="K186" t="s">
        <v>14</v>
      </c>
      <c r="M186">
        <v>3837.58</v>
      </c>
      <c r="N186">
        <v>1344.24</v>
      </c>
      <c r="P186">
        <v>2.0029000000000002E-2</v>
      </c>
      <c r="Q186">
        <v>0</v>
      </c>
      <c r="R186">
        <v>125054.12</v>
      </c>
      <c r="S186">
        <v>103288.37</v>
      </c>
      <c r="T186">
        <v>0</v>
      </c>
      <c r="U186">
        <v>282049.05</v>
      </c>
      <c r="V186">
        <v>0</v>
      </c>
      <c r="W186">
        <v>74880.34</v>
      </c>
      <c r="X186">
        <v>15382.56</v>
      </c>
      <c r="Y186">
        <v>15764.65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71941.37</v>
      </c>
      <c r="AF186">
        <v>0</v>
      </c>
      <c r="AG186">
        <v>0</v>
      </c>
      <c r="AH186">
        <v>0</v>
      </c>
      <c r="AI186">
        <v>65854.75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121497.76</v>
      </c>
      <c r="AQ186">
        <v>0</v>
      </c>
      <c r="AR186">
        <v>0</v>
      </c>
      <c r="AS186">
        <v>416904497.117594</v>
      </c>
    </row>
    <row r="187" spans="2:45" ht="15.75" hidden="1" thickBot="1" x14ac:dyDescent="0.3">
      <c r="B187" s="15" t="str" cm="1">
        <f t="array" ref="B187">INDEX(_xlfn.TEXTSPLIT($J187,"/"),3)</f>
        <v>Nrs&amp;0&amp;cPVVE&amp;New&amp;Chiller__PumpCtrl</v>
      </c>
      <c r="C187" s="33" t="str" cm="1">
        <f t="array" ref="C187">INDEX(_xlfn.TEXTSPLIT($J187,"/"),2)</f>
        <v>CZ05</v>
      </c>
      <c r="D187" s="34">
        <f>$G$3*H187</f>
        <v>12.2799915</v>
      </c>
      <c r="F187" t="str" cm="1">
        <f t="array" ref="F187">INDEX(_xlfn.TEXTSPLIT($J187,"/"),4)</f>
        <v>NE-Chiller-CHWPumpCtrl-Full-Msr</v>
      </c>
      <c r="G187">
        <f>$P187</f>
        <v>1.7631000000000001E-2</v>
      </c>
      <c r="H187">
        <f>$G$4*G187</f>
        <v>17.542845</v>
      </c>
      <c r="J187" t="s">
        <v>501</v>
      </c>
      <c r="K187" t="s">
        <v>15</v>
      </c>
      <c r="M187">
        <v>3378.13</v>
      </c>
      <c r="N187">
        <v>1183.31</v>
      </c>
      <c r="P187">
        <v>1.7631000000000001E-2</v>
      </c>
      <c r="Q187">
        <v>0</v>
      </c>
      <c r="R187">
        <v>93838.25</v>
      </c>
      <c r="S187">
        <v>103288.37</v>
      </c>
      <c r="T187">
        <v>0</v>
      </c>
      <c r="U187">
        <v>282049.05</v>
      </c>
      <c r="V187">
        <v>0</v>
      </c>
      <c r="W187">
        <v>65374.57</v>
      </c>
      <c r="X187">
        <v>12140.72</v>
      </c>
      <c r="Y187">
        <v>12270.54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75175.929999999993</v>
      </c>
      <c r="AF187">
        <v>0</v>
      </c>
      <c r="AG187">
        <v>0</v>
      </c>
      <c r="AH187">
        <v>0</v>
      </c>
      <c r="AI187">
        <v>65854.75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125817.16</v>
      </c>
      <c r="AQ187">
        <v>0</v>
      </c>
      <c r="AR187">
        <v>0</v>
      </c>
      <c r="AS187">
        <v>282314415.62586999</v>
      </c>
    </row>
    <row r="188" spans="2:45" ht="15.75" hidden="1" thickBot="1" x14ac:dyDescent="0.3">
      <c r="B188" s="15" t="str" cm="1">
        <f t="array" ref="B188">INDEX(_xlfn.TEXTSPLIT($J188,"/"),3)</f>
        <v>Nrs&amp;0&amp;cPVVE&amp;New&amp;Chiller__PumpCtrl</v>
      </c>
      <c r="C188" s="33" t="str" cm="1">
        <f t="array" ref="C188">INDEX(_xlfn.TEXTSPLIT($J188,"/"),2)</f>
        <v>CZ06</v>
      </c>
      <c r="D188" s="34">
        <f>$G$3*H188</f>
        <v>13.117184499999999</v>
      </c>
      <c r="F188" t="str" cm="1">
        <f t="array" ref="F188">INDEX(_xlfn.TEXTSPLIT($J188,"/"),4)</f>
        <v>NE-Chiller-CHWPumpCtrl-Full-Msr</v>
      </c>
      <c r="G188">
        <f>$P188</f>
        <v>1.8832999999999999E-2</v>
      </c>
      <c r="H188">
        <f>$G$4*G188</f>
        <v>18.738834999999998</v>
      </c>
      <c r="J188" t="s">
        <v>483</v>
      </c>
      <c r="K188" t="s">
        <v>16</v>
      </c>
      <c r="M188">
        <v>3608.44</v>
      </c>
      <c r="N188">
        <v>1263.98</v>
      </c>
      <c r="P188">
        <v>1.8832999999999999E-2</v>
      </c>
      <c r="Q188">
        <v>0</v>
      </c>
      <c r="R188">
        <v>166938.35999999999</v>
      </c>
      <c r="S188">
        <v>103288.37</v>
      </c>
      <c r="T188">
        <v>0</v>
      </c>
      <c r="U188">
        <v>282049.05</v>
      </c>
      <c r="V188">
        <v>0</v>
      </c>
      <c r="W188">
        <v>71731</v>
      </c>
      <c r="X188">
        <v>19430.900000000001</v>
      </c>
      <c r="Y188">
        <v>19995.73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42832.38</v>
      </c>
      <c r="AF188">
        <v>0</v>
      </c>
      <c r="AG188">
        <v>0</v>
      </c>
      <c r="AH188">
        <v>0</v>
      </c>
      <c r="AI188">
        <v>65854.75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115921.87</v>
      </c>
      <c r="AQ188">
        <v>0</v>
      </c>
      <c r="AR188">
        <v>0</v>
      </c>
      <c r="AS188">
        <v>253180773.10851201</v>
      </c>
    </row>
    <row r="189" spans="2:45" ht="15.75" hidden="1" thickBot="1" x14ac:dyDescent="0.3">
      <c r="B189" s="15" t="str" cm="1">
        <f t="array" ref="B189">INDEX(_xlfn.TEXTSPLIT($J189,"/"),3)</f>
        <v>Nrs&amp;0&amp;cPVVE&amp;New&amp;Chiller__PumpCtrl</v>
      </c>
      <c r="C189" s="33" t="str" cm="1">
        <f t="array" ref="C189">INDEX(_xlfn.TEXTSPLIT($J189,"/"),2)</f>
        <v>CZ07</v>
      </c>
      <c r="D189" s="34">
        <f>$G$3*H189</f>
        <v>13.554586499999999</v>
      </c>
      <c r="F189" t="str" cm="1">
        <f t="array" ref="F189">INDEX(_xlfn.TEXTSPLIT($J189,"/"),4)</f>
        <v>NE-Chiller-CHWPumpCtrl-Full-Msr</v>
      </c>
      <c r="G189">
        <f>$P189</f>
        <v>1.9460999999999999E-2</v>
      </c>
      <c r="H189">
        <f>$G$4*G189</f>
        <v>19.363695</v>
      </c>
      <c r="J189" t="s">
        <v>467</v>
      </c>
      <c r="K189" t="s">
        <v>17</v>
      </c>
      <c r="M189">
        <v>3728.7</v>
      </c>
      <c r="N189">
        <v>1306.0999999999999</v>
      </c>
      <c r="P189">
        <v>1.9460999999999999E-2</v>
      </c>
      <c r="Q189">
        <v>0</v>
      </c>
      <c r="R189">
        <v>187206.08</v>
      </c>
      <c r="S189">
        <v>103288.37</v>
      </c>
      <c r="T189">
        <v>0</v>
      </c>
      <c r="U189">
        <v>282049.05</v>
      </c>
      <c r="V189">
        <v>0</v>
      </c>
      <c r="W189">
        <v>79218.63</v>
      </c>
      <c r="X189">
        <v>21095.27</v>
      </c>
      <c r="Y189">
        <v>21503.68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58336.4</v>
      </c>
      <c r="AF189">
        <v>0</v>
      </c>
      <c r="AG189">
        <v>0</v>
      </c>
      <c r="AH189">
        <v>0</v>
      </c>
      <c r="AI189">
        <v>65854.75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114470.96</v>
      </c>
      <c r="AQ189">
        <v>0</v>
      </c>
      <c r="AR189">
        <v>0</v>
      </c>
      <c r="AS189">
        <v>295042110.969854</v>
      </c>
    </row>
    <row r="190" spans="2:45" ht="15.75" hidden="1" thickBot="1" x14ac:dyDescent="0.3">
      <c r="B190" s="15" t="str" cm="1">
        <f t="array" ref="B190">INDEX(_xlfn.TEXTSPLIT($J190,"/"),3)</f>
        <v>Nrs&amp;0&amp;cPVVE&amp;New&amp;Chiller__PumpCtrl</v>
      </c>
      <c r="C190" s="33" t="str" cm="1">
        <f t="array" ref="C190">INDEX(_xlfn.TEXTSPLIT($J190,"/"),2)</f>
        <v>CZ08</v>
      </c>
      <c r="D190" s="34">
        <f>$G$3*H190</f>
        <v>14.497647499999999</v>
      </c>
      <c r="F190" t="str" cm="1">
        <f t="array" ref="F190">INDEX(_xlfn.TEXTSPLIT($J190,"/"),4)</f>
        <v>NE-Chiller-CHWPumpCtrl-Full-Msr</v>
      </c>
      <c r="G190">
        <f>$P190</f>
        <v>2.0815E-2</v>
      </c>
      <c r="H190">
        <f>$G$4*G190</f>
        <v>20.710925</v>
      </c>
      <c r="J190" t="s">
        <v>453</v>
      </c>
      <c r="K190" t="s">
        <v>18</v>
      </c>
      <c r="M190">
        <v>3988.28</v>
      </c>
      <c r="N190">
        <v>1397.03</v>
      </c>
      <c r="P190">
        <v>2.0815E-2</v>
      </c>
      <c r="Q190">
        <v>0</v>
      </c>
      <c r="R190">
        <v>188877.16</v>
      </c>
      <c r="S190">
        <v>103288.37</v>
      </c>
      <c r="T190">
        <v>0</v>
      </c>
      <c r="U190">
        <v>282049.05</v>
      </c>
      <c r="V190">
        <v>0</v>
      </c>
      <c r="W190">
        <v>86864.18</v>
      </c>
      <c r="X190">
        <v>21034.880000000001</v>
      </c>
      <c r="Y190">
        <v>21720.05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72433.69</v>
      </c>
      <c r="AF190">
        <v>0</v>
      </c>
      <c r="AG190">
        <v>0</v>
      </c>
      <c r="AH190">
        <v>0</v>
      </c>
      <c r="AI190">
        <v>65854.75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114266.38</v>
      </c>
      <c r="AQ190">
        <v>0</v>
      </c>
      <c r="AR190">
        <v>0</v>
      </c>
      <c r="AS190">
        <v>267050282.956229</v>
      </c>
    </row>
    <row r="191" spans="2:45" ht="15.75" hidden="1" thickBot="1" x14ac:dyDescent="0.3">
      <c r="B191" s="15" t="str" cm="1">
        <f t="array" ref="B191">INDEX(_xlfn.TEXTSPLIT($J191,"/"),3)</f>
        <v>Nrs&amp;0&amp;cPVVE&amp;New&amp;Chiller__PumpCtrl</v>
      </c>
      <c r="C191" s="33" t="str" cm="1">
        <f t="array" ref="C191">INDEX(_xlfn.TEXTSPLIT($J191,"/"),2)</f>
        <v>CZ09</v>
      </c>
      <c r="D191" s="34">
        <f>$G$3*H191</f>
        <v>13.9446265</v>
      </c>
      <c r="F191" t="str" cm="1">
        <f t="array" ref="F191">INDEX(_xlfn.TEXTSPLIT($J191,"/"),4)</f>
        <v>NE-Chiller-CHWPumpCtrl-Full-Msr</v>
      </c>
      <c r="G191">
        <f>$P191</f>
        <v>2.0021000000000001E-2</v>
      </c>
      <c r="H191">
        <f>$G$4*G191</f>
        <v>19.920895000000002</v>
      </c>
      <c r="J191" t="s">
        <v>437</v>
      </c>
      <c r="K191" t="s">
        <v>19</v>
      </c>
      <c r="M191">
        <v>3836.13</v>
      </c>
      <c r="N191">
        <v>1343.73</v>
      </c>
      <c r="P191">
        <v>2.0021000000000001E-2</v>
      </c>
      <c r="Q191">
        <v>0</v>
      </c>
      <c r="R191">
        <v>199048.33</v>
      </c>
      <c r="S191">
        <v>103288.37</v>
      </c>
      <c r="T191">
        <v>0</v>
      </c>
      <c r="U191">
        <v>282049.05</v>
      </c>
      <c r="V191">
        <v>0</v>
      </c>
      <c r="W191">
        <v>89626.26</v>
      </c>
      <c r="X191">
        <v>20899.73</v>
      </c>
      <c r="Y191">
        <v>21573.5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68976.800000000003</v>
      </c>
      <c r="AF191">
        <v>0</v>
      </c>
      <c r="AG191">
        <v>0</v>
      </c>
      <c r="AH191">
        <v>0</v>
      </c>
      <c r="AI191">
        <v>65854.75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112700.01</v>
      </c>
      <c r="AQ191">
        <v>0</v>
      </c>
      <c r="AR191">
        <v>0</v>
      </c>
      <c r="AS191">
        <v>260692793.84207901</v>
      </c>
    </row>
    <row r="192" spans="2:45" ht="15.75" hidden="1" thickBot="1" x14ac:dyDescent="0.3">
      <c r="B192" s="15" t="str" cm="1">
        <f t="array" ref="B192">INDEX(_xlfn.TEXTSPLIT($J192,"/"),3)</f>
        <v>Nrs&amp;0&amp;cPVVE&amp;New&amp;Chiller__PumpCtrl</v>
      </c>
      <c r="C192" s="33" t="str" cm="1">
        <f t="array" ref="C192">INDEX(_xlfn.TEXTSPLIT($J192,"/"),2)</f>
        <v>CZ10</v>
      </c>
      <c r="D192" s="34">
        <f>$G$3*H192</f>
        <v>15.689359</v>
      </c>
      <c r="F192" t="str" cm="1">
        <f t="array" ref="F192">INDEX(_xlfn.TEXTSPLIT($J192,"/"),4)</f>
        <v>NE-Chiller-CHWPumpCtrl-Full-Msr</v>
      </c>
      <c r="G192">
        <f>$P192</f>
        <v>2.2526000000000001E-2</v>
      </c>
      <c r="H192">
        <f>$G$4*G192</f>
        <v>22.41337</v>
      </c>
      <c r="J192" t="s">
        <v>421</v>
      </c>
      <c r="K192" t="s">
        <v>20</v>
      </c>
      <c r="M192">
        <v>4316.04</v>
      </c>
      <c r="N192">
        <v>1511.84</v>
      </c>
      <c r="P192">
        <v>2.2526000000000001E-2</v>
      </c>
      <c r="Q192">
        <v>0</v>
      </c>
      <c r="R192">
        <v>207203.63</v>
      </c>
      <c r="S192">
        <v>103288.37</v>
      </c>
      <c r="T192">
        <v>0</v>
      </c>
      <c r="U192">
        <v>282049.05</v>
      </c>
      <c r="V192">
        <v>0</v>
      </c>
      <c r="W192">
        <v>102231.33</v>
      </c>
      <c r="X192">
        <v>21196.61</v>
      </c>
      <c r="Y192">
        <v>22051.39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111572.96</v>
      </c>
      <c r="AF192">
        <v>0</v>
      </c>
      <c r="AG192">
        <v>0</v>
      </c>
      <c r="AH192">
        <v>0</v>
      </c>
      <c r="AI192">
        <v>65854.75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111781.73</v>
      </c>
      <c r="AQ192">
        <v>0</v>
      </c>
      <c r="AR192">
        <v>0</v>
      </c>
      <c r="AS192">
        <v>469948883.46108502</v>
      </c>
    </row>
    <row r="193" spans="2:45" ht="15.75" hidden="1" thickBot="1" x14ac:dyDescent="0.3">
      <c r="B193" s="15" t="str" cm="1">
        <f t="array" ref="B193">INDEX(_xlfn.TEXTSPLIT($J193,"/"),3)</f>
        <v>Nrs&amp;0&amp;cPVVE&amp;New&amp;Chiller__PumpCtrl</v>
      </c>
      <c r="C193" s="33" t="str" cm="1">
        <f t="array" ref="C193">INDEX(_xlfn.TEXTSPLIT($J193,"/"),2)</f>
        <v>CZ11</v>
      </c>
      <c r="D193" s="34">
        <f>$G$3*H193</f>
        <v>15.453941999999998</v>
      </c>
      <c r="F193" t="str" cm="1">
        <f t="array" ref="F193">INDEX(_xlfn.TEXTSPLIT($J193,"/"),4)</f>
        <v>NE-Chiller-CHWPumpCtrl-Full-Msr</v>
      </c>
      <c r="G193">
        <f>$P193</f>
        <v>2.2187999999999999E-2</v>
      </c>
      <c r="H193">
        <f>$G$4*G193</f>
        <v>22.077059999999999</v>
      </c>
      <c r="J193" t="s">
        <v>403</v>
      </c>
      <c r="K193" t="s">
        <v>21</v>
      </c>
      <c r="M193">
        <v>4251.34</v>
      </c>
      <c r="N193">
        <v>1489.18</v>
      </c>
      <c r="P193">
        <v>2.2187999999999999E-2</v>
      </c>
      <c r="Q193">
        <v>0</v>
      </c>
      <c r="R193">
        <v>180381.25</v>
      </c>
      <c r="S193">
        <v>103288.37</v>
      </c>
      <c r="T193">
        <v>0</v>
      </c>
      <c r="U193">
        <v>282049.05</v>
      </c>
      <c r="V193">
        <v>0</v>
      </c>
      <c r="W193">
        <v>103357.22</v>
      </c>
      <c r="X193">
        <v>17332.22</v>
      </c>
      <c r="Y193">
        <v>18378.97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172769</v>
      </c>
      <c r="AF193">
        <v>0</v>
      </c>
      <c r="AG193">
        <v>0</v>
      </c>
      <c r="AH193">
        <v>0</v>
      </c>
      <c r="AI193">
        <v>65854.75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114320.04</v>
      </c>
      <c r="AQ193">
        <v>0</v>
      </c>
      <c r="AR193">
        <v>0</v>
      </c>
      <c r="AS193">
        <v>476004260.67108297</v>
      </c>
    </row>
    <row r="194" spans="2:45" ht="15.75" hidden="1" thickBot="1" x14ac:dyDescent="0.3">
      <c r="B194" s="15" t="str" cm="1">
        <f t="array" ref="B194">INDEX(_xlfn.TEXTSPLIT($J194,"/"),3)</f>
        <v>Nrs&amp;0&amp;cPVVE&amp;New&amp;Chiller__PumpCtrl</v>
      </c>
      <c r="C194" s="33" t="str" cm="1">
        <f t="array" ref="C194">INDEX(_xlfn.TEXTSPLIT($J194,"/"),2)</f>
        <v>CZ12</v>
      </c>
      <c r="D194" s="34">
        <f>$G$3*H194</f>
        <v>15.248474499999999</v>
      </c>
      <c r="F194" t="str" cm="1">
        <f t="array" ref="F194">INDEX(_xlfn.TEXTSPLIT($J194,"/"),4)</f>
        <v>NE-Chiller-CHWPumpCtrl-Full-Msr</v>
      </c>
      <c r="G194">
        <f>$P194</f>
        <v>2.1892999999999999E-2</v>
      </c>
      <c r="H194">
        <f>$G$4*G194</f>
        <v>21.783535000000001</v>
      </c>
      <c r="J194" t="s">
        <v>389</v>
      </c>
      <c r="K194" t="s">
        <v>22</v>
      </c>
      <c r="M194">
        <v>4194.84</v>
      </c>
      <c r="N194">
        <v>1469.39</v>
      </c>
      <c r="P194">
        <v>2.1892999999999999E-2</v>
      </c>
      <c r="Q194">
        <v>0</v>
      </c>
      <c r="R194">
        <v>160178.99</v>
      </c>
      <c r="S194">
        <v>103288.37</v>
      </c>
      <c r="T194">
        <v>0</v>
      </c>
      <c r="U194">
        <v>282049.05</v>
      </c>
      <c r="V194">
        <v>0</v>
      </c>
      <c r="W194">
        <v>93200.03</v>
      </c>
      <c r="X194">
        <v>16777.740000000002</v>
      </c>
      <c r="Y194">
        <v>17729.25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146203.06</v>
      </c>
      <c r="AF194">
        <v>0</v>
      </c>
      <c r="AG194">
        <v>0</v>
      </c>
      <c r="AH194">
        <v>0</v>
      </c>
      <c r="AI194">
        <v>65854.75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117519.39</v>
      </c>
      <c r="AQ194">
        <v>0</v>
      </c>
      <c r="AR194">
        <v>0</v>
      </c>
      <c r="AS194">
        <v>445906388.85938299</v>
      </c>
    </row>
    <row r="195" spans="2:45" ht="15.75" hidden="1" thickBot="1" x14ac:dyDescent="0.3">
      <c r="B195" s="15" t="str" cm="1">
        <f t="array" ref="B195">INDEX(_xlfn.TEXTSPLIT($J195,"/"),3)</f>
        <v>Nrs&amp;0&amp;cPVVE&amp;New&amp;Chiller__PumpCtrl</v>
      </c>
      <c r="C195" s="33" t="str" cm="1">
        <f t="array" ref="C195">INDEX(_xlfn.TEXTSPLIT($J195,"/"),2)</f>
        <v>CZ13</v>
      </c>
      <c r="D195" s="34">
        <f>$G$3*H195</f>
        <v>15.990246999999998</v>
      </c>
      <c r="F195" t="str" cm="1">
        <f t="array" ref="F195">INDEX(_xlfn.TEXTSPLIT($J195,"/"),4)</f>
        <v>NE-Chiller-CHWPumpCtrl-Full-Msr</v>
      </c>
      <c r="G195">
        <f>$P195</f>
        <v>2.2957999999999999E-2</v>
      </c>
      <c r="H195">
        <f>$G$4*G195</f>
        <v>22.843209999999999</v>
      </c>
      <c r="J195" t="s">
        <v>373</v>
      </c>
      <c r="K195" t="s">
        <v>23</v>
      </c>
      <c r="M195">
        <v>4398.8</v>
      </c>
      <c r="N195">
        <v>1540.83</v>
      </c>
      <c r="P195">
        <v>2.2957999999999999E-2</v>
      </c>
      <c r="Q195">
        <v>0</v>
      </c>
      <c r="R195">
        <v>199930.79</v>
      </c>
      <c r="S195">
        <v>103288.37</v>
      </c>
      <c r="T195">
        <v>0</v>
      </c>
      <c r="U195">
        <v>282049.05</v>
      </c>
      <c r="V195">
        <v>0</v>
      </c>
      <c r="W195">
        <v>105789.61</v>
      </c>
      <c r="X195">
        <v>19225.169999999998</v>
      </c>
      <c r="Y195">
        <v>20503.27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152730.59</v>
      </c>
      <c r="AF195">
        <v>0</v>
      </c>
      <c r="AG195">
        <v>0</v>
      </c>
      <c r="AH195">
        <v>0</v>
      </c>
      <c r="AI195">
        <v>65854.75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111011.13</v>
      </c>
      <c r="AQ195">
        <v>0</v>
      </c>
      <c r="AR195">
        <v>0</v>
      </c>
      <c r="AS195">
        <v>478700545.65509701</v>
      </c>
    </row>
    <row r="196" spans="2:45" ht="15.75" hidden="1" thickBot="1" x14ac:dyDescent="0.3">
      <c r="B196" s="15" t="str" cm="1">
        <f t="array" ref="B196">INDEX(_xlfn.TEXTSPLIT($J196,"/"),3)</f>
        <v>Nrs&amp;0&amp;cPVVE&amp;New&amp;Chiller__PumpCtrl</v>
      </c>
      <c r="C196" s="33" t="str" cm="1">
        <f t="array" ref="C196">INDEX(_xlfn.TEXTSPLIT($J196,"/"),2)</f>
        <v>CZ14</v>
      </c>
      <c r="D196" s="34">
        <f>$G$3*H196</f>
        <v>15.970744999999997</v>
      </c>
      <c r="F196" t="str" cm="1">
        <f t="array" ref="F196">INDEX(_xlfn.TEXTSPLIT($J196,"/"),4)</f>
        <v>NE-Chiller-CHWPumpCtrl-Full-Msr</v>
      </c>
      <c r="G196">
        <f>$P196</f>
        <v>2.2929999999999999E-2</v>
      </c>
      <c r="H196">
        <f>$G$4*G196</f>
        <v>22.815349999999999</v>
      </c>
      <c r="J196" t="s">
        <v>357</v>
      </c>
      <c r="K196" t="s">
        <v>24</v>
      </c>
      <c r="M196">
        <v>4393.43</v>
      </c>
      <c r="N196">
        <v>1538.95</v>
      </c>
      <c r="P196">
        <v>2.2929999999999999E-2</v>
      </c>
      <c r="Q196">
        <v>0</v>
      </c>
      <c r="R196">
        <v>251536.02</v>
      </c>
      <c r="S196">
        <v>103288.37</v>
      </c>
      <c r="T196">
        <v>0</v>
      </c>
      <c r="U196">
        <v>282049.05</v>
      </c>
      <c r="V196">
        <v>0</v>
      </c>
      <c r="W196">
        <v>123814.96</v>
      </c>
      <c r="X196">
        <v>21660.36</v>
      </c>
      <c r="Y196">
        <v>22088.09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164815.10999999999</v>
      </c>
      <c r="AF196">
        <v>0</v>
      </c>
      <c r="AG196">
        <v>0</v>
      </c>
      <c r="AH196">
        <v>0</v>
      </c>
      <c r="AI196">
        <v>65854.75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105307.15</v>
      </c>
      <c r="AQ196">
        <v>0</v>
      </c>
      <c r="AR196">
        <v>0</v>
      </c>
      <c r="AS196">
        <v>606608544.89424205</v>
      </c>
    </row>
    <row r="197" spans="2:45" ht="15.75" hidden="1" thickBot="1" x14ac:dyDescent="0.3">
      <c r="B197" s="15" t="str" cm="1">
        <f t="array" ref="B197">INDEX(_xlfn.TEXTSPLIT($J197,"/"),3)</f>
        <v>Nrs&amp;0&amp;cPVVE&amp;New&amp;Chiller__PumpCtrl</v>
      </c>
      <c r="C197" s="33" t="str" cm="1">
        <f t="array" ref="C197">INDEX(_xlfn.TEXTSPLIT($J197,"/"),2)</f>
        <v>CZ15</v>
      </c>
      <c r="D197" s="34">
        <f>$G$3*H197</f>
        <v>16.489637500000001</v>
      </c>
      <c r="F197" t="str" cm="1">
        <f t="array" ref="F197">INDEX(_xlfn.TEXTSPLIT($J197,"/"),4)</f>
        <v>NE-Chiller-CHWPumpCtrl-Full-Msr</v>
      </c>
      <c r="G197">
        <f>$P197</f>
        <v>2.3675000000000002E-2</v>
      </c>
      <c r="H197">
        <f>$G$4*G197</f>
        <v>23.556625</v>
      </c>
      <c r="J197" t="s">
        <v>341</v>
      </c>
      <c r="K197" t="s">
        <v>25</v>
      </c>
      <c r="M197">
        <v>4536.17</v>
      </c>
      <c r="N197">
        <v>1588.95</v>
      </c>
      <c r="P197">
        <v>2.3675000000000002E-2</v>
      </c>
      <c r="Q197">
        <v>0</v>
      </c>
      <c r="R197">
        <v>328760.46000000002</v>
      </c>
      <c r="S197">
        <v>103288.37</v>
      </c>
      <c r="T197">
        <v>0</v>
      </c>
      <c r="U197">
        <v>282049.05</v>
      </c>
      <c r="V197">
        <v>0</v>
      </c>
      <c r="W197">
        <v>133726.07</v>
      </c>
      <c r="X197">
        <v>24703.63</v>
      </c>
      <c r="Y197">
        <v>27058.48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176357.29</v>
      </c>
      <c r="AF197">
        <v>0</v>
      </c>
      <c r="AG197">
        <v>0</v>
      </c>
      <c r="AH197">
        <v>0</v>
      </c>
      <c r="AI197">
        <v>65854.75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93548.4</v>
      </c>
      <c r="AQ197">
        <v>0</v>
      </c>
      <c r="AR197">
        <v>0</v>
      </c>
      <c r="AS197">
        <v>550657431.56746197</v>
      </c>
    </row>
    <row r="198" spans="2:45" ht="15.75" hidden="1" thickBot="1" x14ac:dyDescent="0.3">
      <c r="B198" s="15" t="str" cm="1">
        <f t="array" ref="B198">INDEX(_xlfn.TEXTSPLIT($J198,"/"),3)</f>
        <v>Nrs&amp;0&amp;cPVVE&amp;New&amp;Chiller__PumpCtrl</v>
      </c>
      <c r="C198" s="33" t="str" cm="1">
        <f t="array" ref="C198">INDEX(_xlfn.TEXTSPLIT($J198,"/"),2)</f>
        <v>CZ16</v>
      </c>
      <c r="D198" s="34">
        <f>$G$3*H198</f>
        <v>13.778162999999999</v>
      </c>
      <c r="F198" t="str" cm="1">
        <f t="array" ref="F198">INDEX(_xlfn.TEXTSPLIT($J198,"/"),4)</f>
        <v>NE-Chiller-CHWPumpCtrl-Full-Msr</v>
      </c>
      <c r="G198">
        <f>$P198</f>
        <v>1.9782000000000001E-2</v>
      </c>
      <c r="H198">
        <f>$G$4*G198</f>
        <v>19.68309</v>
      </c>
      <c r="J198" t="s">
        <v>323</v>
      </c>
      <c r="K198" t="s">
        <v>26</v>
      </c>
      <c r="M198">
        <v>3790.34</v>
      </c>
      <c r="N198">
        <v>1327.7</v>
      </c>
      <c r="P198">
        <v>1.9782000000000001E-2</v>
      </c>
      <c r="Q198">
        <v>0</v>
      </c>
      <c r="R198">
        <v>164349.18</v>
      </c>
      <c r="S198">
        <v>103288.37</v>
      </c>
      <c r="T198">
        <v>0</v>
      </c>
      <c r="U198">
        <v>282049.05</v>
      </c>
      <c r="V198">
        <v>0</v>
      </c>
      <c r="W198">
        <v>125209.89</v>
      </c>
      <c r="X198">
        <v>16775.77</v>
      </c>
      <c r="Y198">
        <v>15052.1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245110.14</v>
      </c>
      <c r="AF198">
        <v>0</v>
      </c>
      <c r="AG198">
        <v>0</v>
      </c>
      <c r="AH198">
        <v>0</v>
      </c>
      <c r="AI198">
        <v>65854.75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124214</v>
      </c>
      <c r="AQ198">
        <v>0</v>
      </c>
      <c r="AR198">
        <v>0</v>
      </c>
      <c r="AS198">
        <v>428303255.59432</v>
      </c>
    </row>
    <row r="199" spans="2:45" ht="15.75" hidden="1" thickBot="1" x14ac:dyDescent="0.3">
      <c r="B199" s="15" t="str" cm="1">
        <f t="array" ref="B199">INDEX(_xlfn.TEXTSPLIT($J199,"/"),3)</f>
        <v>OfL&amp;0&amp;cPVVE&amp;Ex&amp;Chiller__PumpCtrl</v>
      </c>
      <c r="C199" s="33" t="str" cm="1">
        <f t="array" ref="C199">INDEX(_xlfn.TEXTSPLIT($J199,"/"),2)</f>
        <v>CZ01</v>
      </c>
      <c r="D199" s="34">
        <f>$G$3*H199</f>
        <v>96.479179999999999</v>
      </c>
      <c r="F199" t="str" cm="1">
        <f t="array" ref="F199">INDEX(_xlfn.TEXTSPLIT($J199,"/"),4)</f>
        <v>NE-Chiller-CHWPumpCtrl-Full-Msr</v>
      </c>
      <c r="G199">
        <f>$P199</f>
        <v>0.13852</v>
      </c>
      <c r="H199">
        <f>$G$4*G199</f>
        <v>137.82740000000001</v>
      </c>
      <c r="J199" t="s">
        <v>309</v>
      </c>
      <c r="K199" t="s">
        <v>11</v>
      </c>
      <c r="M199">
        <v>26540.880000000001</v>
      </c>
      <c r="N199">
        <v>9296.85</v>
      </c>
      <c r="P199">
        <v>0.13852</v>
      </c>
      <c r="Q199">
        <v>0</v>
      </c>
      <c r="R199">
        <v>88092.55</v>
      </c>
      <c r="S199">
        <v>463682.79</v>
      </c>
      <c r="T199">
        <v>0</v>
      </c>
      <c r="U199">
        <v>831153.37</v>
      </c>
      <c r="V199">
        <v>0</v>
      </c>
      <c r="W199">
        <v>162571.37</v>
      </c>
      <c r="X199">
        <v>89893</v>
      </c>
      <c r="Y199">
        <v>95038.16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775480.49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126002.45</v>
      </c>
      <c r="AQ199">
        <v>0</v>
      </c>
      <c r="AR199">
        <v>0</v>
      </c>
      <c r="AS199">
        <v>1423702696.9358399</v>
      </c>
    </row>
    <row r="200" spans="2:45" ht="15.75" hidden="1" thickBot="1" x14ac:dyDescent="0.3">
      <c r="B200" s="15" t="str" cm="1">
        <f t="array" ref="B200">INDEX(_xlfn.TEXTSPLIT($J200,"/"),3)</f>
        <v>OfL&amp;0&amp;cPVVE&amp;Ex&amp;Chiller__PumpCtrl</v>
      </c>
      <c r="C200" s="33" t="str" cm="1">
        <f t="array" ref="C200">INDEX(_xlfn.TEXTSPLIT($J200,"/"),2)</f>
        <v>CZ02</v>
      </c>
      <c r="D200" s="34">
        <f>$G$3*H200</f>
        <v>120.220079</v>
      </c>
      <c r="F200" t="str" cm="1">
        <f t="array" ref="F200">INDEX(_xlfn.TEXTSPLIT($J200,"/"),4)</f>
        <v>NE-Chiller-CHWPumpCtrl-Full-Msr</v>
      </c>
      <c r="G200">
        <f>$P200</f>
        <v>0.17260600000000001</v>
      </c>
      <c r="H200">
        <f>$G$4*G200</f>
        <v>171.74297000000001</v>
      </c>
      <c r="J200" t="s">
        <v>294</v>
      </c>
      <c r="K200" t="s">
        <v>12</v>
      </c>
      <c r="M200">
        <v>33071.699999999997</v>
      </c>
      <c r="N200">
        <v>11584.49</v>
      </c>
      <c r="P200">
        <v>0.17260600000000001</v>
      </c>
      <c r="Q200">
        <v>0</v>
      </c>
      <c r="R200">
        <v>698711.66</v>
      </c>
      <c r="S200">
        <v>463682.79</v>
      </c>
      <c r="T200">
        <v>0</v>
      </c>
      <c r="U200">
        <v>831153.37</v>
      </c>
      <c r="V200">
        <v>0</v>
      </c>
      <c r="W200">
        <v>227022.59</v>
      </c>
      <c r="X200">
        <v>207257.97</v>
      </c>
      <c r="Y200">
        <v>206150.18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804913.6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115799.29</v>
      </c>
      <c r="AQ200">
        <v>0</v>
      </c>
      <c r="AR200">
        <v>0</v>
      </c>
      <c r="AS200">
        <v>2031536279.5885601</v>
      </c>
    </row>
    <row r="201" spans="2:45" ht="15.75" hidden="1" thickBot="1" x14ac:dyDescent="0.3">
      <c r="B201" s="15" t="str" cm="1">
        <f t="array" ref="B201">INDEX(_xlfn.TEXTSPLIT($J201,"/"),3)</f>
        <v>OfL&amp;0&amp;cPVVE&amp;Ex&amp;Chiller__PumpCtrl</v>
      </c>
      <c r="C201" s="33" t="str" cm="1">
        <f t="array" ref="C201">INDEX(_xlfn.TEXTSPLIT($J201,"/"),2)</f>
        <v>CZ03</v>
      </c>
      <c r="D201" s="34">
        <f>$G$3*H201</f>
        <v>113.64163649999999</v>
      </c>
      <c r="F201" t="str" cm="1">
        <f t="array" ref="F201">INDEX(_xlfn.TEXTSPLIT($J201,"/"),4)</f>
        <v>NE-Chiller-CHWPumpCtrl-Full-Msr</v>
      </c>
      <c r="G201">
        <f>$P201</f>
        <v>0.163161</v>
      </c>
      <c r="H201">
        <f>$G$4*G201</f>
        <v>162.34519499999999</v>
      </c>
      <c r="J201" t="s">
        <v>277</v>
      </c>
      <c r="K201" t="s">
        <v>13</v>
      </c>
      <c r="M201">
        <v>31261.98</v>
      </c>
      <c r="N201">
        <v>10950.58</v>
      </c>
      <c r="P201">
        <v>0.163161</v>
      </c>
      <c r="Q201">
        <v>0</v>
      </c>
      <c r="R201">
        <v>512970.3</v>
      </c>
      <c r="S201">
        <v>463682.79</v>
      </c>
      <c r="T201">
        <v>0</v>
      </c>
      <c r="U201">
        <v>831153.37</v>
      </c>
      <c r="V201">
        <v>0</v>
      </c>
      <c r="W201">
        <v>196391.07</v>
      </c>
      <c r="X201">
        <v>204646</v>
      </c>
      <c r="Y201">
        <v>221216.27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586102.88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115362.8</v>
      </c>
      <c r="AQ201">
        <v>0</v>
      </c>
      <c r="AR201">
        <v>0</v>
      </c>
      <c r="AS201">
        <v>1839383176.0211999</v>
      </c>
    </row>
    <row r="202" spans="2:45" ht="15.75" hidden="1" thickBot="1" x14ac:dyDescent="0.3">
      <c r="B202" s="15" t="str" cm="1">
        <f t="array" ref="B202">INDEX(_xlfn.TEXTSPLIT($J202,"/"),3)</f>
        <v>OfL&amp;0&amp;cPVVE&amp;Ex&amp;Chiller__PumpCtrl</v>
      </c>
      <c r="C202" s="33" t="str" cm="1">
        <f t="array" ref="C202">INDEX(_xlfn.TEXTSPLIT($J202,"/"),2)</f>
        <v>CZ04</v>
      </c>
      <c r="D202" s="34">
        <f>$G$3*H202</f>
        <v>121.03637699999999</v>
      </c>
      <c r="F202" t="str" cm="1">
        <f t="array" ref="F202">INDEX(_xlfn.TEXTSPLIT($J202,"/"),4)</f>
        <v>NE-Chiller-CHWPumpCtrl-Full-Msr</v>
      </c>
      <c r="G202">
        <f>$P202</f>
        <v>0.17377799999999999</v>
      </c>
      <c r="H202">
        <f>$G$4*G202</f>
        <v>172.90911</v>
      </c>
      <c r="J202" t="s">
        <v>257</v>
      </c>
      <c r="K202" t="s">
        <v>14</v>
      </c>
      <c r="M202">
        <v>33296.29</v>
      </c>
      <c r="N202">
        <v>11663.16</v>
      </c>
      <c r="P202">
        <v>0.17377799999999999</v>
      </c>
      <c r="Q202">
        <v>0</v>
      </c>
      <c r="R202">
        <v>776259.73</v>
      </c>
      <c r="S202">
        <v>463682.79</v>
      </c>
      <c r="T202">
        <v>0</v>
      </c>
      <c r="U202">
        <v>831153.37</v>
      </c>
      <c r="V202">
        <v>0</v>
      </c>
      <c r="W202">
        <v>237944.38</v>
      </c>
      <c r="X202">
        <v>229232.17</v>
      </c>
      <c r="Y202">
        <v>245263.07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660914.11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111411.6</v>
      </c>
      <c r="AQ202">
        <v>0</v>
      </c>
      <c r="AR202">
        <v>0</v>
      </c>
      <c r="AS202">
        <v>2075494651.8278201</v>
      </c>
    </row>
    <row r="203" spans="2:45" ht="15.75" hidden="1" thickBot="1" x14ac:dyDescent="0.3">
      <c r="B203" s="15" t="str" cm="1">
        <f t="array" ref="B203">INDEX(_xlfn.TEXTSPLIT($J203,"/"),3)</f>
        <v>OfL&amp;0&amp;cPVVE&amp;Ex&amp;Chiller__PumpCtrl</v>
      </c>
      <c r="C203" s="33" t="str" cm="1">
        <f t="array" ref="C203">INDEX(_xlfn.TEXTSPLIT($J203,"/"),2)</f>
        <v>CZ05</v>
      </c>
      <c r="D203" s="34">
        <f>$G$3*H203</f>
        <v>109.84292550000001</v>
      </c>
      <c r="F203" t="str" cm="1">
        <f t="array" ref="F203">INDEX(_xlfn.TEXTSPLIT($J203,"/"),4)</f>
        <v>NE-Chiller-CHWPumpCtrl-Full-Msr</v>
      </c>
      <c r="G203">
        <f>$P203</f>
        <v>0.15770700000000001</v>
      </c>
      <c r="H203">
        <f>$G$4*G203</f>
        <v>156.91846500000003</v>
      </c>
      <c r="J203" t="s">
        <v>243</v>
      </c>
      <c r="K203" t="s">
        <v>15</v>
      </c>
      <c r="M203">
        <v>30217.01</v>
      </c>
      <c r="N203">
        <v>10584.54</v>
      </c>
      <c r="P203">
        <v>0.15770700000000001</v>
      </c>
      <c r="Q203">
        <v>0</v>
      </c>
      <c r="R203">
        <v>582132.86</v>
      </c>
      <c r="S203">
        <v>463682.79</v>
      </c>
      <c r="T203">
        <v>0</v>
      </c>
      <c r="U203">
        <v>831153.37</v>
      </c>
      <c r="V203">
        <v>0</v>
      </c>
      <c r="W203">
        <v>214578.89</v>
      </c>
      <c r="X203">
        <v>196968.7</v>
      </c>
      <c r="Y203">
        <v>206327.71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554526.21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115374.26</v>
      </c>
      <c r="AQ203">
        <v>0</v>
      </c>
      <c r="AR203">
        <v>0</v>
      </c>
      <c r="AS203">
        <v>1513528330.0994899</v>
      </c>
    </row>
    <row r="204" spans="2:45" ht="15.75" hidden="1" thickBot="1" x14ac:dyDescent="0.3">
      <c r="B204" s="15" t="str" cm="1">
        <f t="array" ref="B204">INDEX(_xlfn.TEXTSPLIT($J204,"/"),3)</f>
        <v>OfL&amp;0&amp;cPVVE&amp;Ex&amp;Chiller__PumpCtrl</v>
      </c>
      <c r="C204" s="33" t="str" cm="1">
        <f t="array" ref="C204">INDEX(_xlfn.TEXTSPLIT($J204,"/"),2)</f>
        <v>CZ06</v>
      </c>
      <c r="D204" s="34">
        <f>$G$3*H204</f>
        <v>111.14746999999998</v>
      </c>
      <c r="F204" t="str" cm="1">
        <f t="array" ref="F204">INDEX(_xlfn.TEXTSPLIT($J204,"/"),4)</f>
        <v>NE-Chiller-CHWPumpCtrl-Full-Msr</v>
      </c>
      <c r="G204">
        <f>$P204</f>
        <v>0.15958</v>
      </c>
      <c r="H204">
        <f>$G$4*G204</f>
        <v>158.78209999999999</v>
      </c>
      <c r="J204" t="s">
        <v>227</v>
      </c>
      <c r="K204" t="s">
        <v>16</v>
      </c>
      <c r="M204">
        <v>30575.87</v>
      </c>
      <c r="N204">
        <v>10710.24</v>
      </c>
      <c r="P204">
        <v>0.15958</v>
      </c>
      <c r="Q204">
        <v>0</v>
      </c>
      <c r="R204">
        <v>1057465.6100000001</v>
      </c>
      <c r="S204">
        <v>463682.79</v>
      </c>
      <c r="T204">
        <v>0</v>
      </c>
      <c r="U204">
        <v>831153.37</v>
      </c>
      <c r="V204">
        <v>0</v>
      </c>
      <c r="W204">
        <v>253487.47</v>
      </c>
      <c r="X204">
        <v>266537.40000000002</v>
      </c>
      <c r="Y204">
        <v>287665.67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410618.59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106295.79</v>
      </c>
      <c r="AQ204">
        <v>0</v>
      </c>
      <c r="AR204">
        <v>0</v>
      </c>
      <c r="AS204">
        <v>1456214409.51529</v>
      </c>
    </row>
    <row r="205" spans="2:45" ht="15.75" hidden="1" thickBot="1" x14ac:dyDescent="0.3">
      <c r="B205" s="15" t="str" cm="1">
        <f t="array" ref="B205">INDEX(_xlfn.TEXTSPLIT($J205,"/"),3)</f>
        <v>OfL&amp;0&amp;cPVVE&amp;Ex&amp;Chiller__PumpCtrl</v>
      </c>
      <c r="C205" s="33" t="str" cm="1">
        <f t="array" ref="C205">INDEX(_xlfn.TEXTSPLIT($J205,"/"),2)</f>
        <v>CZ07</v>
      </c>
      <c r="D205" s="34">
        <f>$G$3*H205</f>
        <v>111.86486499999999</v>
      </c>
      <c r="F205" t="str" cm="1">
        <f t="array" ref="F205">INDEX(_xlfn.TEXTSPLIT($J205,"/"),4)</f>
        <v>NE-Chiller-CHWPumpCtrl-Full-Msr</v>
      </c>
      <c r="G205">
        <f>$P205</f>
        <v>0.16061</v>
      </c>
      <c r="H205">
        <f>$G$4*G205</f>
        <v>159.80695</v>
      </c>
      <c r="J205" t="s">
        <v>212</v>
      </c>
      <c r="K205" t="s">
        <v>17</v>
      </c>
      <c r="M205">
        <v>30773.22</v>
      </c>
      <c r="N205">
        <v>10779.37</v>
      </c>
      <c r="P205">
        <v>0.16061</v>
      </c>
      <c r="Q205">
        <v>0</v>
      </c>
      <c r="R205">
        <v>1130811.83</v>
      </c>
      <c r="S205">
        <v>463682.79</v>
      </c>
      <c r="T205">
        <v>0</v>
      </c>
      <c r="U205">
        <v>831153.37</v>
      </c>
      <c r="V205">
        <v>0</v>
      </c>
      <c r="W205">
        <v>278966.89</v>
      </c>
      <c r="X205">
        <v>271826.37</v>
      </c>
      <c r="Y205">
        <v>292240.86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498789.47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104973.84</v>
      </c>
      <c r="AQ205">
        <v>0</v>
      </c>
      <c r="AR205">
        <v>0</v>
      </c>
      <c r="AS205">
        <v>1557283199.4506199</v>
      </c>
    </row>
    <row r="206" spans="2:45" ht="15.75" hidden="1" thickBot="1" x14ac:dyDescent="0.3">
      <c r="B206" s="15" t="str" cm="1">
        <f t="array" ref="B206">INDEX(_xlfn.TEXTSPLIT($J206,"/"),3)</f>
        <v>OfL&amp;0&amp;cPVVE&amp;Ex&amp;Chiller__PumpCtrl</v>
      </c>
      <c r="C206" s="33" t="str" cm="1">
        <f t="array" ref="C206">INDEX(_xlfn.TEXTSPLIT($J206,"/"),2)</f>
        <v>CZ08</v>
      </c>
      <c r="D206" s="34">
        <f>$G$3*H206</f>
        <v>120.35171749999999</v>
      </c>
      <c r="F206" t="str" cm="1">
        <f t="array" ref="F206">INDEX(_xlfn.TEXTSPLIT($J206,"/"),4)</f>
        <v>NE-Chiller-CHWPumpCtrl-Full-Msr</v>
      </c>
      <c r="G206">
        <f>$P206</f>
        <v>0.172795</v>
      </c>
      <c r="H206">
        <f>$G$4*G206</f>
        <v>171.93102500000001</v>
      </c>
      <c r="J206" t="s">
        <v>197</v>
      </c>
      <c r="K206" t="s">
        <v>18</v>
      </c>
      <c r="M206">
        <v>33108.050000000003</v>
      </c>
      <c r="N206">
        <v>11597.22</v>
      </c>
      <c r="P206">
        <v>0.172795</v>
      </c>
      <c r="Q206">
        <v>0</v>
      </c>
      <c r="R206">
        <v>1153669.7</v>
      </c>
      <c r="S206">
        <v>463682.79</v>
      </c>
      <c r="T206">
        <v>0</v>
      </c>
      <c r="U206">
        <v>831153.37</v>
      </c>
      <c r="V206">
        <v>0</v>
      </c>
      <c r="W206">
        <v>278976.19</v>
      </c>
      <c r="X206">
        <v>277528.7</v>
      </c>
      <c r="Y206">
        <v>297676.21999999997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557799.43000000005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104785.89</v>
      </c>
      <c r="AQ206">
        <v>0</v>
      </c>
      <c r="AR206">
        <v>0</v>
      </c>
      <c r="AS206">
        <v>1527407985.83145</v>
      </c>
    </row>
    <row r="207" spans="2:45" ht="15.75" hidden="1" thickBot="1" x14ac:dyDescent="0.3">
      <c r="B207" s="15" t="str" cm="1">
        <f t="array" ref="B207">INDEX(_xlfn.TEXTSPLIT($J207,"/"),3)</f>
        <v>OfL&amp;0&amp;cPVVE&amp;Ex&amp;Chiller__PumpCtrl</v>
      </c>
      <c r="C207" s="33" t="str" cm="1">
        <f t="array" ref="C207">INDEX(_xlfn.TEXTSPLIT($J207,"/"),2)</f>
        <v>CZ09</v>
      </c>
      <c r="D207" s="34">
        <f>$G$3*H207</f>
        <v>122.99702449999999</v>
      </c>
      <c r="F207" t="str" cm="1">
        <f t="array" ref="F207">INDEX(_xlfn.TEXTSPLIT($J207,"/"),4)</f>
        <v>NE-Chiller-CHWPumpCtrl-Full-Msr</v>
      </c>
      <c r="G207">
        <f>$P207</f>
        <v>0.176593</v>
      </c>
      <c r="H207">
        <f>$G$4*G207</f>
        <v>175.710035</v>
      </c>
      <c r="J207" t="s">
        <v>177</v>
      </c>
      <c r="K207" t="s">
        <v>19</v>
      </c>
      <c r="M207">
        <v>33835.660000000003</v>
      </c>
      <c r="N207">
        <v>11852.09</v>
      </c>
      <c r="P207">
        <v>0.176593</v>
      </c>
      <c r="Q207">
        <v>0</v>
      </c>
      <c r="R207">
        <v>1236774.72</v>
      </c>
      <c r="S207">
        <v>463682.79</v>
      </c>
      <c r="T207">
        <v>0</v>
      </c>
      <c r="U207">
        <v>831153.37</v>
      </c>
      <c r="V207">
        <v>0</v>
      </c>
      <c r="W207">
        <v>291330.69</v>
      </c>
      <c r="X207">
        <v>287639.90999999997</v>
      </c>
      <c r="Y207">
        <v>309836.52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615093.87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103351.38</v>
      </c>
      <c r="AQ207">
        <v>0</v>
      </c>
      <c r="AR207">
        <v>0</v>
      </c>
      <c r="AS207">
        <v>1645705791.0074501</v>
      </c>
    </row>
    <row r="208" spans="2:45" ht="15.75" hidden="1" thickBot="1" x14ac:dyDescent="0.3">
      <c r="B208" s="15" t="str" cm="1">
        <f t="array" ref="B208">INDEX(_xlfn.TEXTSPLIT($J208,"/"),3)</f>
        <v>OfL&amp;0&amp;cPVVE&amp;Ex&amp;Chiller__PumpCtrl</v>
      </c>
      <c r="C208" s="33" t="str" cm="1">
        <f t="array" ref="C208">INDEX(_xlfn.TEXTSPLIT($J208,"/"),2)</f>
        <v>CZ10</v>
      </c>
      <c r="D208" s="34">
        <f>$G$3*H208</f>
        <v>123.08896249999999</v>
      </c>
      <c r="F208" t="str" cm="1">
        <f t="array" ref="F208">INDEX(_xlfn.TEXTSPLIT($J208,"/"),4)</f>
        <v>NE-Chiller-CHWPumpCtrl-Full-Msr</v>
      </c>
      <c r="G208">
        <f>$P208</f>
        <v>0.17672499999999999</v>
      </c>
      <c r="H208">
        <f>$G$4*G208</f>
        <v>175.841375</v>
      </c>
      <c r="J208" t="s">
        <v>161</v>
      </c>
      <c r="K208" t="s">
        <v>20</v>
      </c>
      <c r="M208">
        <v>33861.050000000003</v>
      </c>
      <c r="N208">
        <v>11860.99</v>
      </c>
      <c r="P208">
        <v>0.17672499999999999</v>
      </c>
      <c r="Q208">
        <v>0</v>
      </c>
      <c r="R208">
        <v>1107039.19</v>
      </c>
      <c r="S208">
        <v>463682.79</v>
      </c>
      <c r="T208">
        <v>0</v>
      </c>
      <c r="U208">
        <v>831153.37</v>
      </c>
      <c r="V208">
        <v>0</v>
      </c>
      <c r="W208">
        <v>293760.55</v>
      </c>
      <c r="X208">
        <v>266816.77</v>
      </c>
      <c r="Y208">
        <v>279539.23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687865.48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102507.42</v>
      </c>
      <c r="AQ208">
        <v>0</v>
      </c>
      <c r="AR208">
        <v>0</v>
      </c>
      <c r="AS208">
        <v>2091366838.83289</v>
      </c>
    </row>
    <row r="209" spans="2:45" ht="15.75" hidden="1" thickBot="1" x14ac:dyDescent="0.3">
      <c r="B209" s="15" t="str" cm="1">
        <f t="array" ref="B209">INDEX(_xlfn.TEXTSPLIT($J209,"/"),3)</f>
        <v>OfL&amp;0&amp;cPVVE&amp;Ex&amp;Chiller__PumpCtrl</v>
      </c>
      <c r="C209" s="33" t="str" cm="1">
        <f t="array" ref="C209">INDEX(_xlfn.TEXTSPLIT($J209,"/"),2)</f>
        <v>CZ11</v>
      </c>
      <c r="D209" s="34">
        <f>$G$3*H209</f>
        <v>130.128488</v>
      </c>
      <c r="F209" t="str" cm="1">
        <f t="array" ref="F209">INDEX(_xlfn.TEXTSPLIT($J209,"/"),4)</f>
        <v>NE-Chiller-CHWPumpCtrl-Full-Msr</v>
      </c>
      <c r="G209">
        <f>$P209</f>
        <v>0.186832</v>
      </c>
      <c r="H209">
        <f>$G$4*G209</f>
        <v>185.89784</v>
      </c>
      <c r="J209" t="s">
        <v>146</v>
      </c>
      <c r="K209" t="s">
        <v>21</v>
      </c>
      <c r="M209">
        <v>35797.56</v>
      </c>
      <c r="N209">
        <v>12539.31</v>
      </c>
      <c r="P209">
        <v>0.186832</v>
      </c>
      <c r="Q209">
        <v>0</v>
      </c>
      <c r="R209">
        <v>1059192.28</v>
      </c>
      <c r="S209">
        <v>463682.79</v>
      </c>
      <c r="T209">
        <v>0</v>
      </c>
      <c r="U209">
        <v>831153.37</v>
      </c>
      <c r="V209">
        <v>0</v>
      </c>
      <c r="W209">
        <v>290517.09999999998</v>
      </c>
      <c r="X209">
        <v>250776.28</v>
      </c>
      <c r="Y209">
        <v>254285.53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972847.76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104844.23</v>
      </c>
      <c r="AQ209">
        <v>0</v>
      </c>
      <c r="AR209">
        <v>0</v>
      </c>
      <c r="AS209">
        <v>2377075412.5243902</v>
      </c>
    </row>
    <row r="210" spans="2:45" ht="15.75" hidden="1" thickBot="1" x14ac:dyDescent="0.3">
      <c r="B210" s="15" t="str" cm="1">
        <f t="array" ref="B210">INDEX(_xlfn.TEXTSPLIT($J210,"/"),3)</f>
        <v>OfL&amp;0&amp;cPVVE&amp;Ex&amp;Chiller__PumpCtrl</v>
      </c>
      <c r="C210" s="33" t="str" cm="1">
        <f t="array" ref="C210">INDEX(_xlfn.TEXTSPLIT($J210,"/"),2)</f>
        <v>CZ12</v>
      </c>
      <c r="D210" s="34">
        <f>$G$3*H210</f>
        <v>125.63884899999999</v>
      </c>
      <c r="F210" t="str" cm="1">
        <f t="array" ref="F210">INDEX(_xlfn.TEXTSPLIT($J210,"/"),4)</f>
        <v>NE-Chiller-CHWPumpCtrl-Full-Msr</v>
      </c>
      <c r="G210">
        <f>$P210</f>
        <v>0.18038599999999999</v>
      </c>
      <c r="H210">
        <f>$G$4*G210</f>
        <v>179.48407</v>
      </c>
      <c r="J210" t="s">
        <v>132</v>
      </c>
      <c r="K210" t="s">
        <v>22</v>
      </c>
      <c r="M210">
        <v>34562.33</v>
      </c>
      <c r="N210">
        <v>12106.63</v>
      </c>
      <c r="P210">
        <v>0.18038599999999999</v>
      </c>
      <c r="Q210">
        <v>0</v>
      </c>
      <c r="R210">
        <v>988686.77</v>
      </c>
      <c r="S210">
        <v>463682.79</v>
      </c>
      <c r="T210">
        <v>0</v>
      </c>
      <c r="U210">
        <v>831153.37</v>
      </c>
      <c r="V210">
        <v>0</v>
      </c>
      <c r="W210">
        <v>271518.56</v>
      </c>
      <c r="X210">
        <v>240090.39</v>
      </c>
      <c r="Y210">
        <v>241439.23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843666.37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107763.32</v>
      </c>
      <c r="AQ210">
        <v>0</v>
      </c>
      <c r="AR210">
        <v>0</v>
      </c>
      <c r="AS210">
        <v>2318141067.6457701</v>
      </c>
    </row>
    <row r="211" spans="2:45" ht="15.75" hidden="1" thickBot="1" x14ac:dyDescent="0.3">
      <c r="B211" s="15" t="str" cm="1">
        <f t="array" ref="B211">INDEX(_xlfn.TEXTSPLIT($J211,"/"),3)</f>
        <v>OfL&amp;0&amp;cPVVE&amp;Ex&amp;Chiller__PumpCtrl</v>
      </c>
      <c r="C211" s="33" t="str" cm="1">
        <f t="array" ref="C211">INDEX(_xlfn.TEXTSPLIT($J211,"/"),2)</f>
        <v>CZ13</v>
      </c>
      <c r="D211" s="34">
        <f>$G$3*H211</f>
        <v>128.62474449999999</v>
      </c>
      <c r="F211" t="str" cm="1">
        <f t="array" ref="F211">INDEX(_xlfn.TEXTSPLIT($J211,"/"),4)</f>
        <v>NE-Chiller-CHWPumpCtrl-Full-Msr</v>
      </c>
      <c r="G211">
        <f>$P211</f>
        <v>0.184673</v>
      </c>
      <c r="H211">
        <f>$G$4*G211</f>
        <v>183.74963500000001</v>
      </c>
      <c r="J211" t="s">
        <v>116</v>
      </c>
      <c r="K211" t="s">
        <v>23</v>
      </c>
      <c r="M211">
        <v>35383.86</v>
      </c>
      <c r="N211">
        <v>12394.4</v>
      </c>
      <c r="P211">
        <v>0.184673</v>
      </c>
      <c r="Q211">
        <v>0</v>
      </c>
      <c r="R211">
        <v>1147545.45</v>
      </c>
      <c r="S211">
        <v>463682.79</v>
      </c>
      <c r="T211">
        <v>0</v>
      </c>
      <c r="U211">
        <v>831153.37</v>
      </c>
      <c r="V211">
        <v>0</v>
      </c>
      <c r="W211">
        <v>294899.56</v>
      </c>
      <c r="X211">
        <v>255843.08</v>
      </c>
      <c r="Y211">
        <v>264562.90999999997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818586.02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101808.44</v>
      </c>
      <c r="AQ211">
        <v>0</v>
      </c>
      <c r="AR211">
        <v>0</v>
      </c>
      <c r="AS211">
        <v>2460020599.4757299</v>
      </c>
    </row>
    <row r="212" spans="2:45" ht="15.75" hidden="1" thickBot="1" x14ac:dyDescent="0.3">
      <c r="B212" s="15" t="str" cm="1">
        <f t="array" ref="B212">INDEX(_xlfn.TEXTSPLIT($J212,"/"),3)</f>
        <v>OfL&amp;0&amp;cPVVE&amp;Ex&amp;Chiller__PumpCtrl</v>
      </c>
      <c r="C212" s="33" t="str" cm="1">
        <f t="array" ref="C212">INDEX(_xlfn.TEXTSPLIT($J212,"/"),2)</f>
        <v>CZ14</v>
      </c>
      <c r="D212" s="34">
        <f>$G$3*H212</f>
        <v>130.80757549999998</v>
      </c>
      <c r="F212" t="str" cm="1">
        <f t="array" ref="F212">INDEX(_xlfn.TEXTSPLIT($J212,"/"),4)</f>
        <v>NE-Chiller-CHWPumpCtrl-Full-Msr</v>
      </c>
      <c r="G212">
        <f>$P212</f>
        <v>0.187807</v>
      </c>
      <c r="H212">
        <f>$G$4*G212</f>
        <v>186.867965</v>
      </c>
      <c r="J212" t="s">
        <v>98</v>
      </c>
      <c r="K212" t="s">
        <v>24</v>
      </c>
      <c r="M212">
        <v>35984.33</v>
      </c>
      <c r="N212">
        <v>12604.74</v>
      </c>
      <c r="P212">
        <v>0.187807</v>
      </c>
      <c r="Q212">
        <v>0</v>
      </c>
      <c r="R212">
        <v>1145528.07</v>
      </c>
      <c r="S212">
        <v>463682.79</v>
      </c>
      <c r="T212">
        <v>0</v>
      </c>
      <c r="U212">
        <v>831153.37</v>
      </c>
      <c r="V212">
        <v>0</v>
      </c>
      <c r="W212">
        <v>331001.19</v>
      </c>
      <c r="X212">
        <v>277805.01</v>
      </c>
      <c r="Y212">
        <v>281558.06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832937.64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96586.85</v>
      </c>
      <c r="AQ212">
        <v>0</v>
      </c>
      <c r="AR212">
        <v>0</v>
      </c>
      <c r="AS212">
        <v>2325253241.5953302</v>
      </c>
    </row>
    <row r="213" spans="2:45" ht="15.75" hidden="1" thickBot="1" x14ac:dyDescent="0.3">
      <c r="B213" s="15" t="str" cm="1">
        <f t="array" ref="B213">INDEX(_xlfn.TEXTSPLIT($J213,"/"),3)</f>
        <v>OfL&amp;0&amp;cPVVE&amp;Ex&amp;Chiller__PumpCtrl</v>
      </c>
      <c r="C213" s="33" t="str" cm="1">
        <f t="array" ref="C213">INDEX(_xlfn.TEXTSPLIT($J213,"/"),2)</f>
        <v>CZ15</v>
      </c>
      <c r="D213" s="34">
        <f>$G$3*H213</f>
        <v>132.28763799999999</v>
      </c>
      <c r="F213" t="str" cm="1">
        <f t="array" ref="F213">INDEX(_xlfn.TEXTSPLIT($J213,"/"),4)</f>
        <v>NE-Chiller-CHWPumpCtrl-Full-Msr</v>
      </c>
      <c r="G213">
        <f>$P213</f>
        <v>0.18993199999999999</v>
      </c>
      <c r="H213">
        <f>$G$4*G213</f>
        <v>188.98233999999999</v>
      </c>
      <c r="J213" t="s">
        <v>82</v>
      </c>
      <c r="K213" t="s">
        <v>25</v>
      </c>
      <c r="M213">
        <v>36391.519999999997</v>
      </c>
      <c r="N213">
        <v>12747.37</v>
      </c>
      <c r="P213">
        <v>0.18993199999999999</v>
      </c>
      <c r="Q213">
        <v>0</v>
      </c>
      <c r="R213">
        <v>1641863.19</v>
      </c>
      <c r="S213">
        <v>463682.79</v>
      </c>
      <c r="T213">
        <v>0</v>
      </c>
      <c r="U213">
        <v>831153.37</v>
      </c>
      <c r="V213">
        <v>0</v>
      </c>
      <c r="W213">
        <v>341911.19</v>
      </c>
      <c r="X213">
        <v>317239.77</v>
      </c>
      <c r="Y213">
        <v>333997.09999999998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821168.66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85804.77</v>
      </c>
      <c r="AQ213">
        <v>0</v>
      </c>
      <c r="AR213">
        <v>0</v>
      </c>
      <c r="AS213">
        <v>2554955441.8734698</v>
      </c>
    </row>
    <row r="214" spans="2:45" ht="15.75" hidden="1" thickBot="1" x14ac:dyDescent="0.3">
      <c r="B214" s="15" t="str" cm="1">
        <f t="array" ref="B214">INDEX(_xlfn.TEXTSPLIT($J214,"/"),3)</f>
        <v>OfL&amp;0&amp;cPVVE&amp;Ex&amp;Chiller__PumpCtrl</v>
      </c>
      <c r="C214" s="33" t="str" cm="1">
        <f t="array" ref="C214">INDEX(_xlfn.TEXTSPLIT($J214,"/"),2)</f>
        <v>CZ16</v>
      </c>
      <c r="D214" s="34">
        <f>$G$3*H214</f>
        <v>120.68255499999999</v>
      </c>
      <c r="F214" t="str" cm="1">
        <f t="array" ref="F214">INDEX(_xlfn.TEXTSPLIT($J214,"/"),4)</f>
        <v>NE-Chiller-CHWPumpCtrl-Full-Msr</v>
      </c>
      <c r="G214">
        <f>$P214</f>
        <v>0.17327000000000001</v>
      </c>
      <c r="H214">
        <f>$G$4*G214</f>
        <v>172.40365</v>
      </c>
      <c r="J214" t="s">
        <v>67</v>
      </c>
      <c r="K214" t="s">
        <v>26</v>
      </c>
      <c r="M214">
        <v>33199.050000000003</v>
      </c>
      <c r="N214">
        <v>11629.1</v>
      </c>
      <c r="P214">
        <v>0.17327000000000001</v>
      </c>
      <c r="Q214">
        <v>0</v>
      </c>
      <c r="R214">
        <v>846168.71</v>
      </c>
      <c r="S214">
        <v>463682.79</v>
      </c>
      <c r="T214">
        <v>0</v>
      </c>
      <c r="U214">
        <v>831153.37</v>
      </c>
      <c r="V214">
        <v>0</v>
      </c>
      <c r="W214">
        <v>342339.08</v>
      </c>
      <c r="X214">
        <v>251405.55</v>
      </c>
      <c r="Y214">
        <v>199238.75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1111746.06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113906.4</v>
      </c>
      <c r="AQ214">
        <v>0</v>
      </c>
      <c r="AR214">
        <v>0</v>
      </c>
      <c r="AS214">
        <v>1791733580.9113801</v>
      </c>
    </row>
    <row r="215" spans="2:45" ht="15.75" hidden="1" thickBot="1" x14ac:dyDescent="0.3">
      <c r="B215" s="15" t="str" cm="1">
        <f t="array" ref="B215">INDEX(_xlfn.TEXTSPLIT($J215,"/"),3)</f>
        <v>OfL&amp;0&amp;cPVVE&amp;New&amp;Chiller__PumpCtrl</v>
      </c>
      <c r="C215" s="33" t="str" cm="1">
        <f t="array" ref="C215">INDEX(_xlfn.TEXTSPLIT($J215,"/"),2)</f>
        <v>CZ01</v>
      </c>
      <c r="D215" s="34">
        <f>$G$3*H215</f>
        <v>62.852856499999994</v>
      </c>
      <c r="F215" t="str" cm="1">
        <f t="array" ref="F215">INDEX(_xlfn.TEXTSPLIT($J215,"/"),4)</f>
        <v>NE-Chiller-CHWPumpCtrl-Full-Msr</v>
      </c>
      <c r="G215">
        <f>$P215</f>
        <v>9.0241000000000002E-2</v>
      </c>
      <c r="H215">
        <f>$G$4*G215</f>
        <v>89.789794999999998</v>
      </c>
      <c r="J215" t="s">
        <v>563</v>
      </c>
      <c r="K215" t="s">
        <v>11</v>
      </c>
      <c r="M215">
        <v>17290.43</v>
      </c>
      <c r="N215">
        <v>6056.56</v>
      </c>
      <c r="P215">
        <v>9.0241000000000002E-2</v>
      </c>
      <c r="Q215">
        <v>0</v>
      </c>
      <c r="R215">
        <v>51990.12</v>
      </c>
      <c r="S215">
        <v>239542.44</v>
      </c>
      <c r="T215">
        <v>0</v>
      </c>
      <c r="U215">
        <v>831153.37</v>
      </c>
      <c r="V215">
        <v>0</v>
      </c>
      <c r="W215">
        <v>135704.76</v>
      </c>
      <c r="X215">
        <v>66615.7</v>
      </c>
      <c r="Y215">
        <v>68045.67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324357.65000000002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125996.82</v>
      </c>
      <c r="AQ215">
        <v>0</v>
      </c>
      <c r="AR215">
        <v>0</v>
      </c>
      <c r="AS215">
        <v>1064082517.6688401</v>
      </c>
    </row>
    <row r="216" spans="2:45" ht="15.75" hidden="1" thickBot="1" x14ac:dyDescent="0.3">
      <c r="B216" s="15" t="str" cm="1">
        <f t="array" ref="B216">INDEX(_xlfn.TEXTSPLIT($J216,"/"),3)</f>
        <v>OfL&amp;0&amp;cPVVE&amp;New&amp;Chiller__PumpCtrl</v>
      </c>
      <c r="C216" s="33" t="str" cm="1">
        <f t="array" ref="C216">INDEX(_xlfn.TEXTSPLIT($J216,"/"),2)</f>
        <v>CZ02</v>
      </c>
      <c r="D216" s="34">
        <f>$G$3*H216</f>
        <v>78.448187999999988</v>
      </c>
      <c r="F216" t="str" cm="1">
        <f t="array" ref="F216">INDEX(_xlfn.TEXTSPLIT($J216,"/"),4)</f>
        <v>NE-Chiller-CHWPumpCtrl-Full-Msr</v>
      </c>
      <c r="G216">
        <f>$P216</f>
        <v>0.112632</v>
      </c>
      <c r="H216">
        <f>$G$4*G216</f>
        <v>112.06883999999999</v>
      </c>
      <c r="J216" t="s">
        <v>547</v>
      </c>
      <c r="K216" t="s">
        <v>12</v>
      </c>
      <c r="M216">
        <v>21580.54</v>
      </c>
      <c r="N216">
        <v>7559.32</v>
      </c>
      <c r="P216">
        <v>0.112632</v>
      </c>
      <c r="Q216">
        <v>0</v>
      </c>
      <c r="R216">
        <v>476442.57</v>
      </c>
      <c r="S216">
        <v>239542.44</v>
      </c>
      <c r="T216">
        <v>0</v>
      </c>
      <c r="U216">
        <v>831153.37</v>
      </c>
      <c r="V216">
        <v>0</v>
      </c>
      <c r="W216">
        <v>185421.75</v>
      </c>
      <c r="X216">
        <v>141493.12</v>
      </c>
      <c r="Y216">
        <v>139866.15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364576.51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115798.96</v>
      </c>
      <c r="AQ216">
        <v>0</v>
      </c>
      <c r="AR216">
        <v>0</v>
      </c>
      <c r="AS216">
        <v>1454834253.2511799</v>
      </c>
    </row>
    <row r="217" spans="2:45" ht="15.75" hidden="1" thickBot="1" x14ac:dyDescent="0.3">
      <c r="B217" s="15" t="str" cm="1">
        <f t="array" ref="B217">INDEX(_xlfn.TEXTSPLIT($J217,"/"),3)</f>
        <v>OfL&amp;0&amp;cPVVE&amp;New&amp;Chiller__PumpCtrl</v>
      </c>
      <c r="C217" s="33" t="str" cm="1">
        <f t="array" ref="C217">INDEX(_xlfn.TEXTSPLIT($J217,"/"),2)</f>
        <v>CZ03</v>
      </c>
      <c r="D217" s="34">
        <f>$G$3*H217</f>
        <v>74.407791499999988</v>
      </c>
      <c r="F217" t="str" cm="1">
        <f t="array" ref="F217">INDEX(_xlfn.TEXTSPLIT($J217,"/"),4)</f>
        <v>NE-Chiller-CHWPumpCtrl-Full-Msr</v>
      </c>
      <c r="G217">
        <f>$P217</f>
        <v>0.106831</v>
      </c>
      <c r="H217">
        <f>$G$4*G217</f>
        <v>106.29684499999999</v>
      </c>
      <c r="J217" t="s">
        <v>531</v>
      </c>
      <c r="K217" t="s">
        <v>13</v>
      </c>
      <c r="M217">
        <v>20469.16</v>
      </c>
      <c r="N217">
        <v>7170.02</v>
      </c>
      <c r="P217">
        <v>0.106831</v>
      </c>
      <c r="Q217">
        <v>0</v>
      </c>
      <c r="R217">
        <v>327009.96999999997</v>
      </c>
      <c r="S217">
        <v>239542.44</v>
      </c>
      <c r="T217">
        <v>0</v>
      </c>
      <c r="U217">
        <v>831153.37</v>
      </c>
      <c r="V217">
        <v>0</v>
      </c>
      <c r="W217">
        <v>151340.01</v>
      </c>
      <c r="X217">
        <v>140438.01</v>
      </c>
      <c r="Y217">
        <v>150234.94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219030.45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115357.41</v>
      </c>
      <c r="AQ217">
        <v>0</v>
      </c>
      <c r="AR217">
        <v>0</v>
      </c>
      <c r="AS217">
        <v>1391981805.28988</v>
      </c>
    </row>
    <row r="218" spans="2:45" ht="15.75" hidden="1" thickBot="1" x14ac:dyDescent="0.3">
      <c r="B218" s="15" t="str" cm="1">
        <f t="array" ref="B218">INDEX(_xlfn.TEXTSPLIT($J218,"/"),3)</f>
        <v>OfL&amp;0&amp;cPVVE&amp;New&amp;Chiller__PumpCtrl</v>
      </c>
      <c r="C218" s="33" t="str" cm="1">
        <f t="array" ref="C218">INDEX(_xlfn.TEXTSPLIT($J218,"/"),2)</f>
        <v>CZ04</v>
      </c>
      <c r="D218" s="34">
        <f>$G$3*H218</f>
        <v>78.886983000000001</v>
      </c>
      <c r="F218" t="str" cm="1">
        <f t="array" ref="F218">INDEX(_xlfn.TEXTSPLIT($J218,"/"),4)</f>
        <v>NE-Chiller-CHWPumpCtrl-Full-Msr</v>
      </c>
      <c r="G218">
        <f>$P218</f>
        <v>0.113262</v>
      </c>
      <c r="H218">
        <f>$G$4*G218</f>
        <v>112.69569</v>
      </c>
      <c r="J218" t="s">
        <v>515</v>
      </c>
      <c r="K218" t="s">
        <v>14</v>
      </c>
      <c r="M218">
        <v>21701.23</v>
      </c>
      <c r="N218">
        <v>7601.6</v>
      </c>
      <c r="P218">
        <v>0.113262</v>
      </c>
      <c r="Q218">
        <v>0</v>
      </c>
      <c r="R218">
        <v>537564.18000000005</v>
      </c>
      <c r="S218">
        <v>239542.44</v>
      </c>
      <c r="T218">
        <v>0</v>
      </c>
      <c r="U218">
        <v>831153.37</v>
      </c>
      <c r="V218">
        <v>0</v>
      </c>
      <c r="W218">
        <v>192351.13</v>
      </c>
      <c r="X218">
        <v>155148.75</v>
      </c>
      <c r="Y218">
        <v>164283.81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288976.68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111402.07</v>
      </c>
      <c r="AQ218">
        <v>0</v>
      </c>
      <c r="AR218">
        <v>0</v>
      </c>
      <c r="AS218">
        <v>1485346893.5016301</v>
      </c>
    </row>
    <row r="219" spans="2:45" ht="15.75" hidden="1" thickBot="1" x14ac:dyDescent="0.3">
      <c r="B219" s="15" t="str" cm="1">
        <f t="array" ref="B219">INDEX(_xlfn.TEXTSPLIT($J219,"/"),3)</f>
        <v>OfL&amp;0&amp;cPVVE&amp;New&amp;Chiller__PumpCtrl</v>
      </c>
      <c r="C219" s="33" t="str" cm="1">
        <f t="array" ref="C219">INDEX(_xlfn.TEXTSPLIT($J219,"/"),2)</f>
        <v>CZ05</v>
      </c>
      <c r="D219" s="34">
        <f>$G$3*H219</f>
        <v>70.519231999999988</v>
      </c>
      <c r="F219" t="str" cm="1">
        <f t="array" ref="F219">INDEX(_xlfn.TEXTSPLIT($J219,"/"),4)</f>
        <v>NE-Chiller-CHWPumpCtrl-Full-Msr</v>
      </c>
      <c r="G219">
        <f>$P219</f>
        <v>0.101248</v>
      </c>
      <c r="H219">
        <f>$G$4*G219</f>
        <v>100.74176</v>
      </c>
      <c r="J219" t="s">
        <v>499</v>
      </c>
      <c r="K219" t="s">
        <v>15</v>
      </c>
      <c r="M219">
        <v>19399.3</v>
      </c>
      <c r="N219">
        <v>6795.27</v>
      </c>
      <c r="P219">
        <v>0.101248</v>
      </c>
      <c r="Q219">
        <v>0</v>
      </c>
      <c r="R219">
        <v>366243.75</v>
      </c>
      <c r="S219">
        <v>239542.44</v>
      </c>
      <c r="T219">
        <v>0</v>
      </c>
      <c r="U219">
        <v>831153.37</v>
      </c>
      <c r="V219">
        <v>0</v>
      </c>
      <c r="W219">
        <v>168179.48</v>
      </c>
      <c r="X219">
        <v>134121.59</v>
      </c>
      <c r="Y219">
        <v>139728.48000000001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209212.57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115365.77</v>
      </c>
      <c r="AQ219">
        <v>0</v>
      </c>
      <c r="AR219">
        <v>0</v>
      </c>
      <c r="AS219">
        <v>1133002441.7284</v>
      </c>
    </row>
    <row r="220" spans="2:45" ht="15.75" hidden="1" thickBot="1" x14ac:dyDescent="0.3">
      <c r="B220" s="15" t="str" cm="1">
        <f t="array" ref="B220">INDEX(_xlfn.TEXTSPLIT($J220,"/"),3)</f>
        <v>OfL&amp;0&amp;cPVVE&amp;New&amp;Chiller__PumpCtrl</v>
      </c>
      <c r="C220" s="33" t="str" cm="1">
        <f t="array" ref="C220">INDEX(_xlfn.TEXTSPLIT($J220,"/"),2)</f>
        <v>CZ06</v>
      </c>
      <c r="D220" s="34">
        <f>$G$3*H220</f>
        <v>73.03707949999999</v>
      </c>
      <c r="F220" t="str" cm="1">
        <f t="array" ref="F220">INDEX(_xlfn.TEXTSPLIT($J220,"/"),4)</f>
        <v>NE-Chiller-CHWPumpCtrl-Full-Msr</v>
      </c>
      <c r="G220">
        <f>$P220</f>
        <v>0.104863</v>
      </c>
      <c r="H220">
        <f>$G$4*G220</f>
        <v>104.338685</v>
      </c>
      <c r="J220" t="s">
        <v>485</v>
      </c>
      <c r="K220" t="s">
        <v>16</v>
      </c>
      <c r="M220">
        <v>20091.939999999999</v>
      </c>
      <c r="N220">
        <v>7037.89</v>
      </c>
      <c r="P220">
        <v>0.104863</v>
      </c>
      <c r="Q220">
        <v>0</v>
      </c>
      <c r="R220">
        <v>692462.12</v>
      </c>
      <c r="S220">
        <v>239542.44</v>
      </c>
      <c r="T220">
        <v>0</v>
      </c>
      <c r="U220">
        <v>831153.37</v>
      </c>
      <c r="V220">
        <v>0</v>
      </c>
      <c r="W220">
        <v>206524.64</v>
      </c>
      <c r="X220">
        <v>178333.3</v>
      </c>
      <c r="Y220">
        <v>191512.06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138390.22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106286.01</v>
      </c>
      <c r="AQ220">
        <v>0</v>
      </c>
      <c r="AR220">
        <v>0</v>
      </c>
      <c r="AS220">
        <v>1029156382.2685699</v>
      </c>
    </row>
    <row r="221" spans="2:45" ht="15.75" hidden="1" thickBot="1" x14ac:dyDescent="0.3">
      <c r="B221" s="15" t="str" cm="1">
        <f t="array" ref="B221">INDEX(_xlfn.TEXTSPLIT($J221,"/"),3)</f>
        <v>OfL&amp;0&amp;cPVVE&amp;New&amp;Chiller__PumpCtrl</v>
      </c>
      <c r="C221" s="33" t="str" cm="1">
        <f t="array" ref="C221">INDEX(_xlfn.TEXTSPLIT($J221,"/"),2)</f>
        <v>CZ07</v>
      </c>
      <c r="D221" s="34">
        <f>$G$3*H221</f>
        <v>74.641118999999989</v>
      </c>
      <c r="F221" t="str" cm="1">
        <f t="array" ref="F221">INDEX(_xlfn.TEXTSPLIT($J221,"/"),4)</f>
        <v>NE-Chiller-CHWPumpCtrl-Full-Msr</v>
      </c>
      <c r="G221">
        <f>$P221</f>
        <v>0.107166</v>
      </c>
      <c r="H221">
        <f>$G$4*G221</f>
        <v>106.63016999999999</v>
      </c>
      <c r="J221" t="s">
        <v>469</v>
      </c>
      <c r="K221" t="s">
        <v>17</v>
      </c>
      <c r="M221">
        <v>20533.21</v>
      </c>
      <c r="N221">
        <v>7192.46</v>
      </c>
      <c r="P221">
        <v>0.107166</v>
      </c>
      <c r="Q221">
        <v>0</v>
      </c>
      <c r="R221">
        <v>797539.49</v>
      </c>
      <c r="S221">
        <v>239542.44</v>
      </c>
      <c r="T221">
        <v>0</v>
      </c>
      <c r="U221">
        <v>831153.37</v>
      </c>
      <c r="V221">
        <v>0</v>
      </c>
      <c r="W221">
        <v>236208.15</v>
      </c>
      <c r="X221">
        <v>184803.5</v>
      </c>
      <c r="Y221">
        <v>197142.42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229133.46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104963.47</v>
      </c>
      <c r="AQ221">
        <v>0</v>
      </c>
      <c r="AR221">
        <v>0</v>
      </c>
      <c r="AS221">
        <v>1131366333.3879399</v>
      </c>
    </row>
    <row r="222" spans="2:45" ht="15.75" hidden="1" thickBot="1" x14ac:dyDescent="0.3">
      <c r="B222" s="15" t="str" cm="1">
        <f t="array" ref="B222">INDEX(_xlfn.TEXTSPLIT($J222,"/"),3)</f>
        <v>OfL&amp;0&amp;cPVVE&amp;New&amp;Chiller__PumpCtrl</v>
      </c>
      <c r="C222" s="33" t="str" cm="1">
        <f t="array" ref="C222">INDEX(_xlfn.TEXTSPLIT($J222,"/"),2)</f>
        <v>CZ08</v>
      </c>
      <c r="D222" s="34">
        <f>$G$3*H222</f>
        <v>79.293738999999988</v>
      </c>
      <c r="F222" t="str" cm="1">
        <f t="array" ref="F222">INDEX(_xlfn.TEXTSPLIT($J222,"/"),4)</f>
        <v>NE-Chiller-CHWPumpCtrl-Full-Msr</v>
      </c>
      <c r="G222">
        <f>$P222</f>
        <v>0.113846</v>
      </c>
      <c r="H222">
        <f>$G$4*G222</f>
        <v>113.27677</v>
      </c>
      <c r="J222" t="s">
        <v>451</v>
      </c>
      <c r="K222" t="s">
        <v>18</v>
      </c>
      <c r="M222">
        <v>21813.13</v>
      </c>
      <c r="N222">
        <v>7640.79</v>
      </c>
      <c r="P222">
        <v>0.113846</v>
      </c>
      <c r="Q222">
        <v>0</v>
      </c>
      <c r="R222">
        <v>803816.53</v>
      </c>
      <c r="S222">
        <v>239542.44</v>
      </c>
      <c r="T222">
        <v>0</v>
      </c>
      <c r="U222">
        <v>831153.37</v>
      </c>
      <c r="V222">
        <v>0</v>
      </c>
      <c r="W222">
        <v>227531.48</v>
      </c>
      <c r="X222">
        <v>187053</v>
      </c>
      <c r="Y222">
        <v>199397.65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262995.18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104776.02</v>
      </c>
      <c r="AQ222">
        <v>0</v>
      </c>
      <c r="AR222">
        <v>0</v>
      </c>
      <c r="AS222">
        <v>1056772157.74359</v>
      </c>
    </row>
    <row r="223" spans="2:45" ht="15.75" hidden="1" thickBot="1" x14ac:dyDescent="0.3">
      <c r="B223" s="15" t="str" cm="1">
        <f t="array" ref="B223">INDEX(_xlfn.TEXTSPLIT($J223,"/"),3)</f>
        <v>OfL&amp;0&amp;cPVVE&amp;New&amp;Chiller__PumpCtrl</v>
      </c>
      <c r="C223" s="33" t="str" cm="1">
        <f t="array" ref="C223">INDEX(_xlfn.TEXTSPLIT($J223,"/"),2)</f>
        <v>CZ09</v>
      </c>
      <c r="D223" s="34">
        <f>$G$3*H223</f>
        <v>77.879843999999991</v>
      </c>
      <c r="F223" t="str" cm="1">
        <f t="array" ref="F223">INDEX(_xlfn.TEXTSPLIT($J223,"/"),4)</f>
        <v>NE-Chiller-CHWPumpCtrl-Full-Msr</v>
      </c>
      <c r="G223">
        <f>$P223</f>
        <v>0.111816</v>
      </c>
      <c r="H223">
        <f>$G$4*G223</f>
        <v>111.25691999999999</v>
      </c>
      <c r="J223" t="s">
        <v>435</v>
      </c>
      <c r="K223" t="s">
        <v>19</v>
      </c>
      <c r="M223">
        <v>21424.240000000002</v>
      </c>
      <c r="N223">
        <v>7504.57</v>
      </c>
      <c r="P223">
        <v>0.111816</v>
      </c>
      <c r="Q223">
        <v>0</v>
      </c>
      <c r="R223">
        <v>847459.92</v>
      </c>
      <c r="S223">
        <v>239542.44</v>
      </c>
      <c r="T223">
        <v>0</v>
      </c>
      <c r="U223">
        <v>831153.37</v>
      </c>
      <c r="V223">
        <v>0</v>
      </c>
      <c r="W223">
        <v>243436.27</v>
      </c>
      <c r="X223">
        <v>186951.83</v>
      </c>
      <c r="Y223">
        <v>199239.33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298745.69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103343.44</v>
      </c>
      <c r="AQ223">
        <v>0</v>
      </c>
      <c r="AR223">
        <v>0</v>
      </c>
      <c r="AS223">
        <v>1064059650.60614</v>
      </c>
    </row>
    <row r="224" spans="2:45" ht="15.75" hidden="1" thickBot="1" x14ac:dyDescent="0.3">
      <c r="B224" s="15" t="str" cm="1">
        <f t="array" ref="B224">INDEX(_xlfn.TEXTSPLIT($J224,"/"),3)</f>
        <v>OfL&amp;0&amp;cPVVE&amp;New&amp;Chiller__PumpCtrl</v>
      </c>
      <c r="C224" s="33" t="str" cm="1">
        <f t="array" ref="C224">INDEX(_xlfn.TEXTSPLIT($J224,"/"),2)</f>
        <v>CZ10</v>
      </c>
      <c r="D224" s="34">
        <f>$G$3*H224</f>
        <v>86.585397499999985</v>
      </c>
      <c r="F224" t="str" cm="1">
        <f t="array" ref="F224">INDEX(_xlfn.TEXTSPLIT($J224,"/"),4)</f>
        <v>NE-Chiller-CHWPumpCtrl-Full-Msr</v>
      </c>
      <c r="G224">
        <f>$P224</f>
        <v>0.12431499999999999</v>
      </c>
      <c r="H224">
        <f>$G$4*G224</f>
        <v>123.69342499999999</v>
      </c>
      <c r="J224" t="s">
        <v>419</v>
      </c>
      <c r="K224" t="s">
        <v>20</v>
      </c>
      <c r="M224">
        <v>23819.1</v>
      </c>
      <c r="N224">
        <v>8343.4500000000007</v>
      </c>
      <c r="P224">
        <v>0.12431499999999999</v>
      </c>
      <c r="Q224">
        <v>0</v>
      </c>
      <c r="R224">
        <v>862705.61</v>
      </c>
      <c r="S224">
        <v>239542.44</v>
      </c>
      <c r="T224">
        <v>0</v>
      </c>
      <c r="U224">
        <v>831153.37</v>
      </c>
      <c r="V224">
        <v>0</v>
      </c>
      <c r="W224">
        <v>252016.45</v>
      </c>
      <c r="X224">
        <v>192084.05</v>
      </c>
      <c r="Y224">
        <v>199332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426267.66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102498.03</v>
      </c>
      <c r="AQ224">
        <v>0</v>
      </c>
      <c r="AR224">
        <v>0</v>
      </c>
      <c r="AS224">
        <v>1593711570.53564</v>
      </c>
    </row>
    <row r="225" spans="2:45" ht="15.75" hidden="1" thickBot="1" x14ac:dyDescent="0.3">
      <c r="B225" s="15" t="str" cm="1">
        <f t="array" ref="B225">INDEX(_xlfn.TEXTSPLIT($J225,"/"),3)</f>
        <v>OfL&amp;0&amp;cPVVE&amp;New&amp;Chiller__PumpCtrl</v>
      </c>
      <c r="C225" s="33" t="str" cm="1">
        <f t="array" ref="C225">INDEX(_xlfn.TEXTSPLIT($J225,"/"),2)</f>
        <v>CZ11</v>
      </c>
      <c r="D225" s="34">
        <f>$G$3*H225</f>
        <v>86.118742499999996</v>
      </c>
      <c r="F225" t="str" cm="1">
        <f t="array" ref="F225">INDEX(_xlfn.TEXTSPLIT($J225,"/"),4)</f>
        <v>NE-Chiller-CHWPumpCtrl-Full-Msr</v>
      </c>
      <c r="G225">
        <f>$P225</f>
        <v>0.123645</v>
      </c>
      <c r="H225">
        <f>$G$4*G225</f>
        <v>123.026775</v>
      </c>
      <c r="J225" t="s">
        <v>405</v>
      </c>
      <c r="K225" t="s">
        <v>21</v>
      </c>
      <c r="M225">
        <v>23690.61</v>
      </c>
      <c r="N225">
        <v>8298.44</v>
      </c>
      <c r="P225">
        <v>0.123645</v>
      </c>
      <c r="Q225">
        <v>0</v>
      </c>
      <c r="R225">
        <v>761950.22</v>
      </c>
      <c r="S225">
        <v>239542.44</v>
      </c>
      <c r="T225">
        <v>0</v>
      </c>
      <c r="U225">
        <v>831153.37</v>
      </c>
      <c r="V225">
        <v>0</v>
      </c>
      <c r="W225">
        <v>237348.33</v>
      </c>
      <c r="X225">
        <v>169230.07999999999</v>
      </c>
      <c r="Y225">
        <v>170887.49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540355.18000000005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104830.99</v>
      </c>
      <c r="AQ225">
        <v>0</v>
      </c>
      <c r="AR225">
        <v>0</v>
      </c>
      <c r="AS225">
        <v>1706927009.0513599</v>
      </c>
    </row>
    <row r="226" spans="2:45" ht="15.75" hidden="1" thickBot="1" x14ac:dyDescent="0.3">
      <c r="B226" s="15" t="str" cm="1">
        <f t="array" ref="B226">INDEX(_xlfn.TEXTSPLIT($J226,"/"),3)</f>
        <v>OfL&amp;0&amp;cPVVE&amp;New&amp;Chiller__PumpCtrl</v>
      </c>
      <c r="C226" s="33" t="str" cm="1">
        <f t="array" ref="C226">INDEX(_xlfn.TEXTSPLIT($J226,"/"),2)</f>
        <v>CZ12</v>
      </c>
      <c r="D226" s="34">
        <f>$G$3*H226</f>
        <v>84.731314499999996</v>
      </c>
      <c r="F226" t="str" cm="1">
        <f t="array" ref="F226">INDEX(_xlfn.TEXTSPLIT($J226,"/"),4)</f>
        <v>NE-Chiller-CHWPumpCtrl-Full-Msr</v>
      </c>
      <c r="G226">
        <f>$P226</f>
        <v>0.121653</v>
      </c>
      <c r="H226">
        <f>$G$4*G226</f>
        <v>121.044735</v>
      </c>
      <c r="J226" t="s">
        <v>390</v>
      </c>
      <c r="K226" t="s">
        <v>22</v>
      </c>
      <c r="M226">
        <v>23309.11</v>
      </c>
      <c r="N226">
        <v>8164.81</v>
      </c>
      <c r="P226">
        <v>0.121653</v>
      </c>
      <c r="Q226">
        <v>0</v>
      </c>
      <c r="R226">
        <v>726764.05</v>
      </c>
      <c r="S226">
        <v>239542.44</v>
      </c>
      <c r="T226">
        <v>0</v>
      </c>
      <c r="U226">
        <v>831153.37</v>
      </c>
      <c r="V226">
        <v>0</v>
      </c>
      <c r="W226">
        <v>228653.5</v>
      </c>
      <c r="X226">
        <v>167006.12</v>
      </c>
      <c r="Y226">
        <v>166835.87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460886.19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107761.45</v>
      </c>
      <c r="AQ226">
        <v>0</v>
      </c>
      <c r="AR226">
        <v>0</v>
      </c>
      <c r="AS226">
        <v>1718754420.1728599</v>
      </c>
    </row>
    <row r="227" spans="2:45" ht="15.75" hidden="1" thickBot="1" x14ac:dyDescent="0.3">
      <c r="B227" s="15" t="str" cm="1">
        <f t="array" ref="B227">INDEX(_xlfn.TEXTSPLIT($J227,"/"),3)</f>
        <v>OfL&amp;0&amp;cPVVE&amp;New&amp;Chiller__PumpCtrl</v>
      </c>
      <c r="C227" s="33" t="str" cm="1">
        <f t="array" ref="C227">INDEX(_xlfn.TEXTSPLIT($J227,"/"),2)</f>
        <v>CZ13</v>
      </c>
      <c r="D227" s="34">
        <f>$G$3*H227</f>
        <v>87.121702499999998</v>
      </c>
      <c r="F227" t="str" cm="1">
        <f t="array" ref="F227">INDEX(_xlfn.TEXTSPLIT($J227,"/"),4)</f>
        <v>NE-Chiller-CHWPumpCtrl-Full-Msr</v>
      </c>
      <c r="G227">
        <f>$P227</f>
        <v>0.125085</v>
      </c>
      <c r="H227">
        <f>$G$4*G227</f>
        <v>124.459575</v>
      </c>
      <c r="J227" t="s">
        <v>371</v>
      </c>
      <c r="K227" t="s">
        <v>23</v>
      </c>
      <c r="M227">
        <v>23966.55</v>
      </c>
      <c r="N227">
        <v>8395.1</v>
      </c>
      <c r="P227">
        <v>0.125085</v>
      </c>
      <c r="Q227">
        <v>0</v>
      </c>
      <c r="R227">
        <v>852772.72</v>
      </c>
      <c r="S227">
        <v>239542.44</v>
      </c>
      <c r="T227">
        <v>0</v>
      </c>
      <c r="U227">
        <v>831153.37</v>
      </c>
      <c r="V227">
        <v>0</v>
      </c>
      <c r="W227">
        <v>246764.57</v>
      </c>
      <c r="X227">
        <v>176851.74</v>
      </c>
      <c r="Y227">
        <v>181172.8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485100.97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101797.75999999999</v>
      </c>
      <c r="AQ227">
        <v>0</v>
      </c>
      <c r="AR227">
        <v>0</v>
      </c>
      <c r="AS227">
        <v>1883512318.1679399</v>
      </c>
    </row>
    <row r="228" spans="2:45" ht="15.75" hidden="1" thickBot="1" x14ac:dyDescent="0.3">
      <c r="B228" s="15" t="str" cm="1">
        <f t="array" ref="B228">INDEX(_xlfn.TEXTSPLIT($J228,"/"),3)</f>
        <v>OfL&amp;0&amp;cPVVE&amp;New&amp;Chiller__PumpCtrl</v>
      </c>
      <c r="C228" s="33" t="str" cm="1">
        <f t="array" ref="C228">INDEX(_xlfn.TEXTSPLIT($J228,"/"),2)</f>
        <v>CZ14</v>
      </c>
      <c r="D228" s="34">
        <f>$G$3*H228</f>
        <v>88.632411000000005</v>
      </c>
      <c r="F228" t="str" cm="1">
        <f t="array" ref="F228">INDEX(_xlfn.TEXTSPLIT($J228,"/"),4)</f>
        <v>NE-Chiller-CHWPumpCtrl-Full-Msr</v>
      </c>
      <c r="G228">
        <f>$P228</f>
        <v>0.12725400000000001</v>
      </c>
      <c r="H228">
        <f>$G$4*G228</f>
        <v>126.61773000000001</v>
      </c>
      <c r="J228" t="s">
        <v>355</v>
      </c>
      <c r="K228" t="s">
        <v>24</v>
      </c>
      <c r="M228">
        <v>24382.16</v>
      </c>
      <c r="N228">
        <v>8540.68</v>
      </c>
      <c r="P228">
        <v>0.12725400000000001</v>
      </c>
      <c r="Q228">
        <v>0</v>
      </c>
      <c r="R228">
        <v>840501.8</v>
      </c>
      <c r="S228">
        <v>239542.44</v>
      </c>
      <c r="T228">
        <v>0</v>
      </c>
      <c r="U228">
        <v>831153.37</v>
      </c>
      <c r="V228">
        <v>0</v>
      </c>
      <c r="W228">
        <v>274164.83</v>
      </c>
      <c r="X228">
        <v>190087.66</v>
      </c>
      <c r="Y228">
        <v>192051.02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529321.26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96582.98</v>
      </c>
      <c r="AQ228">
        <v>0</v>
      </c>
      <c r="AR228">
        <v>0</v>
      </c>
      <c r="AS228">
        <v>1677361084.73858</v>
      </c>
    </row>
    <row r="229" spans="2:45" ht="15.75" hidden="1" thickBot="1" x14ac:dyDescent="0.3">
      <c r="B229" s="15" t="str" cm="1">
        <f t="array" ref="B229">INDEX(_xlfn.TEXTSPLIT($J229,"/"),3)</f>
        <v>OfL&amp;0&amp;cPVVE&amp;New&amp;Chiller__PumpCtrl</v>
      </c>
      <c r="C229" s="33" t="str" cm="1">
        <f t="array" ref="C229">INDEX(_xlfn.TEXTSPLIT($J229,"/"),2)</f>
        <v>CZ15</v>
      </c>
      <c r="D229" s="34">
        <f>$G$3*H229</f>
        <v>91.545173999999989</v>
      </c>
      <c r="F229" t="str" cm="1">
        <f t="array" ref="F229">INDEX(_xlfn.TEXTSPLIT($J229,"/"),4)</f>
        <v>NE-Chiller-CHWPumpCtrl-Full-Msr</v>
      </c>
      <c r="G229">
        <f>$P229</f>
        <v>0.131436</v>
      </c>
      <c r="H229">
        <f>$G$4*G229</f>
        <v>130.77882</v>
      </c>
      <c r="J229" t="s">
        <v>340</v>
      </c>
      <c r="K229" t="s">
        <v>25</v>
      </c>
      <c r="M229">
        <v>25183.55</v>
      </c>
      <c r="N229">
        <v>8821.4</v>
      </c>
      <c r="P229">
        <v>0.131436</v>
      </c>
      <c r="Q229">
        <v>0</v>
      </c>
      <c r="R229">
        <v>1263618.04</v>
      </c>
      <c r="S229">
        <v>239542.44</v>
      </c>
      <c r="T229">
        <v>0</v>
      </c>
      <c r="U229">
        <v>831153.37</v>
      </c>
      <c r="V229">
        <v>0</v>
      </c>
      <c r="W229">
        <v>300591.07</v>
      </c>
      <c r="X229">
        <v>223110.86</v>
      </c>
      <c r="Y229">
        <v>232098.66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574715.15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85790.84</v>
      </c>
      <c r="AQ229">
        <v>0</v>
      </c>
      <c r="AR229">
        <v>0</v>
      </c>
      <c r="AS229">
        <v>2001829337.6762199</v>
      </c>
    </row>
    <row r="230" spans="2:45" ht="15.75" hidden="1" thickBot="1" x14ac:dyDescent="0.3">
      <c r="B230" s="15" t="str" cm="1">
        <f t="array" ref="B230">INDEX(_xlfn.TEXTSPLIT($J230,"/"),3)</f>
        <v>OfL&amp;0&amp;cPVVE&amp;New&amp;Chiller__PumpCtrl</v>
      </c>
      <c r="C230" s="33" t="str" cm="1">
        <f t="array" ref="C230">INDEX(_xlfn.TEXTSPLIT($J230,"/"),2)</f>
        <v>CZ16</v>
      </c>
      <c r="D230" s="34">
        <f>$G$3*H230</f>
        <v>81.723827499999985</v>
      </c>
      <c r="F230" t="str" cm="1">
        <f t="array" ref="F230">INDEX(_xlfn.TEXTSPLIT($J230,"/"),4)</f>
        <v>NE-Chiller-CHWPumpCtrl-Full-Msr</v>
      </c>
      <c r="G230">
        <f>$P230</f>
        <v>0.11733499999999999</v>
      </c>
      <c r="H230">
        <f>$G$4*G230</f>
        <v>116.74832499999999</v>
      </c>
      <c r="J230" t="s">
        <v>325</v>
      </c>
      <c r="K230" t="s">
        <v>26</v>
      </c>
      <c r="M230">
        <v>22481.73</v>
      </c>
      <c r="N230">
        <v>7874.99</v>
      </c>
      <c r="P230">
        <v>0.11733499999999999</v>
      </c>
      <c r="Q230">
        <v>0</v>
      </c>
      <c r="R230">
        <v>581058.64</v>
      </c>
      <c r="S230">
        <v>239542.44</v>
      </c>
      <c r="T230">
        <v>0</v>
      </c>
      <c r="U230">
        <v>831153.37</v>
      </c>
      <c r="V230">
        <v>0</v>
      </c>
      <c r="W230">
        <v>288562.93</v>
      </c>
      <c r="X230">
        <v>169262.38</v>
      </c>
      <c r="Y230">
        <v>136379.17000000001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719090.96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113890.92</v>
      </c>
      <c r="AQ230">
        <v>0</v>
      </c>
      <c r="AR230">
        <v>0</v>
      </c>
      <c r="AS230">
        <v>1346592085.2354</v>
      </c>
    </row>
    <row r="231" spans="2:45" ht="15.75" hidden="1" thickBot="1" x14ac:dyDescent="0.3">
      <c r="B231" s="15" t="str" cm="1">
        <f t="array" ref="B231">INDEX(_xlfn.TEXTSPLIT($J231,"/"),3)</f>
        <v>OfS&amp;0&amp;cPVVE&amp;Ex&amp;Chiller__PumpCtrl</v>
      </c>
      <c r="C231" s="33" t="str" cm="1">
        <f t="array" ref="C231">INDEX(_xlfn.TEXTSPLIT($J231,"/"),2)</f>
        <v>CZ01</v>
      </c>
      <c r="D231" s="34">
        <f>$G$3*H231</f>
        <v>7.2491720000000006</v>
      </c>
      <c r="F231" t="str" cm="1">
        <f t="array" ref="F231">INDEX(_xlfn.TEXTSPLIT($J231,"/"),4)</f>
        <v>NE-Chiller-CHWPumpCtrl-Full-Msr</v>
      </c>
      <c r="G231">
        <f>$P231</f>
        <v>1.0408000000000001E-2</v>
      </c>
      <c r="H231">
        <f>$G$4*G231</f>
        <v>10.355960000000001</v>
      </c>
      <c r="J231" t="s">
        <v>305</v>
      </c>
      <c r="K231" t="s">
        <v>11</v>
      </c>
      <c r="M231">
        <v>1994.24</v>
      </c>
      <c r="N231">
        <v>698.55</v>
      </c>
      <c r="P231">
        <v>1.0408000000000001E-2</v>
      </c>
      <c r="Q231">
        <v>0</v>
      </c>
      <c r="R231">
        <v>4750.96</v>
      </c>
      <c r="S231">
        <v>23792.959999999999</v>
      </c>
      <c r="T231">
        <v>0</v>
      </c>
      <c r="U231">
        <v>29466.65</v>
      </c>
      <c r="V231">
        <v>0</v>
      </c>
      <c r="W231">
        <v>92403.61</v>
      </c>
      <c r="X231">
        <v>3900.59</v>
      </c>
      <c r="Y231">
        <v>3920.4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7941.68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5049.1000000000004</v>
      </c>
      <c r="AQ231">
        <v>0</v>
      </c>
      <c r="AR231">
        <v>0</v>
      </c>
      <c r="AS231">
        <v>78869043.624389395</v>
      </c>
    </row>
    <row r="232" spans="2:45" ht="15.75" hidden="1" thickBot="1" x14ac:dyDescent="0.3">
      <c r="B232" s="15" t="str" cm="1">
        <f t="array" ref="B232">INDEX(_xlfn.TEXTSPLIT($J232,"/"),3)</f>
        <v>OfS&amp;0&amp;cPVVE&amp;Ex&amp;Chiller__PumpCtrl</v>
      </c>
      <c r="C232" s="33" t="str" cm="1">
        <f t="array" ref="C232">INDEX(_xlfn.TEXTSPLIT($J232,"/"),2)</f>
        <v>CZ02</v>
      </c>
      <c r="D232" s="34">
        <f>$G$3*H232</f>
        <v>9.0266399999999987</v>
      </c>
      <c r="F232" t="str" cm="1">
        <f t="array" ref="F232">INDEX(_xlfn.TEXTSPLIT($J232,"/"),4)</f>
        <v>NE-Chiller-CHWPumpCtrl-Full-Msr</v>
      </c>
      <c r="G232">
        <f>$P232</f>
        <v>1.2959999999999999E-2</v>
      </c>
      <c r="H232">
        <f>$G$4*G232</f>
        <v>12.895199999999999</v>
      </c>
      <c r="J232" t="s">
        <v>287</v>
      </c>
      <c r="K232" t="s">
        <v>12</v>
      </c>
      <c r="M232">
        <v>2483.19</v>
      </c>
      <c r="N232">
        <v>869.82</v>
      </c>
      <c r="P232">
        <v>1.2959999999999999E-2</v>
      </c>
      <c r="Q232">
        <v>0</v>
      </c>
      <c r="R232">
        <v>26734.36</v>
      </c>
      <c r="S232">
        <v>23792.959999999999</v>
      </c>
      <c r="T232">
        <v>0</v>
      </c>
      <c r="U232">
        <v>29466.65</v>
      </c>
      <c r="V232">
        <v>0</v>
      </c>
      <c r="W232">
        <v>112118.64</v>
      </c>
      <c r="X232">
        <v>8858.0300000000007</v>
      </c>
      <c r="Y232">
        <v>8665.9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4096.03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4688.12</v>
      </c>
      <c r="AQ232">
        <v>0</v>
      </c>
      <c r="AR232">
        <v>0</v>
      </c>
      <c r="AS232">
        <v>165056564.503492</v>
      </c>
    </row>
    <row r="233" spans="2:45" ht="15.75" hidden="1" thickBot="1" x14ac:dyDescent="0.3">
      <c r="B233" s="15" t="str" cm="1">
        <f t="array" ref="B233">INDEX(_xlfn.TEXTSPLIT($J233,"/"),3)</f>
        <v>OfS&amp;0&amp;cPVVE&amp;Ex&amp;Chiller__PumpCtrl</v>
      </c>
      <c r="C233" s="33" t="str" cm="1">
        <f t="array" ref="C233">INDEX(_xlfn.TEXTSPLIT($J233,"/"),2)</f>
        <v>CZ03</v>
      </c>
      <c r="D233" s="34">
        <f>$G$3*H233</f>
        <v>8.6707284999999992</v>
      </c>
      <c r="F233" t="str" cm="1">
        <f t="array" ref="F233">INDEX(_xlfn.TEXTSPLIT($J233,"/"),4)</f>
        <v>NE-Chiller-CHWPumpCtrl-Full-Msr</v>
      </c>
      <c r="G233">
        <f>$P233</f>
        <v>1.2449E-2</v>
      </c>
      <c r="H233">
        <f>$G$4*G233</f>
        <v>12.386755000000001</v>
      </c>
      <c r="J233" t="s">
        <v>273</v>
      </c>
      <c r="K233" t="s">
        <v>13</v>
      </c>
      <c r="M233">
        <v>2385.29</v>
      </c>
      <c r="N233">
        <v>835.53</v>
      </c>
      <c r="P233">
        <v>1.2449E-2</v>
      </c>
      <c r="Q233">
        <v>0</v>
      </c>
      <c r="R233">
        <v>15005.07</v>
      </c>
      <c r="S233">
        <v>23792.959999999999</v>
      </c>
      <c r="T233">
        <v>0</v>
      </c>
      <c r="U233">
        <v>29466.65</v>
      </c>
      <c r="V233">
        <v>0</v>
      </c>
      <c r="W233">
        <v>108007.51</v>
      </c>
      <c r="X233">
        <v>6512.7</v>
      </c>
      <c r="Y233">
        <v>6460.84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2134.87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4672.57</v>
      </c>
      <c r="AQ233">
        <v>0</v>
      </c>
      <c r="AR233">
        <v>0</v>
      </c>
      <c r="AS233">
        <v>143297107.01763499</v>
      </c>
    </row>
    <row r="234" spans="2:45" ht="15.75" hidden="1" thickBot="1" x14ac:dyDescent="0.3">
      <c r="B234" s="15" t="str" cm="1">
        <f t="array" ref="B234">INDEX(_xlfn.TEXTSPLIT($J234,"/"),3)</f>
        <v>OfS&amp;0&amp;cPVVE&amp;Ex&amp;Chiller__PumpCtrl</v>
      </c>
      <c r="C234" s="33" t="str" cm="1">
        <f t="array" ref="C234">INDEX(_xlfn.TEXTSPLIT($J234,"/"),2)</f>
        <v>CZ04</v>
      </c>
      <c r="D234" s="34">
        <f>$G$3*H234</f>
        <v>9.1443484999999995</v>
      </c>
      <c r="F234" t="str" cm="1">
        <f t="array" ref="F234">INDEX(_xlfn.TEXTSPLIT($J234,"/"),4)</f>
        <v>NE-Chiller-CHWPumpCtrl-Full-Msr</v>
      </c>
      <c r="G234">
        <f>$P234</f>
        <v>1.3129E-2</v>
      </c>
      <c r="H234">
        <f>$G$4*G234</f>
        <v>13.063355</v>
      </c>
      <c r="J234" t="s">
        <v>258</v>
      </c>
      <c r="K234" t="s">
        <v>14</v>
      </c>
      <c r="M234">
        <v>2515.5500000000002</v>
      </c>
      <c r="N234">
        <v>881.16</v>
      </c>
      <c r="P234">
        <v>1.3129E-2</v>
      </c>
      <c r="Q234">
        <v>0</v>
      </c>
      <c r="R234">
        <v>30445.119999999999</v>
      </c>
      <c r="S234">
        <v>23792.959999999999</v>
      </c>
      <c r="T234">
        <v>0</v>
      </c>
      <c r="U234">
        <v>29466.65</v>
      </c>
      <c r="V234">
        <v>0</v>
      </c>
      <c r="W234">
        <v>114175.89</v>
      </c>
      <c r="X234">
        <v>8949.1</v>
      </c>
      <c r="Y234">
        <v>9212.2199999999993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1512.21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4532.7</v>
      </c>
      <c r="AQ234">
        <v>0</v>
      </c>
      <c r="AR234">
        <v>0</v>
      </c>
      <c r="AS234">
        <v>175031952.13324001</v>
      </c>
    </row>
    <row r="235" spans="2:45" ht="15.75" hidden="1" thickBot="1" x14ac:dyDescent="0.3">
      <c r="B235" s="15" t="str" cm="1">
        <f t="array" ref="B235">INDEX(_xlfn.TEXTSPLIT($J235,"/"),3)</f>
        <v>OfS&amp;0&amp;cPVVE&amp;Ex&amp;Chiller__PumpCtrl</v>
      </c>
      <c r="C235" s="33" t="str" cm="1">
        <f t="array" ref="C235">INDEX(_xlfn.TEXTSPLIT($J235,"/"),2)</f>
        <v>CZ05</v>
      </c>
      <c r="D235" s="34">
        <f>$G$3*H235</f>
        <v>8.2660619999999998</v>
      </c>
      <c r="F235" t="str" cm="1">
        <f t="array" ref="F235">INDEX(_xlfn.TEXTSPLIT($J235,"/"),4)</f>
        <v>NE-Chiller-CHWPumpCtrl-Full-Msr</v>
      </c>
      <c r="G235">
        <f>$P235</f>
        <v>1.1868E-2</v>
      </c>
      <c r="H235">
        <f>$G$4*G235</f>
        <v>11.80866</v>
      </c>
      <c r="J235" t="s">
        <v>240</v>
      </c>
      <c r="K235" t="s">
        <v>15</v>
      </c>
      <c r="M235">
        <v>2273.9</v>
      </c>
      <c r="N235">
        <v>796.51</v>
      </c>
      <c r="P235">
        <v>1.1868E-2</v>
      </c>
      <c r="Q235">
        <v>0</v>
      </c>
      <c r="R235">
        <v>18733.98</v>
      </c>
      <c r="S235">
        <v>23792.959999999999</v>
      </c>
      <c r="T235">
        <v>0</v>
      </c>
      <c r="U235">
        <v>29466.65</v>
      </c>
      <c r="V235">
        <v>0</v>
      </c>
      <c r="W235">
        <v>106239.22</v>
      </c>
      <c r="X235">
        <v>6904.59</v>
      </c>
      <c r="Y235">
        <v>6744.67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1605.08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4673.0200000000004</v>
      </c>
      <c r="AQ235">
        <v>0</v>
      </c>
      <c r="AR235">
        <v>0</v>
      </c>
      <c r="AS235">
        <v>115446318.558943</v>
      </c>
    </row>
    <row r="236" spans="2:45" ht="15.75" hidden="1" thickBot="1" x14ac:dyDescent="0.3">
      <c r="B236" s="15" t="str" cm="1">
        <f t="array" ref="B236">INDEX(_xlfn.TEXTSPLIT($J236,"/"),3)</f>
        <v>OfS&amp;0&amp;cPVVE&amp;Ex&amp;Chiller__PumpCtrl</v>
      </c>
      <c r="C236" s="33" t="str" cm="1">
        <f t="array" ref="C236">INDEX(_xlfn.TEXTSPLIT($J236,"/"),2)</f>
        <v>CZ06</v>
      </c>
      <c r="D236" s="34">
        <f>$G$3*H236</f>
        <v>8.4464555000000008</v>
      </c>
      <c r="F236" t="str" cm="1">
        <f t="array" ref="F236">INDEX(_xlfn.TEXTSPLIT($J236,"/"),4)</f>
        <v>NE-Chiller-CHWPumpCtrl-Full-Msr</v>
      </c>
      <c r="G236">
        <f>$P236</f>
        <v>1.2127000000000001E-2</v>
      </c>
      <c r="H236">
        <f>$G$4*G236</f>
        <v>12.066365000000001</v>
      </c>
      <c r="J236" t="s">
        <v>224</v>
      </c>
      <c r="K236" t="s">
        <v>16</v>
      </c>
      <c r="M236">
        <v>2323.52</v>
      </c>
      <c r="N236">
        <v>813.89</v>
      </c>
      <c r="P236">
        <v>1.2127000000000001E-2</v>
      </c>
      <c r="Q236">
        <v>0</v>
      </c>
      <c r="R236">
        <v>30017.95</v>
      </c>
      <c r="S236">
        <v>23792.959999999999</v>
      </c>
      <c r="T236">
        <v>0</v>
      </c>
      <c r="U236">
        <v>29466.65</v>
      </c>
      <c r="V236">
        <v>0</v>
      </c>
      <c r="W236">
        <v>108148.41</v>
      </c>
      <c r="X236">
        <v>8457.7900000000009</v>
      </c>
      <c r="Y236">
        <v>9303.33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115.72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4351.87</v>
      </c>
      <c r="AQ236">
        <v>0</v>
      </c>
      <c r="AR236">
        <v>0</v>
      </c>
      <c r="AS236">
        <v>114561401.915198</v>
      </c>
    </row>
    <row r="237" spans="2:45" ht="15.75" hidden="1" thickBot="1" x14ac:dyDescent="0.3">
      <c r="B237" s="15" t="str" cm="1">
        <f t="array" ref="B237">INDEX(_xlfn.TEXTSPLIT($J237,"/"),3)</f>
        <v>OfS&amp;0&amp;cPVVE&amp;Ex&amp;Chiller__PumpCtrl</v>
      </c>
      <c r="C237" s="33" t="str" cm="1">
        <f t="array" ref="C237">INDEX(_xlfn.TEXTSPLIT($J237,"/"),2)</f>
        <v>CZ07</v>
      </c>
      <c r="D237" s="34">
        <f>$G$3*H237</f>
        <v>8.4520274999999998</v>
      </c>
      <c r="F237" t="str" cm="1">
        <f t="array" ref="F237">INDEX(_xlfn.TEXTSPLIT($J237,"/"),4)</f>
        <v>NE-Chiller-CHWPumpCtrl-Full-Msr</v>
      </c>
      <c r="G237">
        <f>$P237</f>
        <v>1.2135E-2</v>
      </c>
      <c r="H237">
        <f>$G$4*G237</f>
        <v>12.074325</v>
      </c>
      <c r="J237" t="s">
        <v>209</v>
      </c>
      <c r="K237" t="s">
        <v>17</v>
      </c>
      <c r="M237">
        <v>2325.15</v>
      </c>
      <c r="N237">
        <v>814.46</v>
      </c>
      <c r="P237">
        <v>1.2135E-2</v>
      </c>
      <c r="Q237">
        <v>0</v>
      </c>
      <c r="R237">
        <v>37398.94</v>
      </c>
      <c r="S237">
        <v>23792.959999999999</v>
      </c>
      <c r="T237">
        <v>0</v>
      </c>
      <c r="U237">
        <v>29466.65</v>
      </c>
      <c r="V237">
        <v>0</v>
      </c>
      <c r="W237">
        <v>105524.53</v>
      </c>
      <c r="X237">
        <v>8971.5</v>
      </c>
      <c r="Y237">
        <v>9897.44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77.739999999999995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4304.7299999999996</v>
      </c>
      <c r="AQ237">
        <v>0</v>
      </c>
      <c r="AR237">
        <v>0</v>
      </c>
      <c r="AS237">
        <v>129485721.042743</v>
      </c>
    </row>
    <row r="238" spans="2:45" ht="15.75" hidden="1" thickBot="1" x14ac:dyDescent="0.3">
      <c r="B238" s="15" t="str" cm="1">
        <f t="array" ref="B238">INDEX(_xlfn.TEXTSPLIT($J238,"/"),3)</f>
        <v>OfS&amp;0&amp;cPVVE&amp;Ex&amp;Chiller__PumpCtrl</v>
      </c>
      <c r="C238" s="33" t="str" cm="1">
        <f t="array" ref="C238">INDEX(_xlfn.TEXTSPLIT($J238,"/"),2)</f>
        <v>CZ08</v>
      </c>
      <c r="D238" s="34">
        <f>$G$3*H238</f>
        <v>9.1074339999999996</v>
      </c>
      <c r="F238" t="str" cm="1">
        <f t="array" ref="F238">INDEX(_xlfn.TEXTSPLIT($J238,"/"),4)</f>
        <v>NE-Chiller-CHWPumpCtrl-Full-Msr</v>
      </c>
      <c r="G238">
        <f>$P238</f>
        <v>1.3076000000000001E-2</v>
      </c>
      <c r="H238">
        <f>$G$4*G238</f>
        <v>13.010620000000001</v>
      </c>
      <c r="J238" t="s">
        <v>191</v>
      </c>
      <c r="K238" t="s">
        <v>18</v>
      </c>
      <c r="M238">
        <v>2505.4899999999998</v>
      </c>
      <c r="N238">
        <v>877.63</v>
      </c>
      <c r="P238">
        <v>1.3076000000000001E-2</v>
      </c>
      <c r="Q238">
        <v>0</v>
      </c>
      <c r="R238">
        <v>41312.22</v>
      </c>
      <c r="S238">
        <v>23792.959999999999</v>
      </c>
      <c r="T238">
        <v>0</v>
      </c>
      <c r="U238">
        <v>29466.65</v>
      </c>
      <c r="V238">
        <v>0</v>
      </c>
      <c r="W238">
        <v>113792.72</v>
      </c>
      <c r="X238">
        <v>10126.56</v>
      </c>
      <c r="Y238">
        <v>11094.87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215.89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4298.3500000000004</v>
      </c>
      <c r="AQ238">
        <v>0</v>
      </c>
      <c r="AR238">
        <v>0</v>
      </c>
      <c r="AS238">
        <v>141578039.60859099</v>
      </c>
    </row>
    <row r="239" spans="2:45" ht="15.75" hidden="1" thickBot="1" x14ac:dyDescent="0.3">
      <c r="B239" s="15" t="str" cm="1">
        <f t="array" ref="B239">INDEX(_xlfn.TEXTSPLIT($J239,"/"),3)</f>
        <v>OfS&amp;0&amp;cPVVE&amp;Ex&amp;Chiller__PumpCtrl</v>
      </c>
      <c r="C239" s="33" t="str" cm="1">
        <f t="array" ref="C239">INDEX(_xlfn.TEXTSPLIT($J239,"/"),2)</f>
        <v>CZ09</v>
      </c>
      <c r="D239" s="34">
        <f>$G$3*H239</f>
        <v>9.5281199999999995</v>
      </c>
      <c r="F239" t="str" cm="1">
        <f t="array" ref="F239">INDEX(_xlfn.TEXTSPLIT($J239,"/"),4)</f>
        <v>NE-Chiller-CHWPumpCtrl-Full-Msr</v>
      </c>
      <c r="G239">
        <f>$P239</f>
        <v>1.3679999999999999E-2</v>
      </c>
      <c r="H239">
        <f>$G$4*G239</f>
        <v>13.611599999999999</v>
      </c>
      <c r="J239" t="s">
        <v>178</v>
      </c>
      <c r="K239" t="s">
        <v>19</v>
      </c>
      <c r="M239">
        <v>2621.1</v>
      </c>
      <c r="N239">
        <v>918.13</v>
      </c>
      <c r="P239">
        <v>1.3679999999999999E-2</v>
      </c>
      <c r="Q239">
        <v>0</v>
      </c>
      <c r="R239">
        <v>47928.639999999999</v>
      </c>
      <c r="S239">
        <v>23792.959999999999</v>
      </c>
      <c r="T239">
        <v>0</v>
      </c>
      <c r="U239">
        <v>29466.65</v>
      </c>
      <c r="V239">
        <v>0</v>
      </c>
      <c r="W239">
        <v>121625.56</v>
      </c>
      <c r="X239">
        <v>11288.01</v>
      </c>
      <c r="Y239">
        <v>12487.01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172.39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4247.5200000000004</v>
      </c>
      <c r="AQ239">
        <v>0</v>
      </c>
      <c r="AR239">
        <v>0</v>
      </c>
      <c r="AS239">
        <v>152720900.686488</v>
      </c>
    </row>
    <row r="240" spans="2:45" ht="15.75" hidden="1" thickBot="1" x14ac:dyDescent="0.3">
      <c r="B240" s="15" t="str" cm="1">
        <f t="array" ref="B240">INDEX(_xlfn.TEXTSPLIT($J240,"/"),3)</f>
        <v>OfS&amp;0&amp;cPVVE&amp;Ex&amp;Chiller__PumpCtrl</v>
      </c>
      <c r="C240" s="33" t="str" cm="1">
        <f t="array" ref="C240">INDEX(_xlfn.TEXTSPLIT($J240,"/"),2)</f>
        <v>CZ10</v>
      </c>
      <c r="D240" s="34">
        <f>$G$3*H240</f>
        <v>8.9340054999999996</v>
      </c>
      <c r="F240" t="str" cm="1">
        <f t="array" ref="F240">INDEX(_xlfn.TEXTSPLIT($J240,"/"),4)</f>
        <v>NE-Chiller-CHWPumpCtrl-Full-Msr</v>
      </c>
      <c r="G240">
        <f>$P240</f>
        <v>1.2827E-2</v>
      </c>
      <c r="H240">
        <f>$G$4*G240</f>
        <v>12.762865</v>
      </c>
      <c r="J240" t="s">
        <v>162</v>
      </c>
      <c r="K240" t="s">
        <v>20</v>
      </c>
      <c r="M240">
        <v>2457.65</v>
      </c>
      <c r="N240">
        <v>860.87</v>
      </c>
      <c r="P240">
        <v>1.2827E-2</v>
      </c>
      <c r="Q240">
        <v>0</v>
      </c>
      <c r="R240">
        <v>51492.04</v>
      </c>
      <c r="S240">
        <v>23792.959999999999</v>
      </c>
      <c r="T240">
        <v>0</v>
      </c>
      <c r="U240">
        <v>29466.65</v>
      </c>
      <c r="V240">
        <v>0</v>
      </c>
      <c r="W240">
        <v>112092.37</v>
      </c>
      <c r="X240">
        <v>11026.8</v>
      </c>
      <c r="Y240">
        <v>11807.31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882.82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4217.4799999999996</v>
      </c>
      <c r="AQ240">
        <v>0</v>
      </c>
      <c r="AR240">
        <v>0</v>
      </c>
      <c r="AS240">
        <v>168912003.01189101</v>
      </c>
    </row>
    <row r="241" spans="2:45" ht="15.75" hidden="1" thickBot="1" x14ac:dyDescent="0.3">
      <c r="B241" s="15" t="str" cm="1">
        <f t="array" ref="B241">INDEX(_xlfn.TEXTSPLIT($J241,"/"),3)</f>
        <v>OfS&amp;0&amp;cPVVE&amp;Ex&amp;Chiller__PumpCtrl</v>
      </c>
      <c r="C241" s="33" t="str" cm="1">
        <f t="array" ref="C241">INDEX(_xlfn.TEXTSPLIT($J241,"/"),2)</f>
        <v>CZ11</v>
      </c>
      <c r="D241" s="34">
        <f>$G$3*H241</f>
        <v>9.8603504999999991</v>
      </c>
      <c r="F241" t="str" cm="1">
        <f t="array" ref="F241">INDEX(_xlfn.TEXTSPLIT($J241,"/"),4)</f>
        <v>NE-Chiller-CHWPumpCtrl-Full-Msr</v>
      </c>
      <c r="G241">
        <f>$P241</f>
        <v>1.4156999999999999E-2</v>
      </c>
      <c r="H241">
        <f>$G$4*G241</f>
        <v>14.086214999999999</v>
      </c>
      <c r="J241" t="s">
        <v>145</v>
      </c>
      <c r="K241" t="s">
        <v>21</v>
      </c>
      <c r="M241">
        <v>2712.56</v>
      </c>
      <c r="N241">
        <v>950.17</v>
      </c>
      <c r="P241">
        <v>1.4156999999999999E-2</v>
      </c>
      <c r="Q241">
        <v>0</v>
      </c>
      <c r="R241">
        <v>58448.42</v>
      </c>
      <c r="S241">
        <v>23792.959999999999</v>
      </c>
      <c r="T241">
        <v>0</v>
      </c>
      <c r="U241">
        <v>29466.65</v>
      </c>
      <c r="V241">
        <v>0</v>
      </c>
      <c r="W241">
        <v>125539.7</v>
      </c>
      <c r="X241">
        <v>13149.77</v>
      </c>
      <c r="Y241">
        <v>13842.17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3445.22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4300.1400000000003</v>
      </c>
      <c r="AQ241">
        <v>0</v>
      </c>
      <c r="AR241">
        <v>0</v>
      </c>
      <c r="AS241">
        <v>210221285.37251899</v>
      </c>
    </row>
    <row r="242" spans="2:45" ht="15.75" hidden="1" thickBot="1" x14ac:dyDescent="0.3">
      <c r="B242" s="15" t="str" cm="1">
        <f t="array" ref="B242">INDEX(_xlfn.TEXTSPLIT($J242,"/"),3)</f>
        <v>OfS&amp;0&amp;cPVVE&amp;Ex&amp;Chiller__PumpCtrl</v>
      </c>
      <c r="C242" s="33" t="str" cm="1">
        <f t="array" ref="C242">INDEX(_xlfn.TEXTSPLIT($J242,"/"),2)</f>
        <v>CZ12</v>
      </c>
      <c r="D242" s="34">
        <f>$G$3*H242</f>
        <v>9.2355899999999984</v>
      </c>
      <c r="F242" t="str" cm="1">
        <f t="array" ref="F242">INDEX(_xlfn.TEXTSPLIT($J242,"/"),4)</f>
        <v>NE-Chiller-CHWPumpCtrl-Full-Msr</v>
      </c>
      <c r="G242">
        <f>$P242</f>
        <v>1.3259999999999999E-2</v>
      </c>
      <c r="H242">
        <f>$G$4*G242</f>
        <v>13.1937</v>
      </c>
      <c r="J242" t="s">
        <v>126</v>
      </c>
      <c r="K242" t="s">
        <v>22</v>
      </c>
      <c r="M242">
        <v>2540.7199999999998</v>
      </c>
      <c r="N242">
        <v>889.97</v>
      </c>
      <c r="P242">
        <v>1.3259999999999999E-2</v>
      </c>
      <c r="Q242">
        <v>0</v>
      </c>
      <c r="R242">
        <v>48025.77</v>
      </c>
      <c r="S242">
        <v>23792.959999999999</v>
      </c>
      <c r="T242">
        <v>0</v>
      </c>
      <c r="U242">
        <v>29466.65</v>
      </c>
      <c r="V242">
        <v>0</v>
      </c>
      <c r="W242">
        <v>113959.13</v>
      </c>
      <c r="X242">
        <v>11305.28</v>
      </c>
      <c r="Y242">
        <v>11727.66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3587.08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4403.43</v>
      </c>
      <c r="AQ242">
        <v>0</v>
      </c>
      <c r="AR242">
        <v>0</v>
      </c>
      <c r="AS242">
        <v>181700180.068165</v>
      </c>
    </row>
    <row r="243" spans="2:45" ht="15.75" hidden="1" thickBot="1" x14ac:dyDescent="0.3">
      <c r="B243" s="15" t="str" cm="1">
        <f t="array" ref="B243">INDEX(_xlfn.TEXTSPLIT($J243,"/"),3)</f>
        <v>OfS&amp;0&amp;cPVVE&amp;Ex&amp;Chiller__PumpCtrl</v>
      </c>
      <c r="C243" s="33" t="str" cm="1">
        <f t="array" ref="C243">INDEX(_xlfn.TEXTSPLIT($J243,"/"),2)</f>
        <v>CZ13</v>
      </c>
      <c r="D243" s="34">
        <f>$G$3*H243</f>
        <v>9.5845364999999987</v>
      </c>
      <c r="F243" t="str" cm="1">
        <f t="array" ref="F243">INDEX(_xlfn.TEXTSPLIT($J243,"/"),4)</f>
        <v>NE-Chiller-CHWPumpCtrl-Full-Msr</v>
      </c>
      <c r="G243">
        <f>$P243</f>
        <v>1.3761000000000001E-2</v>
      </c>
      <c r="H243">
        <f>$G$4*G243</f>
        <v>13.692195</v>
      </c>
      <c r="J243" t="s">
        <v>113</v>
      </c>
      <c r="K243" t="s">
        <v>23</v>
      </c>
      <c r="M243">
        <v>2636.73</v>
      </c>
      <c r="N243">
        <v>923.61</v>
      </c>
      <c r="P243">
        <v>1.3761000000000001E-2</v>
      </c>
      <c r="Q243">
        <v>0</v>
      </c>
      <c r="R243">
        <v>63418.879999999997</v>
      </c>
      <c r="S243">
        <v>23792.959999999999</v>
      </c>
      <c r="T243">
        <v>0</v>
      </c>
      <c r="U243">
        <v>29466.65</v>
      </c>
      <c r="V243">
        <v>0</v>
      </c>
      <c r="W243">
        <v>120835.48</v>
      </c>
      <c r="X243">
        <v>13121.38</v>
      </c>
      <c r="Y243">
        <v>14142.55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2332.81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4192.6899999999996</v>
      </c>
      <c r="AQ243">
        <v>0</v>
      </c>
      <c r="AR243">
        <v>0</v>
      </c>
      <c r="AS243">
        <v>194857469.575434</v>
      </c>
    </row>
    <row r="244" spans="2:45" ht="15.75" hidden="1" thickBot="1" x14ac:dyDescent="0.3">
      <c r="B244" s="15" t="str" cm="1">
        <f t="array" ref="B244">INDEX(_xlfn.TEXTSPLIT($J244,"/"),3)</f>
        <v>OfS&amp;0&amp;cPVVE&amp;Ex&amp;Chiller__PumpCtrl</v>
      </c>
      <c r="C244" s="33" t="str" cm="1">
        <f t="array" ref="C244">INDEX(_xlfn.TEXTSPLIT($J244,"/"),2)</f>
        <v>CZ14</v>
      </c>
      <c r="D244" s="34">
        <f>$G$3*H244</f>
        <v>9.7837354999999988</v>
      </c>
      <c r="F244" t="str" cm="1">
        <f t="array" ref="F244">INDEX(_xlfn.TEXTSPLIT($J244,"/"),4)</f>
        <v>NE-Chiller-CHWPumpCtrl-Full-Msr</v>
      </c>
      <c r="G244">
        <f>$P244</f>
        <v>1.4047E-2</v>
      </c>
      <c r="H244">
        <f>$G$4*G244</f>
        <v>13.976765</v>
      </c>
      <c r="J244" t="s">
        <v>97</v>
      </c>
      <c r="K244" t="s">
        <v>24</v>
      </c>
      <c r="M244">
        <v>2691.48</v>
      </c>
      <c r="N244">
        <v>942.78</v>
      </c>
      <c r="P244">
        <v>1.4047E-2</v>
      </c>
      <c r="Q244">
        <v>0</v>
      </c>
      <c r="R244">
        <v>71483.850000000006</v>
      </c>
      <c r="S244">
        <v>23792.959999999999</v>
      </c>
      <c r="T244">
        <v>0</v>
      </c>
      <c r="U244">
        <v>29466.65</v>
      </c>
      <c r="V244">
        <v>0</v>
      </c>
      <c r="W244">
        <v>132534.9</v>
      </c>
      <c r="X244">
        <v>14605.25</v>
      </c>
      <c r="Y244">
        <v>15215.25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1042.01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4007.76</v>
      </c>
      <c r="AQ244">
        <v>0</v>
      </c>
      <c r="AR244">
        <v>0</v>
      </c>
      <c r="AS244">
        <v>210120937.20763499</v>
      </c>
    </row>
    <row r="245" spans="2:45" ht="15.75" hidden="1" thickBot="1" x14ac:dyDescent="0.3">
      <c r="B245" s="15" t="str" cm="1">
        <f t="array" ref="B245">INDEX(_xlfn.TEXTSPLIT($J245,"/"),3)</f>
        <v>OfS&amp;0&amp;cPVVE&amp;Ex&amp;Chiller__PumpCtrl</v>
      </c>
      <c r="C245" s="33" t="str" cm="1">
        <f t="array" ref="C245">INDEX(_xlfn.TEXTSPLIT($J245,"/"),2)</f>
        <v>CZ15</v>
      </c>
      <c r="D245" s="34">
        <f>$G$3*H245</f>
        <v>9.8387589999999996</v>
      </c>
      <c r="F245" t="str" cm="1">
        <f t="array" ref="F245">INDEX(_xlfn.TEXTSPLIT($J245,"/"),4)</f>
        <v>NE-Chiller-CHWPumpCtrl-Full-Msr</v>
      </c>
      <c r="G245">
        <f>$P245</f>
        <v>1.4126E-2</v>
      </c>
      <c r="H245">
        <f>$G$4*G245</f>
        <v>14.05537</v>
      </c>
      <c r="J245" t="s">
        <v>78</v>
      </c>
      <c r="K245" t="s">
        <v>25</v>
      </c>
      <c r="M245">
        <v>2706.52</v>
      </c>
      <c r="N245">
        <v>948.05</v>
      </c>
      <c r="P245">
        <v>1.4126E-2</v>
      </c>
      <c r="Q245">
        <v>0</v>
      </c>
      <c r="R245">
        <v>94668.41</v>
      </c>
      <c r="S245">
        <v>23792.959999999999</v>
      </c>
      <c r="T245">
        <v>0</v>
      </c>
      <c r="U245">
        <v>29466.65</v>
      </c>
      <c r="V245">
        <v>0</v>
      </c>
      <c r="W245">
        <v>125442.71</v>
      </c>
      <c r="X245">
        <v>16365.99</v>
      </c>
      <c r="Y245">
        <v>18273.57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137.41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3626.13</v>
      </c>
      <c r="AQ245">
        <v>0</v>
      </c>
      <c r="AR245">
        <v>0</v>
      </c>
      <c r="AS245">
        <v>199077234.62180901</v>
      </c>
    </row>
    <row r="246" spans="2:45" ht="15.75" hidden="1" thickBot="1" x14ac:dyDescent="0.3">
      <c r="B246" s="15" t="str" cm="1">
        <f t="array" ref="B246">INDEX(_xlfn.TEXTSPLIT($J246,"/"),3)</f>
        <v>OfS&amp;0&amp;cPVVE&amp;Ex&amp;Chiller__PumpCtrl</v>
      </c>
      <c r="C246" s="33" t="str" cm="1">
        <f t="array" ref="C246">INDEX(_xlfn.TEXTSPLIT($J246,"/"),2)</f>
        <v>CZ16</v>
      </c>
      <c r="D246" s="34">
        <f>$G$3*H246</f>
        <v>9.0349979999999981</v>
      </c>
      <c r="F246" t="str" cm="1">
        <f t="array" ref="F246">INDEX(_xlfn.TEXTSPLIT($J246,"/"),4)</f>
        <v>NE-Chiller-CHWPumpCtrl-Full-Msr</v>
      </c>
      <c r="G246">
        <f>$P246</f>
        <v>1.2971999999999999E-2</v>
      </c>
      <c r="H246">
        <f>$G$4*G246</f>
        <v>12.907139999999998</v>
      </c>
      <c r="J246" t="s">
        <v>65</v>
      </c>
      <c r="K246" t="s">
        <v>26</v>
      </c>
      <c r="M246">
        <v>2485.41</v>
      </c>
      <c r="N246">
        <v>870.6</v>
      </c>
      <c r="P246">
        <v>1.2971999999999999E-2</v>
      </c>
      <c r="Q246">
        <v>0</v>
      </c>
      <c r="R246">
        <v>46039.41</v>
      </c>
      <c r="S246">
        <v>23792.959999999999</v>
      </c>
      <c r="T246">
        <v>0</v>
      </c>
      <c r="U246">
        <v>29466.65</v>
      </c>
      <c r="V246">
        <v>0</v>
      </c>
      <c r="W246">
        <v>133201.28</v>
      </c>
      <c r="X246">
        <v>12004.48</v>
      </c>
      <c r="Y246">
        <v>10101.049999999999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6209.76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4620.76</v>
      </c>
      <c r="AQ246">
        <v>0</v>
      </c>
      <c r="AR246">
        <v>0</v>
      </c>
      <c r="AS246">
        <v>168308373.736523</v>
      </c>
    </row>
    <row r="247" spans="2:45" ht="15.75" hidden="1" thickBot="1" x14ac:dyDescent="0.3">
      <c r="B247" s="15" t="str" cm="1">
        <f t="array" ref="B247">INDEX(_xlfn.TEXTSPLIT($J247,"/"),3)</f>
        <v>OfS&amp;0&amp;cPVVE&amp;New&amp;Chiller__PumpCtrl</v>
      </c>
      <c r="C247" s="33" t="str" cm="1">
        <f t="array" ref="C247">INDEX(_xlfn.TEXTSPLIT($J247,"/"),2)</f>
        <v>CZ01</v>
      </c>
      <c r="D247" s="34">
        <f>$G$3*H247</f>
        <v>3.7624929999999992</v>
      </c>
      <c r="F247" t="str" cm="1">
        <f t="array" ref="F247">INDEX(_xlfn.TEXTSPLIT($J247,"/"),4)</f>
        <v>NE-Chiller-CHWPumpCtrl-Full-Msr</v>
      </c>
      <c r="G247">
        <f>$P247</f>
        <v>5.4019999999999997E-3</v>
      </c>
      <c r="H247">
        <f>$G$4*G247</f>
        <v>5.3749899999999995</v>
      </c>
      <c r="J247" t="s">
        <v>560</v>
      </c>
      <c r="K247" t="s">
        <v>11</v>
      </c>
      <c r="M247">
        <v>1035.1300000000001</v>
      </c>
      <c r="N247">
        <v>362.59</v>
      </c>
      <c r="P247">
        <v>5.4019999999999997E-3</v>
      </c>
      <c r="Q247">
        <v>0</v>
      </c>
      <c r="R247">
        <v>499.83</v>
      </c>
      <c r="S247">
        <v>12134.67</v>
      </c>
      <c r="T247">
        <v>0</v>
      </c>
      <c r="U247">
        <v>29466.65</v>
      </c>
      <c r="V247">
        <v>0</v>
      </c>
      <c r="W247">
        <v>46813.13</v>
      </c>
      <c r="X247">
        <v>1245.73</v>
      </c>
      <c r="Y247">
        <v>975.19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11409.76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5049.04</v>
      </c>
      <c r="AQ247">
        <v>0</v>
      </c>
      <c r="AR247">
        <v>0</v>
      </c>
      <c r="AS247">
        <v>42445846.723382503</v>
      </c>
    </row>
    <row r="248" spans="2:45" ht="15.75" hidden="1" thickBot="1" x14ac:dyDescent="0.3">
      <c r="B248" s="15" t="str" cm="1">
        <f t="array" ref="B248">INDEX(_xlfn.TEXTSPLIT($J248,"/"),3)</f>
        <v>OfS&amp;0&amp;cPVVE&amp;New&amp;Chiller__PumpCtrl</v>
      </c>
      <c r="C248" s="33" t="str" cm="1">
        <f t="array" ref="C248">INDEX(_xlfn.TEXTSPLIT($J248,"/"),2)</f>
        <v>CZ02</v>
      </c>
      <c r="D248" s="34">
        <f>$G$3*H248</f>
        <v>4.8183869999999995</v>
      </c>
      <c r="F248" t="str" cm="1">
        <f t="array" ref="F248">INDEX(_xlfn.TEXTSPLIT($J248,"/"),4)</f>
        <v>NE-Chiller-CHWPumpCtrl-Full-Msr</v>
      </c>
      <c r="G248">
        <f>$P248</f>
        <v>6.9179999999999997E-3</v>
      </c>
      <c r="H248">
        <f>$G$4*G248</f>
        <v>6.8834099999999996</v>
      </c>
      <c r="J248" t="s">
        <v>541</v>
      </c>
      <c r="K248" t="s">
        <v>12</v>
      </c>
      <c r="M248">
        <v>1325.42</v>
      </c>
      <c r="N248">
        <v>464.28</v>
      </c>
      <c r="P248">
        <v>6.9179999999999997E-3</v>
      </c>
      <c r="Q248">
        <v>0</v>
      </c>
      <c r="R248">
        <v>11101.71</v>
      </c>
      <c r="S248">
        <v>12134.67</v>
      </c>
      <c r="T248">
        <v>0</v>
      </c>
      <c r="U248">
        <v>29466.65</v>
      </c>
      <c r="V248">
        <v>0</v>
      </c>
      <c r="W248">
        <v>55883.38</v>
      </c>
      <c r="X248">
        <v>3331.25</v>
      </c>
      <c r="Y248">
        <v>3172.2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5529.89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4688.04</v>
      </c>
      <c r="AQ248">
        <v>0</v>
      </c>
      <c r="AR248">
        <v>0</v>
      </c>
      <c r="AS248">
        <v>78583372.975707993</v>
      </c>
    </row>
    <row r="249" spans="2:45" ht="15.75" hidden="1" thickBot="1" x14ac:dyDescent="0.3">
      <c r="B249" s="15" t="str" cm="1">
        <f t="array" ref="B249">INDEX(_xlfn.TEXTSPLIT($J249,"/"),3)</f>
        <v>OfS&amp;0&amp;cPVVE&amp;New&amp;Chiller__PumpCtrl</v>
      </c>
      <c r="C249" s="33" t="str" cm="1">
        <f t="array" ref="C249">INDEX(_xlfn.TEXTSPLIT($J249,"/"),2)</f>
        <v>CZ03</v>
      </c>
      <c r="D249" s="34">
        <f>$G$3*H249</f>
        <v>4.7292350000000001</v>
      </c>
      <c r="F249" t="str" cm="1">
        <f t="array" ref="F249">INDEX(_xlfn.TEXTSPLIT($J249,"/"),4)</f>
        <v>NE-Chiller-CHWPumpCtrl-Full-Msr</v>
      </c>
      <c r="G249">
        <f>$P249</f>
        <v>6.79E-3</v>
      </c>
      <c r="H249">
        <f>$G$4*G249</f>
        <v>6.7560500000000001</v>
      </c>
      <c r="J249" t="s">
        <v>529</v>
      </c>
      <c r="K249" t="s">
        <v>13</v>
      </c>
      <c r="M249">
        <v>1300.9000000000001</v>
      </c>
      <c r="N249">
        <v>455.68</v>
      </c>
      <c r="P249">
        <v>6.79E-3</v>
      </c>
      <c r="Q249">
        <v>0</v>
      </c>
      <c r="R249">
        <v>5955.52</v>
      </c>
      <c r="S249">
        <v>12134.67</v>
      </c>
      <c r="T249">
        <v>0</v>
      </c>
      <c r="U249">
        <v>29466.65</v>
      </c>
      <c r="V249">
        <v>0</v>
      </c>
      <c r="W249">
        <v>55412.959999999999</v>
      </c>
      <c r="X249">
        <v>2642.21</v>
      </c>
      <c r="Y249">
        <v>2578.13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3632.97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4672.42</v>
      </c>
      <c r="AQ249">
        <v>0</v>
      </c>
      <c r="AR249">
        <v>0</v>
      </c>
      <c r="AS249">
        <v>69535291.864686206</v>
      </c>
    </row>
    <row r="250" spans="2:45" ht="15.75" hidden="1" thickBot="1" x14ac:dyDescent="0.3">
      <c r="B250" s="15" t="str" cm="1">
        <f t="array" ref="B250">INDEX(_xlfn.TEXTSPLIT($J250,"/"),3)</f>
        <v>OfS&amp;0&amp;cPVVE&amp;New&amp;Chiller__PumpCtrl</v>
      </c>
      <c r="C250" s="33" t="str" cm="1">
        <f t="array" ref="C250">INDEX(_xlfn.TEXTSPLIT($J250,"/"),2)</f>
        <v>CZ04</v>
      </c>
      <c r="D250" s="34">
        <f>$G$3*H250</f>
        <v>4.9054494999999996</v>
      </c>
      <c r="F250" t="str" cm="1">
        <f t="array" ref="F250">INDEX(_xlfn.TEXTSPLIT($J250,"/"),4)</f>
        <v>NE-Chiller-CHWPumpCtrl-Full-Msr</v>
      </c>
      <c r="G250">
        <f>$P250</f>
        <v>7.0429999999999998E-3</v>
      </c>
      <c r="H250">
        <f>$G$4*G250</f>
        <v>7.0077850000000002</v>
      </c>
      <c r="J250" t="s">
        <v>513</v>
      </c>
      <c r="K250" t="s">
        <v>14</v>
      </c>
      <c r="M250">
        <v>1349.53</v>
      </c>
      <c r="N250">
        <v>472.72</v>
      </c>
      <c r="P250">
        <v>7.0429999999999998E-3</v>
      </c>
      <c r="Q250">
        <v>0</v>
      </c>
      <c r="R250">
        <v>13560.63</v>
      </c>
      <c r="S250">
        <v>12134.67</v>
      </c>
      <c r="T250">
        <v>0</v>
      </c>
      <c r="U250">
        <v>29466.65</v>
      </c>
      <c r="V250">
        <v>0</v>
      </c>
      <c r="W250">
        <v>56910.03</v>
      </c>
      <c r="X250">
        <v>3620.56</v>
      </c>
      <c r="Y250">
        <v>3714.18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2349.17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4532.5600000000004</v>
      </c>
      <c r="AQ250">
        <v>0</v>
      </c>
      <c r="AR250">
        <v>0</v>
      </c>
      <c r="AS250">
        <v>86671101.702216893</v>
      </c>
    </row>
    <row r="251" spans="2:45" ht="15.75" hidden="1" thickBot="1" x14ac:dyDescent="0.3">
      <c r="B251" s="15" t="str" cm="1">
        <f t="array" ref="B251">INDEX(_xlfn.TEXTSPLIT($J251,"/"),3)</f>
        <v>OfS&amp;0&amp;cPVVE&amp;New&amp;Chiller__PumpCtrl</v>
      </c>
      <c r="C251" s="33" t="str" cm="1">
        <f t="array" ref="C251">INDEX(_xlfn.TEXTSPLIT($J251,"/"),2)</f>
        <v>CZ05</v>
      </c>
      <c r="D251" s="34">
        <f>$G$3*H251</f>
        <v>4.3858604999999997</v>
      </c>
      <c r="F251" t="str" cm="1">
        <f t="array" ref="F251">INDEX(_xlfn.TEXTSPLIT($J251,"/"),4)</f>
        <v>NE-Chiller-CHWPumpCtrl-Full-Msr</v>
      </c>
      <c r="G251">
        <f>$P251</f>
        <v>6.2969999999999996E-3</v>
      </c>
      <c r="H251">
        <f>$G$4*G251</f>
        <v>6.2655149999999997</v>
      </c>
      <c r="J251" t="s">
        <v>497</v>
      </c>
      <c r="K251" t="s">
        <v>15</v>
      </c>
      <c r="M251">
        <v>1206.44</v>
      </c>
      <c r="N251">
        <v>422.6</v>
      </c>
      <c r="P251">
        <v>6.2969999999999996E-3</v>
      </c>
      <c r="Q251">
        <v>0</v>
      </c>
      <c r="R251">
        <v>7717.15</v>
      </c>
      <c r="S251">
        <v>12134.67</v>
      </c>
      <c r="T251">
        <v>0</v>
      </c>
      <c r="U251">
        <v>29466.65</v>
      </c>
      <c r="V251">
        <v>0</v>
      </c>
      <c r="W251">
        <v>54029.8</v>
      </c>
      <c r="X251">
        <v>2729.08</v>
      </c>
      <c r="Y251">
        <v>2669.23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2996.25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4672.74</v>
      </c>
      <c r="AQ251">
        <v>0</v>
      </c>
      <c r="AR251">
        <v>0</v>
      </c>
      <c r="AS251">
        <v>54974195.407887802</v>
      </c>
    </row>
    <row r="252" spans="2:45" ht="15.75" hidden="1" thickBot="1" x14ac:dyDescent="0.3">
      <c r="B252" s="15" t="str" cm="1">
        <f t="array" ref="B252">INDEX(_xlfn.TEXTSPLIT($J252,"/"),3)</f>
        <v>OfS&amp;0&amp;cPVVE&amp;New&amp;Chiller__PumpCtrl</v>
      </c>
      <c r="C252" s="33" t="str" cm="1">
        <f t="array" ref="C252">INDEX(_xlfn.TEXTSPLIT($J252,"/"),2)</f>
        <v>CZ06</v>
      </c>
      <c r="D252" s="34">
        <f>$G$3*H252</f>
        <v>4.7410755</v>
      </c>
      <c r="F252" t="str" cm="1">
        <f t="array" ref="F252">INDEX(_xlfn.TEXTSPLIT($J252,"/"),4)</f>
        <v>NE-Chiller-CHWPumpCtrl-Full-Msr</v>
      </c>
      <c r="G252">
        <f>$P252</f>
        <v>6.8069999999999997E-3</v>
      </c>
      <c r="H252">
        <f>$G$4*G252</f>
        <v>6.7729650000000001</v>
      </c>
      <c r="J252" t="s">
        <v>482</v>
      </c>
      <c r="K252" t="s">
        <v>16</v>
      </c>
      <c r="M252">
        <v>1304.33</v>
      </c>
      <c r="N252">
        <v>456.89</v>
      </c>
      <c r="P252">
        <v>6.8069999999999997E-3</v>
      </c>
      <c r="Q252">
        <v>0</v>
      </c>
      <c r="R252">
        <v>14061.27</v>
      </c>
      <c r="S252">
        <v>12134.67</v>
      </c>
      <c r="T252">
        <v>0</v>
      </c>
      <c r="U252">
        <v>29466.65</v>
      </c>
      <c r="V252">
        <v>0</v>
      </c>
      <c r="W252">
        <v>57168.03</v>
      </c>
      <c r="X252">
        <v>3736.72</v>
      </c>
      <c r="Y252">
        <v>4125.55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257.88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4351.71</v>
      </c>
      <c r="AQ252">
        <v>0</v>
      </c>
      <c r="AR252">
        <v>0</v>
      </c>
      <c r="AS252">
        <v>50125551.680375502</v>
      </c>
    </row>
    <row r="253" spans="2:45" ht="15.75" hidden="1" thickBot="1" x14ac:dyDescent="0.3">
      <c r="B253" s="15" t="str" cm="1">
        <f t="array" ref="B253">INDEX(_xlfn.TEXTSPLIT($J253,"/"),3)</f>
        <v>OfS&amp;0&amp;cPVVE&amp;New&amp;Chiller__PumpCtrl</v>
      </c>
      <c r="C253" s="33" t="str" cm="1">
        <f t="array" ref="C253">INDEX(_xlfn.TEXTSPLIT($J253,"/"),2)</f>
        <v>CZ07</v>
      </c>
      <c r="D253" s="34">
        <f>$G$3*H253</f>
        <v>4.8448540000000007</v>
      </c>
      <c r="F253" t="str" cm="1">
        <f t="array" ref="F253">INDEX(_xlfn.TEXTSPLIT($J253,"/"),4)</f>
        <v>NE-Chiller-CHWPumpCtrl-Full-Msr</v>
      </c>
      <c r="G253">
        <f>$P253</f>
        <v>6.9560000000000004E-3</v>
      </c>
      <c r="H253">
        <f>$G$4*G253</f>
        <v>6.9212200000000008</v>
      </c>
      <c r="J253" t="s">
        <v>465</v>
      </c>
      <c r="K253" t="s">
        <v>17</v>
      </c>
      <c r="M253">
        <v>1332.87</v>
      </c>
      <c r="N253">
        <v>466.88</v>
      </c>
      <c r="P253">
        <v>6.9560000000000004E-3</v>
      </c>
      <c r="Q253">
        <v>0</v>
      </c>
      <c r="R253">
        <v>18336.849999999999</v>
      </c>
      <c r="S253">
        <v>12134.67</v>
      </c>
      <c r="T253">
        <v>0</v>
      </c>
      <c r="U253">
        <v>29466.65</v>
      </c>
      <c r="V253">
        <v>0</v>
      </c>
      <c r="W253">
        <v>56333.16</v>
      </c>
      <c r="X253">
        <v>4147.59</v>
      </c>
      <c r="Y253">
        <v>4556.46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191.09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4304.6000000000004</v>
      </c>
      <c r="AQ253">
        <v>0</v>
      </c>
      <c r="AR253">
        <v>0</v>
      </c>
      <c r="AS253">
        <v>53044986.831570297</v>
      </c>
    </row>
    <row r="254" spans="2:45" ht="15.75" hidden="1" thickBot="1" x14ac:dyDescent="0.3">
      <c r="B254" s="15" t="str" cm="1">
        <f t="array" ref="B254">INDEX(_xlfn.TEXTSPLIT($J254,"/"),3)</f>
        <v>OfS&amp;0&amp;cPVVE&amp;New&amp;Chiller__PumpCtrl</v>
      </c>
      <c r="C254" s="33" t="str" cm="1">
        <f t="array" ref="C254">INDEX(_xlfn.TEXTSPLIT($J254,"/"),2)</f>
        <v>CZ08</v>
      </c>
      <c r="D254" s="34">
        <f>$G$3*H254</f>
        <v>5.1819600000000001</v>
      </c>
      <c r="F254" t="str" cm="1">
        <f t="array" ref="F254">INDEX(_xlfn.TEXTSPLIT($J254,"/"),4)</f>
        <v>NE-Chiller-CHWPumpCtrl-Full-Msr</v>
      </c>
      <c r="G254">
        <f>$P254</f>
        <v>7.4400000000000004E-3</v>
      </c>
      <c r="H254">
        <f>$G$4*G254</f>
        <v>7.4028</v>
      </c>
      <c r="J254" t="s">
        <v>449</v>
      </c>
      <c r="K254" t="s">
        <v>18</v>
      </c>
      <c r="M254">
        <v>1425.57</v>
      </c>
      <c r="N254">
        <v>499.35</v>
      </c>
      <c r="P254">
        <v>7.4400000000000004E-3</v>
      </c>
      <c r="Q254">
        <v>0</v>
      </c>
      <c r="R254">
        <v>19871.55</v>
      </c>
      <c r="S254">
        <v>12134.67</v>
      </c>
      <c r="T254">
        <v>0</v>
      </c>
      <c r="U254">
        <v>29466.65</v>
      </c>
      <c r="V254">
        <v>0</v>
      </c>
      <c r="W254">
        <v>59636.04</v>
      </c>
      <c r="X254">
        <v>4723.1400000000003</v>
      </c>
      <c r="Y254">
        <v>5163.54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486.05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4298.1099999999997</v>
      </c>
      <c r="AQ254">
        <v>0</v>
      </c>
      <c r="AR254">
        <v>0</v>
      </c>
      <c r="AS254">
        <v>61563157.146646701</v>
      </c>
    </row>
    <row r="255" spans="2:45" ht="15.75" hidden="1" thickBot="1" x14ac:dyDescent="0.3">
      <c r="B255" s="15" t="str" cm="1">
        <f t="array" ref="B255">INDEX(_xlfn.TEXTSPLIT($J255,"/"),3)</f>
        <v>OfS&amp;0&amp;cPVVE&amp;New&amp;Chiller__PumpCtrl</v>
      </c>
      <c r="C255" s="33" t="str" cm="1">
        <f t="array" ref="C255">INDEX(_xlfn.TEXTSPLIT($J255,"/"),2)</f>
        <v>CZ09</v>
      </c>
      <c r="D255" s="34">
        <f>$G$3*H255</f>
        <v>4.8734104999999994</v>
      </c>
      <c r="F255" t="str" cm="1">
        <f t="array" ref="F255">INDEX(_xlfn.TEXTSPLIT($J255,"/"),4)</f>
        <v>NE-Chiller-CHWPumpCtrl-Full-Msr</v>
      </c>
      <c r="G255">
        <f>$P255</f>
        <v>6.9969999999999997E-3</v>
      </c>
      <c r="H255">
        <f>$G$4*G255</f>
        <v>6.9620150000000001</v>
      </c>
      <c r="J255" t="s">
        <v>433</v>
      </c>
      <c r="K255" t="s">
        <v>19</v>
      </c>
      <c r="M255">
        <v>1340.64</v>
      </c>
      <c r="N255">
        <v>469.61</v>
      </c>
      <c r="P255">
        <v>6.9969999999999997E-3</v>
      </c>
      <c r="Q255">
        <v>0</v>
      </c>
      <c r="R255">
        <v>20773.27</v>
      </c>
      <c r="S255">
        <v>12134.67</v>
      </c>
      <c r="T255">
        <v>0</v>
      </c>
      <c r="U255">
        <v>29466.65</v>
      </c>
      <c r="V255">
        <v>0</v>
      </c>
      <c r="W255">
        <v>56591.06</v>
      </c>
      <c r="X255">
        <v>4557.96</v>
      </c>
      <c r="Y255">
        <v>5007.28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293.44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4247.3</v>
      </c>
      <c r="AQ255">
        <v>0</v>
      </c>
      <c r="AR255">
        <v>0</v>
      </c>
      <c r="AS255">
        <v>57037013.939207397</v>
      </c>
    </row>
    <row r="256" spans="2:45" ht="15.75" hidden="1" thickBot="1" x14ac:dyDescent="0.3">
      <c r="B256" s="15" t="str" cm="1">
        <f t="array" ref="B256">INDEX(_xlfn.TEXTSPLIT($J256,"/"),3)</f>
        <v>OfS&amp;0&amp;cPVVE&amp;New&amp;Chiller__PumpCtrl</v>
      </c>
      <c r="C256" s="33" t="str" cm="1">
        <f t="array" ref="C256">INDEX(_xlfn.TEXTSPLIT($J256,"/"),2)</f>
        <v>CZ10</v>
      </c>
      <c r="D256" s="34">
        <f>$G$3*H256</f>
        <v>5.4076259999999996</v>
      </c>
      <c r="F256" t="str" cm="1">
        <f t="array" ref="F256">INDEX(_xlfn.TEXTSPLIT($J256,"/"),4)</f>
        <v>NE-Chiller-CHWPumpCtrl-Full-Msr</v>
      </c>
      <c r="G256">
        <f>$P256</f>
        <v>7.7640000000000001E-3</v>
      </c>
      <c r="H256">
        <f>$G$4*G256</f>
        <v>7.7251799999999999</v>
      </c>
      <c r="J256" t="s">
        <v>416</v>
      </c>
      <c r="K256" t="s">
        <v>20</v>
      </c>
      <c r="M256">
        <v>1487.55</v>
      </c>
      <c r="N256">
        <v>521.05999999999995</v>
      </c>
      <c r="P256">
        <v>7.7640000000000001E-3</v>
      </c>
      <c r="Q256">
        <v>0</v>
      </c>
      <c r="R256">
        <v>27839.65</v>
      </c>
      <c r="S256">
        <v>12134.67</v>
      </c>
      <c r="T256">
        <v>0</v>
      </c>
      <c r="U256">
        <v>29466.65</v>
      </c>
      <c r="V256">
        <v>0</v>
      </c>
      <c r="W256">
        <v>61779.839999999997</v>
      </c>
      <c r="X256">
        <v>5754.62</v>
      </c>
      <c r="Y256">
        <v>6220.24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1384.63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4217.2700000000004</v>
      </c>
      <c r="AQ256">
        <v>0</v>
      </c>
      <c r="AR256">
        <v>0</v>
      </c>
      <c r="AS256">
        <v>92902082.222069293</v>
      </c>
    </row>
    <row r="257" spans="2:45" ht="15.75" hidden="1" thickBot="1" x14ac:dyDescent="0.3">
      <c r="B257" s="15" t="str" cm="1">
        <f t="array" ref="B257">INDEX(_xlfn.TEXTSPLIT($J257,"/"),3)</f>
        <v>OfS&amp;0&amp;cPVVE&amp;New&amp;Chiller__PumpCtrl</v>
      </c>
      <c r="C257" s="33" t="str" cm="1">
        <f t="array" ref="C257">INDEX(_xlfn.TEXTSPLIT($J257,"/"),2)</f>
        <v>CZ11</v>
      </c>
      <c r="D257" s="34">
        <f>$G$3*H257</f>
        <v>5.3010614999999994</v>
      </c>
      <c r="F257" t="str" cm="1">
        <f t="array" ref="F257">INDEX(_xlfn.TEXTSPLIT($J257,"/"),4)</f>
        <v>NE-Chiller-CHWPumpCtrl-Full-Msr</v>
      </c>
      <c r="G257">
        <f>$P257</f>
        <v>7.6109999999999997E-3</v>
      </c>
      <c r="H257">
        <f>$G$4*G257</f>
        <v>7.5729449999999998</v>
      </c>
      <c r="J257" t="s">
        <v>402</v>
      </c>
      <c r="K257" t="s">
        <v>21</v>
      </c>
      <c r="M257">
        <v>1458.2</v>
      </c>
      <c r="N257">
        <v>510.78</v>
      </c>
      <c r="P257">
        <v>7.6109999999999997E-3</v>
      </c>
      <c r="Q257">
        <v>0</v>
      </c>
      <c r="R257">
        <v>27663.69</v>
      </c>
      <c r="S257">
        <v>12134.67</v>
      </c>
      <c r="T257">
        <v>0</v>
      </c>
      <c r="U257">
        <v>29466.65</v>
      </c>
      <c r="V257">
        <v>0</v>
      </c>
      <c r="W257">
        <v>60611.69</v>
      </c>
      <c r="X257">
        <v>5599.43</v>
      </c>
      <c r="Y257">
        <v>5875.17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5164.41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4299.92</v>
      </c>
      <c r="AQ257">
        <v>0</v>
      </c>
      <c r="AR257">
        <v>0</v>
      </c>
      <c r="AS257">
        <v>104098401.569039</v>
      </c>
    </row>
    <row r="258" spans="2:45" ht="15.75" hidden="1" thickBot="1" x14ac:dyDescent="0.3">
      <c r="B258" s="15" t="str" cm="1">
        <f t="array" ref="B258">INDEX(_xlfn.TEXTSPLIT($J258,"/"),3)</f>
        <v>OfS&amp;0&amp;cPVVE&amp;New&amp;Chiller__PumpCtrl</v>
      </c>
      <c r="C258" s="33" t="str" cm="1">
        <f t="array" ref="C258">INDEX(_xlfn.TEXTSPLIT($J258,"/"),2)</f>
        <v>CZ12</v>
      </c>
      <c r="D258" s="34">
        <f>$G$3*H258</f>
        <v>5.0893254999999993</v>
      </c>
      <c r="F258" t="str" cm="1">
        <f t="array" ref="F258">INDEX(_xlfn.TEXTSPLIT($J258,"/"),4)</f>
        <v>NE-Chiller-CHWPumpCtrl-Full-Msr</v>
      </c>
      <c r="G258">
        <f>$P258</f>
        <v>7.3070000000000001E-3</v>
      </c>
      <c r="H258">
        <f>$G$4*G258</f>
        <v>7.2704649999999997</v>
      </c>
      <c r="J258" t="s">
        <v>386</v>
      </c>
      <c r="K258" t="s">
        <v>22</v>
      </c>
      <c r="M258">
        <v>1400.02</v>
      </c>
      <c r="N258">
        <v>490.41</v>
      </c>
      <c r="P258">
        <v>7.3070000000000001E-3</v>
      </c>
      <c r="Q258">
        <v>0</v>
      </c>
      <c r="R258">
        <v>22517.74</v>
      </c>
      <c r="S258">
        <v>12134.67</v>
      </c>
      <c r="T258">
        <v>0</v>
      </c>
      <c r="U258">
        <v>29466.65</v>
      </c>
      <c r="V258">
        <v>0</v>
      </c>
      <c r="W258">
        <v>56567.55</v>
      </c>
      <c r="X258">
        <v>4835.6000000000004</v>
      </c>
      <c r="Y258">
        <v>5001.08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5543.18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4403.6000000000004</v>
      </c>
      <c r="AQ258">
        <v>0</v>
      </c>
      <c r="AR258">
        <v>0</v>
      </c>
      <c r="AS258">
        <v>91104381.958487198</v>
      </c>
    </row>
    <row r="259" spans="2:45" ht="15.75" hidden="1" thickBot="1" x14ac:dyDescent="0.3">
      <c r="B259" s="15" t="str" cm="1">
        <f t="array" ref="B259">INDEX(_xlfn.TEXTSPLIT($J259,"/"),3)</f>
        <v>OfS&amp;0&amp;cPVVE&amp;New&amp;Chiller__PumpCtrl</v>
      </c>
      <c r="C259" s="33" t="str" cm="1">
        <f t="array" ref="C259">INDEX(_xlfn.TEXTSPLIT($J259,"/"),2)</f>
        <v>CZ13</v>
      </c>
      <c r="D259" s="34">
        <f>$G$3*H259</f>
        <v>5.3964819999999998</v>
      </c>
      <c r="F259" t="str" cm="1">
        <f t="array" ref="F259">INDEX(_xlfn.TEXTSPLIT($J259,"/"),4)</f>
        <v>NE-Chiller-CHWPumpCtrl-Full-Msr</v>
      </c>
      <c r="G259">
        <f>$P259</f>
        <v>7.7479999999999997E-3</v>
      </c>
      <c r="H259">
        <f>$G$4*G259</f>
        <v>7.7092599999999996</v>
      </c>
      <c r="J259" t="s">
        <v>368</v>
      </c>
      <c r="K259" t="s">
        <v>23</v>
      </c>
      <c r="M259">
        <v>1484.5</v>
      </c>
      <c r="N259">
        <v>520</v>
      </c>
      <c r="P259">
        <v>7.7479999999999997E-3</v>
      </c>
      <c r="Q259">
        <v>0</v>
      </c>
      <c r="R259">
        <v>31306.78</v>
      </c>
      <c r="S259">
        <v>12134.67</v>
      </c>
      <c r="T259">
        <v>0</v>
      </c>
      <c r="U259">
        <v>29466.65</v>
      </c>
      <c r="V259">
        <v>0</v>
      </c>
      <c r="W259">
        <v>60151.199999999997</v>
      </c>
      <c r="X259">
        <v>5986.14</v>
      </c>
      <c r="Y259">
        <v>6422.37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4149.17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4192.59</v>
      </c>
      <c r="AQ259">
        <v>0</v>
      </c>
      <c r="AR259">
        <v>0</v>
      </c>
      <c r="AS259">
        <v>105743871.94374301</v>
      </c>
    </row>
    <row r="260" spans="2:45" ht="15.75" hidden="1" thickBot="1" x14ac:dyDescent="0.3">
      <c r="B260" s="15" t="str" cm="1">
        <f t="array" ref="B260">INDEX(_xlfn.TEXTSPLIT($J260,"/"),3)</f>
        <v>OfS&amp;0&amp;cPVVE&amp;New&amp;Chiller__PumpCtrl</v>
      </c>
      <c r="C260" s="33" t="str" cm="1">
        <f t="array" ref="C260">INDEX(_xlfn.TEXTSPLIT($J260,"/"),2)</f>
        <v>CZ14</v>
      </c>
      <c r="D260" s="34">
        <f>$G$3*H260</f>
        <v>5.5887159999999998</v>
      </c>
      <c r="F260" t="str" cm="1">
        <f t="array" ref="F260">INDEX(_xlfn.TEXTSPLIT($J260,"/"),4)</f>
        <v>NE-Chiller-CHWPumpCtrl-Full-Msr</v>
      </c>
      <c r="G260">
        <f>$P260</f>
        <v>8.0239999999999999E-3</v>
      </c>
      <c r="H260">
        <f>$G$4*G260</f>
        <v>7.9838800000000001</v>
      </c>
      <c r="J260" t="s">
        <v>354</v>
      </c>
      <c r="K260" t="s">
        <v>24</v>
      </c>
      <c r="M260">
        <v>1537.43</v>
      </c>
      <c r="N260">
        <v>538.54</v>
      </c>
      <c r="P260">
        <v>8.0239999999999999E-3</v>
      </c>
      <c r="Q260">
        <v>0</v>
      </c>
      <c r="R260">
        <v>37932.18</v>
      </c>
      <c r="S260">
        <v>12134.67</v>
      </c>
      <c r="T260">
        <v>0</v>
      </c>
      <c r="U260">
        <v>29466.65</v>
      </c>
      <c r="V260">
        <v>0</v>
      </c>
      <c r="W260">
        <v>67612.63</v>
      </c>
      <c r="X260">
        <v>7195</v>
      </c>
      <c r="Y260">
        <v>7552.7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2025.77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4007.9</v>
      </c>
      <c r="AQ260">
        <v>0</v>
      </c>
      <c r="AR260">
        <v>0</v>
      </c>
      <c r="AS260">
        <v>112459958.26387</v>
      </c>
    </row>
    <row r="261" spans="2:45" ht="15.75" hidden="1" thickBot="1" x14ac:dyDescent="0.3">
      <c r="B261" s="15" t="str" cm="1">
        <f t="array" ref="B261">INDEX(_xlfn.TEXTSPLIT($J261,"/"),3)</f>
        <v>OfS&amp;0&amp;cPVVE&amp;New&amp;Chiller__PumpCtrl</v>
      </c>
      <c r="C261" s="33" t="str" cm="1">
        <f t="array" ref="C261">INDEX(_xlfn.TEXTSPLIT($J261,"/"),2)</f>
        <v>CZ15</v>
      </c>
      <c r="D261" s="34">
        <f>$G$3*H261</f>
        <v>5.7510005000000008</v>
      </c>
      <c r="F261" t="str" cm="1">
        <f t="array" ref="F261">INDEX(_xlfn.TEXTSPLIT($J261,"/"),4)</f>
        <v>NE-Chiller-CHWPumpCtrl-Full-Msr</v>
      </c>
      <c r="G261">
        <f>$P261</f>
        <v>8.2570000000000005E-3</v>
      </c>
      <c r="H261">
        <f>$G$4*G261</f>
        <v>8.2157150000000012</v>
      </c>
      <c r="J261" t="s">
        <v>338</v>
      </c>
      <c r="K261" t="s">
        <v>25</v>
      </c>
      <c r="M261">
        <v>1582.03</v>
      </c>
      <c r="N261">
        <v>554.16</v>
      </c>
      <c r="P261">
        <v>8.2570000000000005E-3</v>
      </c>
      <c r="Q261">
        <v>0</v>
      </c>
      <c r="R261">
        <v>52956.92</v>
      </c>
      <c r="S261">
        <v>12134.67</v>
      </c>
      <c r="T261">
        <v>0</v>
      </c>
      <c r="U261">
        <v>29466.65</v>
      </c>
      <c r="V261">
        <v>0</v>
      </c>
      <c r="W261">
        <v>64331.92</v>
      </c>
      <c r="X261">
        <v>8442.65</v>
      </c>
      <c r="Y261">
        <v>9375.57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281.20999999999998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3625.94</v>
      </c>
      <c r="AQ261">
        <v>0</v>
      </c>
      <c r="AR261">
        <v>0</v>
      </c>
      <c r="AS261">
        <v>110520113.167178</v>
      </c>
    </row>
    <row r="262" spans="2:45" ht="15.75" hidden="1" thickBot="1" x14ac:dyDescent="0.3">
      <c r="B262" s="15" t="str" cm="1">
        <f t="array" ref="B262">INDEX(_xlfn.TEXTSPLIT($J262,"/"),3)</f>
        <v>OfS&amp;0&amp;cPVVE&amp;New&amp;Chiller__PumpCtrl</v>
      </c>
      <c r="C262" s="33" t="str" cm="1">
        <f t="array" ref="C262">INDEX(_xlfn.TEXTSPLIT($J262,"/"),2)</f>
        <v>CZ16</v>
      </c>
      <c r="D262" s="34">
        <f>$G$3*H262</f>
        <v>5.0677339999999997</v>
      </c>
      <c r="F262" t="str" cm="1">
        <f t="array" ref="F262">INDEX(_xlfn.TEXTSPLIT($J262,"/"),4)</f>
        <v>NE-Chiller-CHWPumpCtrl-Full-Msr</v>
      </c>
      <c r="G262">
        <f>$P262</f>
        <v>7.2760000000000003E-3</v>
      </c>
      <c r="H262">
        <f>$G$4*G262</f>
        <v>7.2396200000000004</v>
      </c>
      <c r="J262" t="s">
        <v>321</v>
      </c>
      <c r="K262" t="s">
        <v>26</v>
      </c>
      <c r="M262">
        <v>1394.09</v>
      </c>
      <c r="N262">
        <v>488.33</v>
      </c>
      <c r="P262">
        <v>7.2760000000000003E-3</v>
      </c>
      <c r="Q262">
        <v>0</v>
      </c>
      <c r="R262">
        <v>22357.07</v>
      </c>
      <c r="S262">
        <v>12134.67</v>
      </c>
      <c r="T262">
        <v>0</v>
      </c>
      <c r="U262">
        <v>29466.65</v>
      </c>
      <c r="V262">
        <v>0</v>
      </c>
      <c r="W262">
        <v>69147.899999999994</v>
      </c>
      <c r="X262">
        <v>5562.3</v>
      </c>
      <c r="Y262">
        <v>5097.45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9275.7900000000009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4620.5200000000004</v>
      </c>
      <c r="AQ262">
        <v>0</v>
      </c>
      <c r="AR262">
        <v>0</v>
      </c>
      <c r="AS262">
        <v>88952786.016296506</v>
      </c>
    </row>
    <row r="263" spans="2:45" ht="15.75" hidden="1" thickBot="1" x14ac:dyDescent="0.3">
      <c r="B263" s="15" t="str" cm="1">
        <f t="array" ref="B263">INDEX(_xlfn.TEXTSPLIT($J263,"/"),3)</f>
        <v>Rt3&amp;0&amp;cPVVE&amp;Ex&amp;Chiller__PumpCtrl</v>
      </c>
      <c r="C263" s="33" t="str" cm="1">
        <f t="array" ref="C263">INDEX(_xlfn.TEXTSPLIT($J263,"/"),2)</f>
        <v>CZ01</v>
      </c>
      <c r="D263" s="34">
        <f>$G$3*H263</f>
        <v>64.004867499999989</v>
      </c>
      <c r="F263" t="str" cm="1">
        <f t="array" ref="F263">INDEX(_xlfn.TEXTSPLIT($J263,"/"),4)</f>
        <v>NE-Chiller-CHWPumpCtrl-Full-Msr</v>
      </c>
      <c r="G263">
        <f>$P263</f>
        <v>9.1895000000000004E-2</v>
      </c>
      <c r="H263">
        <f>$G$4*G263</f>
        <v>91.435524999999998</v>
      </c>
      <c r="J263" t="s">
        <v>302</v>
      </c>
      <c r="K263" t="s">
        <v>11</v>
      </c>
      <c r="M263">
        <v>17607.39</v>
      </c>
      <c r="N263">
        <v>6167.59</v>
      </c>
      <c r="P263">
        <v>9.1895000000000004E-2</v>
      </c>
      <c r="Q263">
        <v>0</v>
      </c>
      <c r="R263">
        <v>48308.84</v>
      </c>
      <c r="S263">
        <v>774617.57</v>
      </c>
      <c r="T263">
        <v>0</v>
      </c>
      <c r="U263">
        <v>436518</v>
      </c>
      <c r="V263">
        <v>0</v>
      </c>
      <c r="W263">
        <v>118665.49</v>
      </c>
      <c r="X263">
        <v>20015.34</v>
      </c>
      <c r="Y263">
        <v>18746.11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253108.53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192561.22</v>
      </c>
      <c r="AQ263">
        <v>0</v>
      </c>
      <c r="AR263">
        <v>0</v>
      </c>
      <c r="AS263">
        <v>1338904359.0875101</v>
      </c>
    </row>
    <row r="264" spans="2:45" ht="15.75" hidden="1" thickBot="1" x14ac:dyDescent="0.3">
      <c r="B264" s="15" t="str" cm="1">
        <f t="array" ref="B264">INDEX(_xlfn.TEXTSPLIT($J264,"/"),3)</f>
        <v>Rt3&amp;0&amp;cPVVE&amp;Ex&amp;Chiller__PumpCtrl</v>
      </c>
      <c r="C264" s="33" t="str" cm="1">
        <f t="array" ref="C264">INDEX(_xlfn.TEXTSPLIT($J264,"/"),2)</f>
        <v>CZ02</v>
      </c>
      <c r="D264" s="34">
        <f>$G$3*H264</f>
        <v>85.119961500000002</v>
      </c>
      <c r="F264" t="str" cm="1">
        <f t="array" ref="F264">INDEX(_xlfn.TEXTSPLIT($J264,"/"),4)</f>
        <v>NE-Chiller-CHWPumpCtrl-Full-Msr</v>
      </c>
      <c r="G264">
        <f>$P264</f>
        <v>0.122211</v>
      </c>
      <c r="H264">
        <f>$G$4*G264</f>
        <v>121.59994500000001</v>
      </c>
      <c r="J264" t="s">
        <v>288</v>
      </c>
      <c r="K264" t="s">
        <v>12</v>
      </c>
      <c r="M264">
        <v>23415.98</v>
      </c>
      <c r="N264">
        <v>8202.25</v>
      </c>
      <c r="P264">
        <v>0.122211</v>
      </c>
      <c r="Q264">
        <v>0</v>
      </c>
      <c r="R264">
        <v>535135.54</v>
      </c>
      <c r="S264">
        <v>774617.57</v>
      </c>
      <c r="T264">
        <v>0</v>
      </c>
      <c r="U264">
        <v>436518</v>
      </c>
      <c r="V264">
        <v>0</v>
      </c>
      <c r="W264">
        <v>212779.05</v>
      </c>
      <c r="X264">
        <v>96120.89</v>
      </c>
      <c r="Y264">
        <v>92257.47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449106.2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176952.53</v>
      </c>
      <c r="AQ264">
        <v>0</v>
      </c>
      <c r="AR264">
        <v>0</v>
      </c>
      <c r="AS264">
        <v>2402416542.4686999</v>
      </c>
    </row>
    <row r="265" spans="2:45" ht="15.75" hidden="1" thickBot="1" x14ac:dyDescent="0.3">
      <c r="B265" s="15" t="str" cm="1">
        <f t="array" ref="B265">INDEX(_xlfn.TEXTSPLIT($J265,"/"),3)</f>
        <v>Rt3&amp;0&amp;cPVVE&amp;Ex&amp;Chiller__PumpCtrl</v>
      </c>
      <c r="C265" s="33" t="str" cm="1">
        <f t="array" ref="C265">INDEX(_xlfn.TEXTSPLIT($J265,"/"),2)</f>
        <v>CZ03</v>
      </c>
      <c r="D265" s="34">
        <f>$G$3*H265</f>
        <v>80.502166500000001</v>
      </c>
      <c r="F265" t="str" cm="1">
        <f t="array" ref="F265">INDEX(_xlfn.TEXTSPLIT($J265,"/"),4)</f>
        <v>NE-Chiller-CHWPumpCtrl-Full-Msr</v>
      </c>
      <c r="G265">
        <f>$P265</f>
        <v>0.115581</v>
      </c>
      <c r="H265">
        <f>$G$4*G265</f>
        <v>115.003095</v>
      </c>
      <c r="J265" t="s">
        <v>272</v>
      </c>
      <c r="K265" t="s">
        <v>13</v>
      </c>
      <c r="M265">
        <v>22145.57</v>
      </c>
      <c r="N265">
        <v>7757.24</v>
      </c>
      <c r="P265">
        <v>0.115581</v>
      </c>
      <c r="Q265">
        <v>0</v>
      </c>
      <c r="R265">
        <v>340004.61</v>
      </c>
      <c r="S265">
        <v>774617.57</v>
      </c>
      <c r="T265">
        <v>0</v>
      </c>
      <c r="U265">
        <v>436518</v>
      </c>
      <c r="V265">
        <v>0</v>
      </c>
      <c r="W265">
        <v>155280.14000000001</v>
      </c>
      <c r="X265">
        <v>83636.94</v>
      </c>
      <c r="Y265">
        <v>84366.04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221022.68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176272.32</v>
      </c>
      <c r="AQ265">
        <v>0</v>
      </c>
      <c r="AR265">
        <v>0</v>
      </c>
      <c r="AS265">
        <v>2133902331.3675499</v>
      </c>
    </row>
    <row r="266" spans="2:45" ht="15.75" hidden="1" thickBot="1" x14ac:dyDescent="0.3">
      <c r="B266" s="15" t="str" cm="1">
        <f t="array" ref="B266">INDEX(_xlfn.TEXTSPLIT($J266,"/"),3)</f>
        <v>Rt3&amp;0&amp;cPVVE&amp;Ex&amp;Chiller__PumpCtrl</v>
      </c>
      <c r="C266" s="33" t="str" cm="1">
        <f t="array" ref="C266">INDEX(_xlfn.TEXTSPLIT($J266,"/"),2)</f>
        <v>CZ04</v>
      </c>
      <c r="D266" s="34">
        <f>$G$3*H266</f>
        <v>87.194834999999998</v>
      </c>
      <c r="F266" t="str" cm="1">
        <f t="array" ref="F266">INDEX(_xlfn.TEXTSPLIT($J266,"/"),4)</f>
        <v>NE-Chiller-CHWPumpCtrl-Full-Msr</v>
      </c>
      <c r="G266">
        <f>$P266</f>
        <v>0.12519</v>
      </c>
      <c r="H266">
        <f>$G$4*G266</f>
        <v>124.56404999999999</v>
      </c>
      <c r="J266" t="s">
        <v>256</v>
      </c>
      <c r="K266" t="s">
        <v>14</v>
      </c>
      <c r="M266">
        <v>23986.720000000001</v>
      </c>
      <c r="N266">
        <v>8402.17</v>
      </c>
      <c r="P266">
        <v>0.12519</v>
      </c>
      <c r="Q266">
        <v>0</v>
      </c>
      <c r="R266">
        <v>602142.4</v>
      </c>
      <c r="S266">
        <v>774617.57</v>
      </c>
      <c r="T266">
        <v>0</v>
      </c>
      <c r="U266">
        <v>436518</v>
      </c>
      <c r="V266">
        <v>0</v>
      </c>
      <c r="W266">
        <v>227846.94</v>
      </c>
      <c r="X266">
        <v>105510.93</v>
      </c>
      <c r="Y266">
        <v>106955.38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365805.1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170226.89</v>
      </c>
      <c r="AQ266">
        <v>0</v>
      </c>
      <c r="AR266">
        <v>0</v>
      </c>
      <c r="AS266">
        <v>2485631563.3695202</v>
      </c>
    </row>
    <row r="267" spans="2:45" ht="15.75" hidden="1" thickBot="1" x14ac:dyDescent="0.3">
      <c r="B267" s="15" t="str" cm="1">
        <f t="array" ref="B267">INDEX(_xlfn.TEXTSPLIT($J267,"/"),3)</f>
        <v>Rt3&amp;0&amp;cPVVE&amp;Ex&amp;Chiller__PumpCtrl</v>
      </c>
      <c r="C267" s="33" t="str" cm="1">
        <f t="array" ref="C267">INDEX(_xlfn.TEXTSPLIT($J267,"/"),2)</f>
        <v>CZ05</v>
      </c>
      <c r="D267" s="34">
        <f>$G$3*H267</f>
        <v>76.580871499999986</v>
      </c>
      <c r="F267" t="str" cm="1">
        <f t="array" ref="F267">INDEX(_xlfn.TEXTSPLIT($J267,"/"),4)</f>
        <v>NE-Chiller-CHWPumpCtrl-Full-Msr</v>
      </c>
      <c r="G267">
        <f>$P267</f>
        <v>0.10995099999999999</v>
      </c>
      <c r="H267">
        <f>$G$4*G267</f>
        <v>109.40124499999999</v>
      </c>
      <c r="J267" t="s">
        <v>239</v>
      </c>
      <c r="K267" t="s">
        <v>15</v>
      </c>
      <c r="M267">
        <v>21066.880000000001</v>
      </c>
      <c r="N267">
        <v>7379.39</v>
      </c>
      <c r="P267">
        <v>0.10995099999999999</v>
      </c>
      <c r="Q267">
        <v>0</v>
      </c>
      <c r="R267">
        <v>408362.21</v>
      </c>
      <c r="S267">
        <v>774617.57</v>
      </c>
      <c r="T267">
        <v>0</v>
      </c>
      <c r="U267">
        <v>436518</v>
      </c>
      <c r="V267">
        <v>0</v>
      </c>
      <c r="W267">
        <v>178653.7</v>
      </c>
      <c r="X267">
        <v>88886.94</v>
      </c>
      <c r="Y267">
        <v>89666.240000000005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252665.76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176296.6</v>
      </c>
      <c r="AQ267">
        <v>0</v>
      </c>
      <c r="AR267">
        <v>0</v>
      </c>
      <c r="AS267">
        <v>1721019157.40026</v>
      </c>
    </row>
    <row r="268" spans="2:45" ht="15.75" hidden="1" thickBot="1" x14ac:dyDescent="0.3">
      <c r="B268" s="15" t="str" cm="1">
        <f t="array" ref="B268">INDEX(_xlfn.TEXTSPLIT($J268,"/"),3)</f>
        <v>Rt3&amp;0&amp;cPVVE&amp;Ex&amp;Chiller__PumpCtrl</v>
      </c>
      <c r="C268" s="33" t="str" cm="1">
        <f t="array" ref="C268">INDEX(_xlfn.TEXTSPLIT($J268,"/"),2)</f>
        <v>CZ06</v>
      </c>
      <c r="D268" s="34">
        <f>$G$3*H268</f>
        <v>81.833874499999993</v>
      </c>
      <c r="F268" t="str" cm="1">
        <f t="array" ref="F268">INDEX(_xlfn.TEXTSPLIT($J268,"/"),4)</f>
        <v>NE-Chiller-CHWPumpCtrl-Full-Msr</v>
      </c>
      <c r="G268">
        <f>$P268</f>
        <v>0.117493</v>
      </c>
      <c r="H268">
        <f>$G$4*G268</f>
        <v>116.905535</v>
      </c>
      <c r="J268" t="s">
        <v>223</v>
      </c>
      <c r="K268" t="s">
        <v>16</v>
      </c>
      <c r="M268">
        <v>22512</v>
      </c>
      <c r="N268">
        <v>7885.59</v>
      </c>
      <c r="P268">
        <v>0.117493</v>
      </c>
      <c r="Q268">
        <v>0</v>
      </c>
      <c r="R268">
        <v>730108.13</v>
      </c>
      <c r="S268">
        <v>774617.57</v>
      </c>
      <c r="T268">
        <v>0</v>
      </c>
      <c r="U268">
        <v>436518</v>
      </c>
      <c r="V268">
        <v>0</v>
      </c>
      <c r="W268">
        <v>227618.63</v>
      </c>
      <c r="X268">
        <v>120502.11</v>
      </c>
      <c r="Y268">
        <v>125045.98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187208.49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162396.91</v>
      </c>
      <c r="AQ268">
        <v>0</v>
      </c>
      <c r="AR268">
        <v>0</v>
      </c>
      <c r="AS268">
        <v>1879081168.2969601</v>
      </c>
    </row>
    <row r="269" spans="2:45" ht="15.75" hidden="1" thickBot="1" x14ac:dyDescent="0.3">
      <c r="B269" s="15" t="str" cm="1">
        <f t="array" ref="B269">INDEX(_xlfn.TEXTSPLIT($J269,"/"),3)</f>
        <v>Rt3&amp;0&amp;cPVVE&amp;Ex&amp;Chiller__PumpCtrl</v>
      </c>
      <c r="C269" s="33" t="str" cm="1">
        <f t="array" ref="C269">INDEX(_xlfn.TEXTSPLIT($J269,"/"),2)</f>
        <v>CZ07</v>
      </c>
      <c r="D269" s="34">
        <f>$G$3*H269</f>
        <v>85.503036499999993</v>
      </c>
      <c r="F269" t="str" cm="1">
        <f t="array" ref="F269">INDEX(_xlfn.TEXTSPLIT($J269,"/"),4)</f>
        <v>NE-Chiller-CHWPumpCtrl-Full-Msr</v>
      </c>
      <c r="G269">
        <f>$P269</f>
        <v>0.122761</v>
      </c>
      <c r="H269">
        <f>$G$4*G269</f>
        <v>122.147195</v>
      </c>
      <c r="J269" t="s">
        <v>204</v>
      </c>
      <c r="K269" t="s">
        <v>17</v>
      </c>
      <c r="M269">
        <v>23521.25</v>
      </c>
      <c r="N269">
        <v>8239.1200000000008</v>
      </c>
      <c r="P269">
        <v>0.122761</v>
      </c>
      <c r="Q269">
        <v>0</v>
      </c>
      <c r="R269">
        <v>848652.35</v>
      </c>
      <c r="S269">
        <v>774617.57</v>
      </c>
      <c r="T269">
        <v>0</v>
      </c>
      <c r="U269">
        <v>436518</v>
      </c>
      <c r="V269">
        <v>0</v>
      </c>
      <c r="W269">
        <v>277105.5</v>
      </c>
      <c r="X269">
        <v>131743.54</v>
      </c>
      <c r="Y269">
        <v>135418.57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316984.67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160360.87</v>
      </c>
      <c r="AQ269">
        <v>0</v>
      </c>
      <c r="AR269">
        <v>0</v>
      </c>
      <c r="AS269">
        <v>2080774574.10794</v>
      </c>
    </row>
    <row r="270" spans="2:45" ht="15.75" hidden="1" thickBot="1" x14ac:dyDescent="0.3">
      <c r="B270" s="15" t="str" cm="1">
        <f t="array" ref="B270">INDEX(_xlfn.TEXTSPLIT($J270,"/"),3)</f>
        <v>Rt3&amp;0&amp;cPVVE&amp;Ex&amp;Chiller__PumpCtrl</v>
      </c>
      <c r="C270" s="33" t="str" cm="1">
        <f t="array" ref="C270">INDEX(_xlfn.TEXTSPLIT($J270,"/"),2)</f>
        <v>CZ08</v>
      </c>
      <c r="D270" s="34">
        <f>$G$3*H270</f>
        <v>89.48423050000001</v>
      </c>
      <c r="F270" t="str" cm="1">
        <f t="array" ref="F270">INDEX(_xlfn.TEXTSPLIT($J270,"/"),4)</f>
        <v>NE-Chiller-CHWPumpCtrl-Full-Msr</v>
      </c>
      <c r="G270">
        <f>$P270</f>
        <v>0.12847700000000001</v>
      </c>
      <c r="H270">
        <f>$G$4*G270</f>
        <v>127.83461500000001</v>
      </c>
      <c r="J270" t="s">
        <v>190</v>
      </c>
      <c r="K270" t="s">
        <v>18</v>
      </c>
      <c r="M270">
        <v>24616.61</v>
      </c>
      <c r="N270">
        <v>8622.81</v>
      </c>
      <c r="P270">
        <v>0.12847700000000001</v>
      </c>
      <c r="Q270">
        <v>0</v>
      </c>
      <c r="R270">
        <v>896638.43</v>
      </c>
      <c r="S270">
        <v>774617.57</v>
      </c>
      <c r="T270">
        <v>0</v>
      </c>
      <c r="U270">
        <v>436518</v>
      </c>
      <c r="V270">
        <v>0</v>
      </c>
      <c r="W270">
        <v>273756.88</v>
      </c>
      <c r="X270">
        <v>133795.10999999999</v>
      </c>
      <c r="Y270">
        <v>137796.23000000001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386693.48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160078.79</v>
      </c>
      <c r="AQ270">
        <v>0</v>
      </c>
      <c r="AR270">
        <v>0</v>
      </c>
      <c r="AS270">
        <v>1922744189.4756701</v>
      </c>
    </row>
    <row r="271" spans="2:45" ht="15.75" hidden="1" thickBot="1" x14ac:dyDescent="0.3">
      <c r="B271" s="15" t="str" cm="1">
        <f t="array" ref="B271">INDEX(_xlfn.TEXTSPLIT($J271,"/"),3)</f>
        <v>Rt3&amp;0&amp;cPVVE&amp;Ex&amp;Chiller__PumpCtrl</v>
      </c>
      <c r="C271" s="33" t="str" cm="1">
        <f t="array" ref="C271">INDEX(_xlfn.TEXTSPLIT($J271,"/"),2)</f>
        <v>CZ09</v>
      </c>
      <c r="D271" s="34">
        <f>$G$3*H271</f>
        <v>93.479354499999985</v>
      </c>
      <c r="F271" t="str" cm="1">
        <f t="array" ref="F271">INDEX(_xlfn.TEXTSPLIT($J271,"/"),4)</f>
        <v>NE-Chiller-CHWPumpCtrl-Full-Msr</v>
      </c>
      <c r="G271">
        <f>$P271</f>
        <v>0.134213</v>
      </c>
      <c r="H271">
        <f>$G$4*G271</f>
        <v>133.541935</v>
      </c>
      <c r="J271" t="s">
        <v>172</v>
      </c>
      <c r="K271" t="s">
        <v>19</v>
      </c>
      <c r="M271">
        <v>25715.64</v>
      </c>
      <c r="N271">
        <v>9007.7800000000007</v>
      </c>
      <c r="P271">
        <v>0.134213</v>
      </c>
      <c r="Q271">
        <v>0</v>
      </c>
      <c r="R271">
        <v>987148.63</v>
      </c>
      <c r="S271">
        <v>774617.57</v>
      </c>
      <c r="T271">
        <v>0</v>
      </c>
      <c r="U271">
        <v>436518</v>
      </c>
      <c r="V271">
        <v>0</v>
      </c>
      <c r="W271">
        <v>290045.14</v>
      </c>
      <c r="X271">
        <v>142484.5</v>
      </c>
      <c r="Y271">
        <v>146746.32999999999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449659.05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157890.81</v>
      </c>
      <c r="AQ271">
        <v>0</v>
      </c>
      <c r="AR271">
        <v>0</v>
      </c>
      <c r="AS271">
        <v>1981791158.2892799</v>
      </c>
    </row>
    <row r="272" spans="2:45" ht="15.75" hidden="1" thickBot="1" x14ac:dyDescent="0.3">
      <c r="B272" s="15" t="str" cm="1">
        <f t="array" ref="B272">INDEX(_xlfn.TEXTSPLIT($J272,"/"),3)</f>
        <v>Rt3&amp;0&amp;cPVVE&amp;Ex&amp;Chiller__PumpCtrl</v>
      </c>
      <c r="C272" s="33" t="str" cm="1">
        <f t="array" ref="C272">INDEX(_xlfn.TEXTSPLIT($J272,"/"),2)</f>
        <v>CZ10</v>
      </c>
      <c r="D272" s="34">
        <f>$G$3*H272</f>
        <v>100.6407675</v>
      </c>
      <c r="F272" t="str" cm="1">
        <f t="array" ref="F272">INDEX(_xlfn.TEXTSPLIT($J272,"/"),4)</f>
        <v>NE-Chiller-CHWPumpCtrl-Full-Msr</v>
      </c>
      <c r="G272">
        <f>$P272</f>
        <v>0.14449500000000001</v>
      </c>
      <c r="H272">
        <f>$G$4*G272</f>
        <v>143.772525</v>
      </c>
      <c r="J272" t="s">
        <v>160</v>
      </c>
      <c r="K272" t="s">
        <v>20</v>
      </c>
      <c r="M272">
        <v>27685.68</v>
      </c>
      <c r="N272">
        <v>9697.85</v>
      </c>
      <c r="P272">
        <v>0.14449500000000001</v>
      </c>
      <c r="Q272">
        <v>0</v>
      </c>
      <c r="R272">
        <v>964300.21</v>
      </c>
      <c r="S272">
        <v>774617.57</v>
      </c>
      <c r="T272">
        <v>0</v>
      </c>
      <c r="U272">
        <v>436518</v>
      </c>
      <c r="V272">
        <v>0</v>
      </c>
      <c r="W272">
        <v>321661.37</v>
      </c>
      <c r="X272">
        <v>149482.10999999999</v>
      </c>
      <c r="Y272">
        <v>150205.42000000001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677930.11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156627.68</v>
      </c>
      <c r="AQ272">
        <v>0</v>
      </c>
      <c r="AR272">
        <v>0</v>
      </c>
      <c r="AS272">
        <v>2772497368.2497101</v>
      </c>
    </row>
    <row r="273" spans="2:45" ht="15.75" hidden="1" thickBot="1" x14ac:dyDescent="0.3">
      <c r="B273" s="15" t="str" cm="1">
        <f t="array" ref="B273">INDEX(_xlfn.TEXTSPLIT($J273,"/"),3)</f>
        <v>Rt3&amp;0&amp;cPVVE&amp;Ex&amp;Chiller__PumpCtrl</v>
      </c>
      <c r="C273" s="33" t="str" cm="1">
        <f t="array" ref="C273">INDEX(_xlfn.TEXTSPLIT($J273,"/"),2)</f>
        <v>CZ11</v>
      </c>
      <c r="D273" s="34">
        <f>$G$3*H273</f>
        <v>95.05205149999999</v>
      </c>
      <c r="F273" t="str" cm="1">
        <f t="array" ref="F273">INDEX(_xlfn.TEXTSPLIT($J273,"/"),4)</f>
        <v>NE-Chiller-CHWPumpCtrl-Full-Msr</v>
      </c>
      <c r="G273">
        <f>$P273</f>
        <v>0.13647100000000001</v>
      </c>
      <c r="H273">
        <f>$G$4*G273</f>
        <v>135.788645</v>
      </c>
      <c r="J273" t="s">
        <v>144</v>
      </c>
      <c r="K273" t="s">
        <v>21</v>
      </c>
      <c r="M273">
        <v>26148.13</v>
      </c>
      <c r="N273">
        <v>9159.27</v>
      </c>
      <c r="P273">
        <v>0.13647100000000001</v>
      </c>
      <c r="Q273">
        <v>0</v>
      </c>
      <c r="R273">
        <v>837398.57</v>
      </c>
      <c r="S273">
        <v>774617.57</v>
      </c>
      <c r="T273">
        <v>0</v>
      </c>
      <c r="U273">
        <v>436518</v>
      </c>
      <c r="V273">
        <v>0</v>
      </c>
      <c r="W273">
        <v>300448.65000000002</v>
      </c>
      <c r="X273">
        <v>126002.23</v>
      </c>
      <c r="Y273">
        <v>122753.66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665628.11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160206.15</v>
      </c>
      <c r="AQ273">
        <v>0</v>
      </c>
      <c r="AR273">
        <v>0</v>
      </c>
      <c r="AS273">
        <v>2801085695.3541198</v>
      </c>
    </row>
    <row r="274" spans="2:45" ht="15.75" hidden="1" thickBot="1" x14ac:dyDescent="0.3">
      <c r="B274" s="15" t="str" cm="1">
        <f t="array" ref="B274">INDEX(_xlfn.TEXTSPLIT($J274,"/"),3)</f>
        <v>Rt3&amp;0&amp;cPVVE&amp;Ex&amp;Chiller__PumpCtrl</v>
      </c>
      <c r="C274" s="33" t="str" cm="1">
        <f t="array" ref="C274">INDEX(_xlfn.TEXTSPLIT($J274,"/"),2)</f>
        <v>CZ12</v>
      </c>
      <c r="D274" s="34">
        <f>$G$3*H274</f>
        <v>91.926855999999987</v>
      </c>
      <c r="F274" t="str" cm="1">
        <f t="array" ref="F274">INDEX(_xlfn.TEXTSPLIT($J274,"/"),4)</f>
        <v>NE-Chiller-CHWPumpCtrl-Full-Msr</v>
      </c>
      <c r="G274">
        <f>$P274</f>
        <v>0.13198399999999999</v>
      </c>
      <c r="H274">
        <f>$G$4*G274</f>
        <v>131.32407999999998</v>
      </c>
      <c r="J274" t="s">
        <v>128</v>
      </c>
      <c r="K274" t="s">
        <v>22</v>
      </c>
      <c r="M274">
        <v>25288.49</v>
      </c>
      <c r="N274">
        <v>8858.16</v>
      </c>
      <c r="P274">
        <v>0.13198399999999999</v>
      </c>
      <c r="Q274">
        <v>0</v>
      </c>
      <c r="R274">
        <v>814977.96</v>
      </c>
      <c r="S274">
        <v>774617.57</v>
      </c>
      <c r="T274">
        <v>0</v>
      </c>
      <c r="U274">
        <v>436518</v>
      </c>
      <c r="V274">
        <v>0</v>
      </c>
      <c r="W274">
        <v>279486.86</v>
      </c>
      <c r="X274">
        <v>119397.95</v>
      </c>
      <c r="Y274">
        <v>115549.93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580184.77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164668.16</v>
      </c>
      <c r="AQ274">
        <v>0</v>
      </c>
      <c r="AR274">
        <v>0</v>
      </c>
      <c r="AS274">
        <v>2746703335.57373</v>
      </c>
    </row>
    <row r="275" spans="2:45" ht="15.75" hidden="1" thickBot="1" x14ac:dyDescent="0.3">
      <c r="B275" s="15" t="str" cm="1">
        <f t="array" ref="B275">INDEX(_xlfn.TEXTSPLIT($J275,"/"),3)</f>
        <v>Rt3&amp;0&amp;cPVVE&amp;Ex&amp;Chiller__PumpCtrl</v>
      </c>
      <c r="C275" s="33" t="str" cm="1">
        <f t="array" ref="C275">INDEX(_xlfn.TEXTSPLIT($J275,"/"),2)</f>
        <v>CZ13</v>
      </c>
      <c r="D275" s="34">
        <f>$G$3*H275</f>
        <v>96.709024999999997</v>
      </c>
      <c r="F275" t="str" cm="1">
        <f t="array" ref="F275">INDEX(_xlfn.TEXTSPLIT($J275,"/"),4)</f>
        <v>NE-Chiller-CHWPumpCtrl-Full-Msr</v>
      </c>
      <c r="G275">
        <f>$P275</f>
        <v>0.13885</v>
      </c>
      <c r="H275">
        <f>$G$4*G275</f>
        <v>138.15575000000001</v>
      </c>
      <c r="J275" t="s">
        <v>111</v>
      </c>
      <c r="K275" t="s">
        <v>23</v>
      </c>
      <c r="M275">
        <v>26603.98</v>
      </c>
      <c r="N275">
        <v>9318.9500000000007</v>
      </c>
      <c r="P275">
        <v>0.13885</v>
      </c>
      <c r="Q275">
        <v>0</v>
      </c>
      <c r="R275">
        <v>937791.67</v>
      </c>
      <c r="S275">
        <v>774617.57</v>
      </c>
      <c r="T275">
        <v>0</v>
      </c>
      <c r="U275">
        <v>436518</v>
      </c>
      <c r="V275">
        <v>0</v>
      </c>
      <c r="W275">
        <v>310756.63</v>
      </c>
      <c r="X275">
        <v>132345.17000000001</v>
      </c>
      <c r="Y275">
        <v>130157.44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584798.74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155570.84</v>
      </c>
      <c r="AQ275">
        <v>0</v>
      </c>
      <c r="AR275">
        <v>0</v>
      </c>
      <c r="AS275">
        <v>2854528161.7276502</v>
      </c>
    </row>
    <row r="276" spans="2:45" ht="15.75" hidden="1" thickBot="1" x14ac:dyDescent="0.3">
      <c r="B276" s="15" t="str" cm="1">
        <f t="array" ref="B276">INDEX(_xlfn.TEXTSPLIT($J276,"/"),3)</f>
        <v>Rt3&amp;0&amp;cPVVE&amp;Ex&amp;Chiller__PumpCtrl</v>
      </c>
      <c r="C276" s="33" t="str" cm="1">
        <f t="array" ref="C276">INDEX(_xlfn.TEXTSPLIT($J276,"/"),2)</f>
        <v>CZ14</v>
      </c>
      <c r="D276" s="34">
        <f>$G$3*H276</f>
        <v>94.431470000000004</v>
      </c>
      <c r="F276" t="str" cm="1">
        <f t="array" ref="F276">INDEX(_xlfn.TEXTSPLIT($J276,"/"),4)</f>
        <v>NE-Chiller-CHWPumpCtrl-Full-Msr</v>
      </c>
      <c r="G276">
        <f>$P276</f>
        <v>0.13558000000000001</v>
      </c>
      <c r="H276">
        <f>$G$4*G276</f>
        <v>134.90210000000002</v>
      </c>
      <c r="J276" t="s">
        <v>93</v>
      </c>
      <c r="K276" t="s">
        <v>24</v>
      </c>
      <c r="M276">
        <v>25977.47</v>
      </c>
      <c r="N276">
        <v>9099.49</v>
      </c>
      <c r="P276">
        <v>0.13558000000000001</v>
      </c>
      <c r="Q276">
        <v>0</v>
      </c>
      <c r="R276">
        <v>915358.96</v>
      </c>
      <c r="S276">
        <v>774617.57</v>
      </c>
      <c r="T276">
        <v>0</v>
      </c>
      <c r="U276">
        <v>436518</v>
      </c>
      <c r="V276">
        <v>0</v>
      </c>
      <c r="W276">
        <v>357862.02</v>
      </c>
      <c r="X276">
        <v>137632.85999999999</v>
      </c>
      <c r="Y276">
        <v>135772.32999999999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640509.26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147592.87</v>
      </c>
      <c r="AQ276">
        <v>0</v>
      </c>
      <c r="AR276">
        <v>0</v>
      </c>
      <c r="AS276">
        <v>2767851166.4725299</v>
      </c>
    </row>
    <row r="277" spans="2:45" ht="15.75" hidden="1" thickBot="1" x14ac:dyDescent="0.3">
      <c r="B277" s="15" t="str" cm="1">
        <f t="array" ref="B277">INDEX(_xlfn.TEXTSPLIT($J277,"/"),3)</f>
        <v>Rt3&amp;0&amp;cPVVE&amp;Ex&amp;Chiller__PumpCtrl</v>
      </c>
      <c r="C277" s="33" t="str" cm="1">
        <f t="array" ref="C277">INDEX(_xlfn.TEXTSPLIT($J277,"/"),2)</f>
        <v>CZ15</v>
      </c>
      <c r="D277" s="34">
        <f>$G$3*H277</f>
        <v>99.528456999999989</v>
      </c>
      <c r="F277" t="str" cm="1">
        <f t="array" ref="F277">INDEX(_xlfn.TEXTSPLIT($J277,"/"),4)</f>
        <v>NE-Chiller-CHWPumpCtrl-Full-Msr</v>
      </c>
      <c r="G277">
        <f>$P277</f>
        <v>0.142898</v>
      </c>
      <c r="H277">
        <f>$G$4*G277</f>
        <v>142.18350999999998</v>
      </c>
      <c r="J277" t="s">
        <v>80</v>
      </c>
      <c r="K277" t="s">
        <v>25</v>
      </c>
      <c r="M277">
        <v>27379.55</v>
      </c>
      <c r="N277">
        <v>9590.6200000000008</v>
      </c>
      <c r="P277">
        <v>0.142898</v>
      </c>
      <c r="Q277">
        <v>0</v>
      </c>
      <c r="R277">
        <v>1380122.23</v>
      </c>
      <c r="S277">
        <v>774617.57</v>
      </c>
      <c r="T277">
        <v>0</v>
      </c>
      <c r="U277">
        <v>436518</v>
      </c>
      <c r="V277">
        <v>0</v>
      </c>
      <c r="W277">
        <v>391301.15</v>
      </c>
      <c r="X277">
        <v>167086.42000000001</v>
      </c>
      <c r="Y277">
        <v>170242.47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701091.3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131096.70000000001</v>
      </c>
      <c r="AQ277">
        <v>0</v>
      </c>
      <c r="AR277">
        <v>0</v>
      </c>
      <c r="AS277">
        <v>2884618993.0973101</v>
      </c>
    </row>
    <row r="278" spans="2:45" ht="15.75" hidden="1" thickBot="1" x14ac:dyDescent="0.3">
      <c r="B278" s="15" t="str" cm="1">
        <f t="array" ref="B278">INDEX(_xlfn.TEXTSPLIT($J278,"/"),3)</f>
        <v>Rt3&amp;0&amp;cPVVE&amp;Ex&amp;Chiller__PumpCtrl</v>
      </c>
      <c r="C278" s="33" t="str" cm="1">
        <f t="array" ref="C278">INDEX(_xlfn.TEXTSPLIT($J278,"/"),2)</f>
        <v>CZ16</v>
      </c>
      <c r="D278" s="34">
        <f>$G$3*H278</f>
        <v>81.946010999999984</v>
      </c>
      <c r="F278" t="str" cm="1">
        <f t="array" ref="F278">INDEX(_xlfn.TEXTSPLIT($J278,"/"),4)</f>
        <v>NE-Chiller-CHWPumpCtrl-Full-Msr</v>
      </c>
      <c r="G278">
        <f>$P278</f>
        <v>0.11765399999999999</v>
      </c>
      <c r="H278">
        <f>$G$4*G278</f>
        <v>117.06572999999999</v>
      </c>
      <c r="J278" t="s">
        <v>64</v>
      </c>
      <c r="K278" t="s">
        <v>26</v>
      </c>
      <c r="M278">
        <v>22542.75</v>
      </c>
      <c r="N278">
        <v>7896.37</v>
      </c>
      <c r="P278">
        <v>0.11765399999999999</v>
      </c>
      <c r="Q278">
        <v>0</v>
      </c>
      <c r="R278">
        <v>610630.74</v>
      </c>
      <c r="S278">
        <v>774617.57</v>
      </c>
      <c r="T278">
        <v>0</v>
      </c>
      <c r="U278">
        <v>436518</v>
      </c>
      <c r="V278">
        <v>0</v>
      </c>
      <c r="W278">
        <v>435476</v>
      </c>
      <c r="X278">
        <v>118153.94</v>
      </c>
      <c r="Y278">
        <v>100432.22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806652.59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174071.63</v>
      </c>
      <c r="AQ278">
        <v>0</v>
      </c>
      <c r="AR278">
        <v>0</v>
      </c>
      <c r="AS278">
        <v>2096476695.2878301</v>
      </c>
    </row>
    <row r="279" spans="2:45" ht="15.75" hidden="1" thickBot="1" x14ac:dyDescent="0.3">
      <c r="B279" s="15" t="str" cm="1">
        <f t="array" ref="B279">INDEX(_xlfn.TEXTSPLIT($J279,"/"),3)</f>
        <v>Rt3&amp;0&amp;cPVVE&amp;New&amp;Chiller__PumpCtrl</v>
      </c>
      <c r="C279" s="33" t="str" cm="1">
        <f t="array" ref="C279">INDEX(_xlfn.TEXTSPLIT($J279,"/"),2)</f>
        <v>CZ01</v>
      </c>
      <c r="D279" s="34">
        <f>$G$3*H279</f>
        <v>45.713384499999997</v>
      </c>
      <c r="F279" t="str" cm="1">
        <f t="array" ref="F279">INDEX(_xlfn.TEXTSPLIT($J279,"/"),4)</f>
        <v>NE-Chiller-CHWPumpCtrl-Full-Msr</v>
      </c>
      <c r="G279">
        <f>$P279</f>
        <v>6.5632999999999997E-2</v>
      </c>
      <c r="H279">
        <f>$G$4*G279</f>
        <v>65.304834999999997</v>
      </c>
      <c r="J279" t="s">
        <v>557</v>
      </c>
      <c r="K279" t="s">
        <v>11</v>
      </c>
      <c r="M279">
        <v>12575.54</v>
      </c>
      <c r="N279">
        <v>4405.01</v>
      </c>
      <c r="P279">
        <v>6.5632999999999997E-2</v>
      </c>
      <c r="Q279">
        <v>0</v>
      </c>
      <c r="R279">
        <v>29942.99</v>
      </c>
      <c r="S279">
        <v>394508.4</v>
      </c>
      <c r="T279">
        <v>0</v>
      </c>
      <c r="U279">
        <v>436518</v>
      </c>
      <c r="V279">
        <v>0</v>
      </c>
      <c r="W279">
        <v>108018.98</v>
      </c>
      <c r="X279">
        <v>11863.33</v>
      </c>
      <c r="Y279">
        <v>11759.22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321744.62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192555.71</v>
      </c>
      <c r="AQ279">
        <v>0</v>
      </c>
      <c r="AR279">
        <v>0</v>
      </c>
      <c r="AS279">
        <v>932884955.36214995</v>
      </c>
    </row>
    <row r="280" spans="2:45" ht="15.75" hidden="1" thickBot="1" x14ac:dyDescent="0.3">
      <c r="B280" s="15" t="str" cm="1">
        <f t="array" ref="B280">INDEX(_xlfn.TEXTSPLIT($J280,"/"),3)</f>
        <v>Rt3&amp;0&amp;cPVVE&amp;New&amp;Chiller__PumpCtrl</v>
      </c>
      <c r="C280" s="33" t="str" cm="1">
        <f t="array" ref="C280">INDEX(_xlfn.TEXTSPLIT($J280,"/"),2)</f>
        <v>CZ02</v>
      </c>
      <c r="D280" s="34">
        <f>$G$3*H280</f>
        <v>80.532812499999991</v>
      </c>
      <c r="F280" t="str" cm="1">
        <f t="array" ref="F280">INDEX(_xlfn.TEXTSPLIT($J280,"/"),4)</f>
        <v>NE-Chiller-CHWPumpCtrl-Full-Msr</v>
      </c>
      <c r="G280">
        <f>$P280</f>
        <v>0.11562500000000001</v>
      </c>
      <c r="H280">
        <f>$G$4*G280</f>
        <v>115.046875</v>
      </c>
      <c r="J280" t="s">
        <v>545</v>
      </c>
      <c r="K280" t="s">
        <v>12</v>
      </c>
      <c r="M280">
        <v>22154.13</v>
      </c>
      <c r="N280">
        <v>7760.24</v>
      </c>
      <c r="P280">
        <v>0.11562500000000001</v>
      </c>
      <c r="Q280">
        <v>0</v>
      </c>
      <c r="R280">
        <v>458077.24</v>
      </c>
      <c r="S280">
        <v>394508.4</v>
      </c>
      <c r="T280">
        <v>0</v>
      </c>
      <c r="U280">
        <v>436518</v>
      </c>
      <c r="V280">
        <v>0</v>
      </c>
      <c r="W280">
        <v>196878.5</v>
      </c>
      <c r="X280">
        <v>91186.38</v>
      </c>
      <c r="Y280">
        <v>87977.58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750039.72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176960.2</v>
      </c>
      <c r="AQ280">
        <v>0</v>
      </c>
      <c r="AR280">
        <v>0</v>
      </c>
      <c r="AS280">
        <v>1936861950.5708101</v>
      </c>
    </row>
    <row r="281" spans="2:45" ht="15.75" hidden="1" thickBot="1" x14ac:dyDescent="0.3">
      <c r="B281" s="15" t="str" cm="1">
        <f t="array" ref="B281">INDEX(_xlfn.TEXTSPLIT($J281,"/"),3)</f>
        <v>Rt3&amp;0&amp;cPVVE&amp;New&amp;Chiller__PumpCtrl</v>
      </c>
      <c r="C281" s="33" t="str" cm="1">
        <f t="array" ref="C281">INDEX(_xlfn.TEXTSPLIT($J281,"/"),2)</f>
        <v>CZ03</v>
      </c>
      <c r="D281" s="34">
        <f>$G$3*H281</f>
        <v>74.839621499999993</v>
      </c>
      <c r="F281" t="str" cm="1">
        <f t="array" ref="F281">INDEX(_xlfn.TEXTSPLIT($J281,"/"),4)</f>
        <v>NE-Chiller-CHWPumpCtrl-Full-Msr</v>
      </c>
      <c r="G281">
        <f>$P281</f>
        <v>0.107451</v>
      </c>
      <c r="H281">
        <f>$G$4*G281</f>
        <v>106.91374500000001</v>
      </c>
      <c r="J281" t="s">
        <v>527</v>
      </c>
      <c r="K281" t="s">
        <v>13</v>
      </c>
      <c r="M281">
        <v>20587.900000000001</v>
      </c>
      <c r="N281">
        <v>7211.61</v>
      </c>
      <c r="P281">
        <v>0.107451</v>
      </c>
      <c r="Q281">
        <v>0</v>
      </c>
      <c r="R281">
        <v>302602.57</v>
      </c>
      <c r="S281">
        <v>394508.4</v>
      </c>
      <c r="T281">
        <v>0</v>
      </c>
      <c r="U281">
        <v>436518</v>
      </c>
      <c r="V281">
        <v>0</v>
      </c>
      <c r="W281">
        <v>165120.98000000001</v>
      </c>
      <c r="X281">
        <v>79245.5</v>
      </c>
      <c r="Y281">
        <v>82473.919999999998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475923.25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176286.64</v>
      </c>
      <c r="AQ281">
        <v>0</v>
      </c>
      <c r="AR281">
        <v>0</v>
      </c>
      <c r="AS281">
        <v>1708119088.8724899</v>
      </c>
    </row>
    <row r="282" spans="2:45" ht="15.75" hidden="1" thickBot="1" x14ac:dyDescent="0.3">
      <c r="B282" s="15" t="str" cm="1">
        <f t="array" ref="B282">INDEX(_xlfn.TEXTSPLIT($J282,"/"),3)</f>
        <v>Rt3&amp;0&amp;cPVVE&amp;New&amp;Chiller__PumpCtrl</v>
      </c>
      <c r="C282" s="33" t="str" cm="1">
        <f t="array" ref="C282">INDEX(_xlfn.TEXTSPLIT($J282,"/"),2)</f>
        <v>CZ04</v>
      </c>
      <c r="D282" s="34">
        <f>$G$3*H282</f>
        <v>82.370179499999992</v>
      </c>
      <c r="F282" t="str" cm="1">
        <f t="array" ref="F282">INDEX(_xlfn.TEXTSPLIT($J282,"/"),4)</f>
        <v>NE-Chiller-CHWPumpCtrl-Full-Msr</v>
      </c>
      <c r="G282">
        <f>$P282</f>
        <v>0.11826299999999999</v>
      </c>
      <c r="H282">
        <f>$G$4*G282</f>
        <v>117.671685</v>
      </c>
      <c r="J282" t="s">
        <v>512</v>
      </c>
      <c r="K282" t="s">
        <v>14</v>
      </c>
      <c r="M282">
        <v>22659.57</v>
      </c>
      <c r="N282">
        <v>7937.29</v>
      </c>
      <c r="P282">
        <v>0.11826299999999999</v>
      </c>
      <c r="Q282">
        <v>0</v>
      </c>
      <c r="R282">
        <v>512008.73</v>
      </c>
      <c r="S282">
        <v>394508.4</v>
      </c>
      <c r="T282">
        <v>0</v>
      </c>
      <c r="U282">
        <v>436518</v>
      </c>
      <c r="V282">
        <v>0</v>
      </c>
      <c r="W282">
        <v>207663.17</v>
      </c>
      <c r="X282">
        <v>100348.35</v>
      </c>
      <c r="Y282">
        <v>102616.69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578086.86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170237.53</v>
      </c>
      <c r="AQ282">
        <v>0</v>
      </c>
      <c r="AR282">
        <v>0</v>
      </c>
      <c r="AS282">
        <v>1980456920.8998101</v>
      </c>
    </row>
    <row r="283" spans="2:45" ht="15.75" hidden="1" thickBot="1" x14ac:dyDescent="0.3">
      <c r="B283" s="15" t="str" cm="1">
        <f t="array" ref="B283">INDEX(_xlfn.TEXTSPLIT($J283,"/"),3)</f>
        <v>Rt3&amp;0&amp;cPVVE&amp;New&amp;Chiller__PumpCtrl</v>
      </c>
      <c r="C283" s="33" t="str" cm="1">
        <f t="array" ref="C283">INDEX(_xlfn.TEXTSPLIT($J283,"/"),2)</f>
        <v>CZ05</v>
      </c>
      <c r="D283" s="34">
        <f>$G$3*H283</f>
        <v>70.220433499999999</v>
      </c>
      <c r="F283" t="str" cm="1">
        <f t="array" ref="F283">INDEX(_xlfn.TEXTSPLIT($J283,"/"),4)</f>
        <v>NE-Chiller-CHWPumpCtrl-Full-Msr</v>
      </c>
      <c r="G283">
        <f>$P283</f>
        <v>0.10081900000000001</v>
      </c>
      <c r="H283">
        <f>$G$4*G283</f>
        <v>100.31490500000001</v>
      </c>
      <c r="J283" t="s">
        <v>495</v>
      </c>
      <c r="K283" t="s">
        <v>15</v>
      </c>
      <c r="M283">
        <v>19317.240000000002</v>
      </c>
      <c r="N283">
        <v>6766.52</v>
      </c>
      <c r="P283">
        <v>0.10081900000000001</v>
      </c>
      <c r="Q283">
        <v>0</v>
      </c>
      <c r="R283">
        <v>366201.86</v>
      </c>
      <c r="S283">
        <v>394508.4</v>
      </c>
      <c r="T283">
        <v>0</v>
      </c>
      <c r="U283">
        <v>436518</v>
      </c>
      <c r="V283">
        <v>0</v>
      </c>
      <c r="W283">
        <v>167384.70000000001</v>
      </c>
      <c r="X283">
        <v>84399.34</v>
      </c>
      <c r="Y283">
        <v>85306.14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469234.31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176303.99</v>
      </c>
      <c r="AQ283">
        <v>0</v>
      </c>
      <c r="AR283">
        <v>0</v>
      </c>
      <c r="AS283">
        <v>1310997503.2272999</v>
      </c>
    </row>
    <row r="284" spans="2:45" ht="15.75" hidden="1" thickBot="1" x14ac:dyDescent="0.3">
      <c r="B284" s="15" t="str" cm="1">
        <f t="array" ref="B284">INDEX(_xlfn.TEXTSPLIT($J284,"/"),3)</f>
        <v>Rt3&amp;0&amp;cPVVE&amp;New&amp;Chiller__PumpCtrl</v>
      </c>
      <c r="C284" s="33" t="str" cm="1">
        <f t="array" ref="C284">INDEX(_xlfn.TEXTSPLIT($J284,"/"),2)</f>
        <v>CZ06</v>
      </c>
      <c r="D284" s="34">
        <f>$G$3*H284</f>
        <v>76.04038749999998</v>
      </c>
      <c r="F284" t="str" cm="1">
        <f t="array" ref="F284">INDEX(_xlfn.TEXTSPLIT($J284,"/"),4)</f>
        <v>NE-Chiller-CHWPumpCtrl-Full-Msr</v>
      </c>
      <c r="G284">
        <f>$P284</f>
        <v>0.10917499999999999</v>
      </c>
      <c r="H284">
        <f>$G$4*G284</f>
        <v>108.62912499999999</v>
      </c>
      <c r="J284" t="s">
        <v>480</v>
      </c>
      <c r="K284" t="s">
        <v>16</v>
      </c>
      <c r="M284">
        <v>20918.27</v>
      </c>
      <c r="N284">
        <v>7327.34</v>
      </c>
      <c r="P284">
        <v>0.10917499999999999</v>
      </c>
      <c r="Q284">
        <v>0</v>
      </c>
      <c r="R284">
        <v>645541.29</v>
      </c>
      <c r="S284">
        <v>394508.4</v>
      </c>
      <c r="T284">
        <v>0</v>
      </c>
      <c r="U284">
        <v>436518</v>
      </c>
      <c r="V284">
        <v>0</v>
      </c>
      <c r="W284">
        <v>186490.8</v>
      </c>
      <c r="X284">
        <v>114548.67</v>
      </c>
      <c r="Y284">
        <v>120088.52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300502.34999999998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162406.37</v>
      </c>
      <c r="AQ284">
        <v>0</v>
      </c>
      <c r="AR284">
        <v>0</v>
      </c>
      <c r="AS284">
        <v>1511967153.73276</v>
      </c>
    </row>
    <row r="285" spans="2:45" ht="15.75" hidden="1" thickBot="1" x14ac:dyDescent="0.3">
      <c r="B285" s="15" t="str" cm="1">
        <f t="array" ref="B285">INDEX(_xlfn.TEXTSPLIT($J285,"/"),3)</f>
        <v>Rt3&amp;0&amp;cPVVE&amp;New&amp;Chiller__PumpCtrl</v>
      </c>
      <c r="C285" s="33" t="str" cm="1">
        <f t="array" ref="C285">INDEX(_xlfn.TEXTSPLIT($J285,"/"),2)</f>
        <v>CZ07</v>
      </c>
      <c r="D285" s="34">
        <f>$G$3*H285</f>
        <v>77.872182499999994</v>
      </c>
      <c r="F285" t="str" cm="1">
        <f t="array" ref="F285">INDEX(_xlfn.TEXTSPLIT($J285,"/"),4)</f>
        <v>NE-Chiller-CHWPumpCtrl-Full-Msr</v>
      </c>
      <c r="G285">
        <f>$P285</f>
        <v>0.111805</v>
      </c>
      <c r="H285">
        <f>$G$4*G285</f>
        <v>111.245975</v>
      </c>
      <c r="J285" t="s">
        <v>463</v>
      </c>
      <c r="K285" t="s">
        <v>17</v>
      </c>
      <c r="M285">
        <v>21422.15</v>
      </c>
      <c r="N285">
        <v>7503.84</v>
      </c>
      <c r="P285">
        <v>0.111805</v>
      </c>
      <c r="Q285">
        <v>0</v>
      </c>
      <c r="R285">
        <v>724378.77</v>
      </c>
      <c r="S285">
        <v>394508.4</v>
      </c>
      <c r="T285">
        <v>0</v>
      </c>
      <c r="U285">
        <v>436518</v>
      </c>
      <c r="V285">
        <v>0</v>
      </c>
      <c r="W285">
        <v>214003.76</v>
      </c>
      <c r="X285">
        <v>120686.88</v>
      </c>
      <c r="Y285">
        <v>125240.6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394967.68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160367.82</v>
      </c>
      <c r="AQ285">
        <v>0</v>
      </c>
      <c r="AR285">
        <v>0</v>
      </c>
      <c r="AS285">
        <v>1682251937.8376601</v>
      </c>
    </row>
    <row r="286" spans="2:45" ht="15.75" hidden="1" thickBot="1" x14ac:dyDescent="0.3">
      <c r="B286" s="15" t="str" cm="1">
        <f t="array" ref="B286">INDEX(_xlfn.TEXTSPLIT($J286,"/"),3)</f>
        <v>Rt3&amp;0&amp;cPVVE&amp;New&amp;Chiller__PumpCtrl</v>
      </c>
      <c r="C286" s="33" t="str" cm="1">
        <f t="array" ref="C286">INDEX(_xlfn.TEXTSPLIT($J286,"/"),2)</f>
        <v>CZ08</v>
      </c>
      <c r="D286" s="34">
        <f>$G$3*H286</f>
        <v>85.101852500000007</v>
      </c>
      <c r="F286" t="str" cm="1">
        <f t="array" ref="F286">INDEX(_xlfn.TEXTSPLIT($J286,"/"),4)</f>
        <v>NE-Chiller-CHWPumpCtrl-Full-Msr</v>
      </c>
      <c r="G286">
        <f>$P286</f>
        <v>0.122185</v>
      </c>
      <c r="H286">
        <f>$G$4*G286</f>
        <v>121.57407500000001</v>
      </c>
      <c r="J286" t="s">
        <v>448</v>
      </c>
      <c r="K286" t="s">
        <v>18</v>
      </c>
      <c r="M286">
        <v>23411.01</v>
      </c>
      <c r="N286">
        <v>8200.5</v>
      </c>
      <c r="P286">
        <v>0.122185</v>
      </c>
      <c r="Q286">
        <v>0</v>
      </c>
      <c r="R286">
        <v>768121.66</v>
      </c>
      <c r="S286">
        <v>394508.4</v>
      </c>
      <c r="T286">
        <v>0</v>
      </c>
      <c r="U286">
        <v>436518</v>
      </c>
      <c r="V286">
        <v>0</v>
      </c>
      <c r="W286">
        <v>220727.13</v>
      </c>
      <c r="X286">
        <v>128431.73</v>
      </c>
      <c r="Y286">
        <v>133281.60000000001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500333.23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160089.34</v>
      </c>
      <c r="AQ286">
        <v>0</v>
      </c>
      <c r="AR286">
        <v>0</v>
      </c>
      <c r="AS286">
        <v>1534556216.0129199</v>
      </c>
    </row>
    <row r="287" spans="2:45" ht="15.75" hidden="1" thickBot="1" x14ac:dyDescent="0.3">
      <c r="B287" s="15" t="str" cm="1">
        <f t="array" ref="B287">INDEX(_xlfn.TEXTSPLIT($J287,"/"),3)</f>
        <v>Rt3&amp;0&amp;cPVVE&amp;New&amp;Chiller__PumpCtrl</v>
      </c>
      <c r="C287" s="33" t="str" cm="1">
        <f t="array" ref="C287">INDEX(_xlfn.TEXTSPLIT($J287,"/"),2)</f>
        <v>CZ09</v>
      </c>
      <c r="D287" s="34">
        <f>$G$3*H287</f>
        <v>90.659922499999993</v>
      </c>
      <c r="F287" t="str" cm="1">
        <f t="array" ref="F287">INDEX(_xlfn.TEXTSPLIT($J287,"/"),4)</f>
        <v>NE-Chiller-CHWPumpCtrl-Full-Msr</v>
      </c>
      <c r="G287">
        <f>$P287</f>
        <v>0.130165</v>
      </c>
      <c r="H287">
        <f>$G$4*G287</f>
        <v>129.51417499999999</v>
      </c>
      <c r="J287" t="s">
        <v>431</v>
      </c>
      <c r="K287" t="s">
        <v>19</v>
      </c>
      <c r="M287">
        <v>24939.87</v>
      </c>
      <c r="N287">
        <v>8736.0400000000009</v>
      </c>
      <c r="P287">
        <v>0.130165</v>
      </c>
      <c r="Q287">
        <v>0</v>
      </c>
      <c r="R287">
        <v>837291.43</v>
      </c>
      <c r="S287">
        <v>394508.4</v>
      </c>
      <c r="T287">
        <v>0</v>
      </c>
      <c r="U287">
        <v>436518</v>
      </c>
      <c r="V287">
        <v>0</v>
      </c>
      <c r="W287">
        <v>239220.68</v>
      </c>
      <c r="X287">
        <v>140574.34</v>
      </c>
      <c r="Y287">
        <v>146933.65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554575.30000000005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157900.81</v>
      </c>
      <c r="AQ287">
        <v>0</v>
      </c>
      <c r="AR287">
        <v>0</v>
      </c>
      <c r="AS287">
        <v>1659604541.8837099</v>
      </c>
    </row>
    <row r="288" spans="2:45" ht="15.75" hidden="1" thickBot="1" x14ac:dyDescent="0.3">
      <c r="B288" s="15" t="str" cm="1">
        <f t="array" ref="B288">INDEX(_xlfn.TEXTSPLIT($J288,"/"),3)</f>
        <v>Rt3&amp;0&amp;cPVVE&amp;New&amp;Chiller__PumpCtrl</v>
      </c>
      <c r="C288" s="33" t="str" cm="1">
        <f t="array" ref="C288">INDEX(_xlfn.TEXTSPLIT($J288,"/"),2)</f>
        <v>CZ10</v>
      </c>
      <c r="D288" s="34">
        <f>$G$3*H288</f>
        <v>92.335701499999985</v>
      </c>
      <c r="F288" t="str" cm="1">
        <f t="array" ref="F288">INDEX(_xlfn.TEXTSPLIT($J288,"/"),4)</f>
        <v>NE-Chiller-CHWPumpCtrl-Full-Msr</v>
      </c>
      <c r="G288">
        <f>$P288</f>
        <v>0.13257099999999999</v>
      </c>
      <c r="H288">
        <f>$G$4*G288</f>
        <v>131.90814499999999</v>
      </c>
      <c r="J288" t="s">
        <v>418</v>
      </c>
      <c r="K288" t="s">
        <v>20</v>
      </c>
      <c r="M288">
        <v>25400.85</v>
      </c>
      <c r="N288">
        <v>8897.51</v>
      </c>
      <c r="P288">
        <v>0.13257099999999999</v>
      </c>
      <c r="Q288">
        <v>0</v>
      </c>
      <c r="R288">
        <v>839547.59</v>
      </c>
      <c r="S288">
        <v>394508.4</v>
      </c>
      <c r="T288">
        <v>0</v>
      </c>
      <c r="U288">
        <v>436518</v>
      </c>
      <c r="V288">
        <v>0</v>
      </c>
      <c r="W288">
        <v>283941.03000000003</v>
      </c>
      <c r="X288">
        <v>136955.97</v>
      </c>
      <c r="Y288">
        <v>138666.37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733476.87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156631.41</v>
      </c>
      <c r="AQ288">
        <v>0</v>
      </c>
      <c r="AR288">
        <v>0</v>
      </c>
      <c r="AS288">
        <v>2278355241.9052</v>
      </c>
    </row>
    <row r="289" spans="2:45" ht="15.75" hidden="1" thickBot="1" x14ac:dyDescent="0.3">
      <c r="B289" s="15" t="str" cm="1">
        <f t="array" ref="B289">INDEX(_xlfn.TEXTSPLIT($J289,"/"),3)</f>
        <v>Rt3&amp;0&amp;cPVVE&amp;New&amp;Chiller__PumpCtrl</v>
      </c>
      <c r="C289" s="33" t="str" cm="1">
        <f t="array" ref="C289">INDEX(_xlfn.TEXTSPLIT($J289,"/"),2)</f>
        <v>CZ11</v>
      </c>
      <c r="D289" s="34">
        <f>$G$3*H289</f>
        <v>65.626319499999994</v>
      </c>
      <c r="F289" t="str" cm="1">
        <f t="array" ref="F289">INDEX(_xlfn.TEXTSPLIT($J289,"/"),4)</f>
        <v>NE-Chiller-CHWPumpCtrl-Full-Msr</v>
      </c>
      <c r="G289">
        <f>$P289</f>
        <v>9.4223000000000001E-2</v>
      </c>
      <c r="H289">
        <f>$G$4*G289</f>
        <v>93.751885000000001</v>
      </c>
      <c r="J289" t="s">
        <v>400</v>
      </c>
      <c r="K289" t="s">
        <v>21</v>
      </c>
      <c r="M289">
        <v>18053.310000000001</v>
      </c>
      <c r="N289">
        <v>6323.79</v>
      </c>
      <c r="P289">
        <v>9.4223000000000001E-2</v>
      </c>
      <c r="Q289">
        <v>0</v>
      </c>
      <c r="R289">
        <v>615143.75</v>
      </c>
      <c r="S289">
        <v>394508.4</v>
      </c>
      <c r="T289">
        <v>0</v>
      </c>
      <c r="U289">
        <v>436518</v>
      </c>
      <c r="V289">
        <v>0</v>
      </c>
      <c r="W289">
        <v>230995.57</v>
      </c>
      <c r="X289">
        <v>78931.16</v>
      </c>
      <c r="Y289">
        <v>78593.61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420877.67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160196.60999999999</v>
      </c>
      <c r="AQ289">
        <v>0</v>
      </c>
      <c r="AR289">
        <v>0</v>
      </c>
      <c r="AS289">
        <v>1954242688.7857499</v>
      </c>
    </row>
    <row r="290" spans="2:45" ht="15.75" hidden="1" thickBot="1" x14ac:dyDescent="0.3">
      <c r="B290" s="15" t="str" cm="1">
        <f t="array" ref="B290">INDEX(_xlfn.TEXTSPLIT($J290,"/"),3)</f>
        <v>Rt3&amp;0&amp;cPVVE&amp;New&amp;Chiller__PumpCtrl</v>
      </c>
      <c r="C290" s="33" t="str" cm="1">
        <f t="array" ref="C290">INDEX(_xlfn.TEXTSPLIT($J290,"/"),2)</f>
        <v>CZ12</v>
      </c>
      <c r="D290" s="34">
        <f>$G$3*H290</f>
        <v>66.521321999999984</v>
      </c>
      <c r="F290" t="str" cm="1">
        <f t="array" ref="F290">INDEX(_xlfn.TEXTSPLIT($J290,"/"),4)</f>
        <v>NE-Chiller-CHWPumpCtrl-Full-Msr</v>
      </c>
      <c r="G290">
        <f>$P290</f>
        <v>9.5507999999999996E-2</v>
      </c>
      <c r="H290">
        <f>$G$4*G290</f>
        <v>95.030459999999991</v>
      </c>
      <c r="J290" t="s">
        <v>383</v>
      </c>
      <c r="K290" t="s">
        <v>22</v>
      </c>
      <c r="M290">
        <v>18299.61</v>
      </c>
      <c r="N290">
        <v>6410.06</v>
      </c>
      <c r="P290">
        <v>9.5507999999999996E-2</v>
      </c>
      <c r="Q290">
        <v>0</v>
      </c>
      <c r="R290">
        <v>605100.66</v>
      </c>
      <c r="S290">
        <v>394508.4</v>
      </c>
      <c r="T290">
        <v>0</v>
      </c>
      <c r="U290">
        <v>436518</v>
      </c>
      <c r="V290">
        <v>0</v>
      </c>
      <c r="W290">
        <v>212481.2</v>
      </c>
      <c r="X290">
        <v>79311.94</v>
      </c>
      <c r="Y290">
        <v>79511.89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417603.55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164659.9</v>
      </c>
      <c r="AQ290">
        <v>0</v>
      </c>
      <c r="AR290">
        <v>0</v>
      </c>
      <c r="AS290">
        <v>1934512922.53055</v>
      </c>
    </row>
    <row r="291" spans="2:45" ht="15.75" hidden="1" thickBot="1" x14ac:dyDescent="0.3">
      <c r="B291" s="15" t="str" cm="1">
        <f t="array" ref="B291">INDEX(_xlfn.TEXTSPLIT($J291,"/"),3)</f>
        <v>Rt3&amp;0&amp;cPVVE&amp;New&amp;Chiller__PumpCtrl</v>
      </c>
      <c r="C291" s="33" t="str" cm="1">
        <f t="array" ref="C291">INDEX(_xlfn.TEXTSPLIT($J291,"/"),2)</f>
        <v>CZ13</v>
      </c>
      <c r="D291" s="34">
        <f>$G$3*H291</f>
        <v>69.277372499999998</v>
      </c>
      <c r="F291" t="str" cm="1">
        <f t="array" ref="F291">INDEX(_xlfn.TEXTSPLIT($J291,"/"),4)</f>
        <v>NE-Chiller-CHWPumpCtrl-Full-Msr</v>
      </c>
      <c r="G291">
        <f>$P291</f>
        <v>9.9464999999999998E-2</v>
      </c>
      <c r="H291">
        <f>$G$4*G291</f>
        <v>98.967675</v>
      </c>
      <c r="J291" t="s">
        <v>367</v>
      </c>
      <c r="K291" t="s">
        <v>23</v>
      </c>
      <c r="M291">
        <v>19057.810000000001</v>
      </c>
      <c r="N291">
        <v>6675.65</v>
      </c>
      <c r="P291">
        <v>9.9464999999999998E-2</v>
      </c>
      <c r="Q291">
        <v>0</v>
      </c>
      <c r="R291">
        <v>690318.44</v>
      </c>
      <c r="S291">
        <v>394508.4</v>
      </c>
      <c r="T291">
        <v>0</v>
      </c>
      <c r="U291">
        <v>436518</v>
      </c>
      <c r="V291">
        <v>0</v>
      </c>
      <c r="W291">
        <v>235543.14</v>
      </c>
      <c r="X291">
        <v>87369.37</v>
      </c>
      <c r="Y291">
        <v>87751.93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387964.41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155561.60000000001</v>
      </c>
      <c r="AQ291">
        <v>0</v>
      </c>
      <c r="AR291">
        <v>0</v>
      </c>
      <c r="AS291">
        <v>2008163191.40236</v>
      </c>
    </row>
    <row r="292" spans="2:45" ht="15.75" hidden="1" thickBot="1" x14ac:dyDescent="0.3">
      <c r="B292" s="15" t="str" cm="1">
        <f t="array" ref="B292">INDEX(_xlfn.TEXTSPLIT($J292,"/"),3)</f>
        <v>Rt3&amp;0&amp;cPVVE&amp;New&amp;Chiller__PumpCtrl</v>
      </c>
      <c r="C292" s="33" t="str" cm="1">
        <f t="array" ref="C292">INDEX(_xlfn.TEXTSPLIT($J292,"/"),2)</f>
        <v>CZ14</v>
      </c>
      <c r="D292" s="34">
        <f>$G$3*H292</f>
        <v>68.626841499999983</v>
      </c>
      <c r="F292" t="str" cm="1">
        <f t="array" ref="F292">INDEX(_xlfn.TEXTSPLIT($J292,"/"),4)</f>
        <v>NE-Chiller-CHWPumpCtrl-Full-Msr</v>
      </c>
      <c r="G292">
        <f>$P292</f>
        <v>9.8530999999999994E-2</v>
      </c>
      <c r="H292">
        <f>$G$4*G292</f>
        <v>98.038344999999993</v>
      </c>
      <c r="J292" t="s">
        <v>352</v>
      </c>
      <c r="K292" t="s">
        <v>24</v>
      </c>
      <c r="M292">
        <v>18878.810000000001</v>
      </c>
      <c r="N292">
        <v>6612.95</v>
      </c>
      <c r="P292">
        <v>9.8530999999999994E-2</v>
      </c>
      <c r="Q292">
        <v>0</v>
      </c>
      <c r="R292">
        <v>704919.83</v>
      </c>
      <c r="S292">
        <v>394508.4</v>
      </c>
      <c r="T292">
        <v>0</v>
      </c>
      <c r="U292">
        <v>436518</v>
      </c>
      <c r="V292">
        <v>0</v>
      </c>
      <c r="W292">
        <v>272794.68</v>
      </c>
      <c r="X292">
        <v>94753.93</v>
      </c>
      <c r="Y292">
        <v>95228.01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416772.6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147586.16</v>
      </c>
      <c r="AQ292">
        <v>0</v>
      </c>
      <c r="AR292">
        <v>0</v>
      </c>
      <c r="AS292">
        <v>2021376522.39557</v>
      </c>
    </row>
    <row r="293" spans="2:45" ht="15.75" hidden="1" thickBot="1" x14ac:dyDescent="0.3">
      <c r="B293" s="15" t="str" cm="1">
        <f t="array" ref="B293">INDEX(_xlfn.TEXTSPLIT($J293,"/"),3)</f>
        <v>Rt3&amp;0&amp;cPVVE&amp;New&amp;Chiller__PumpCtrl</v>
      </c>
      <c r="C293" s="33" t="str" cm="1">
        <f t="array" ref="C293">INDEX(_xlfn.TEXTSPLIT($J293,"/"),2)</f>
        <v>CZ15</v>
      </c>
      <c r="D293" s="34">
        <f>$G$3*H293</f>
        <v>73.043348000000009</v>
      </c>
      <c r="F293" t="str" cm="1">
        <f t="array" ref="F293">INDEX(_xlfn.TEXTSPLIT($J293,"/"),4)</f>
        <v>NE-Chiller-CHWPumpCtrl-Full-Msr</v>
      </c>
      <c r="G293">
        <f>$P293</f>
        <v>0.10487200000000001</v>
      </c>
      <c r="H293">
        <f>$G$4*G293</f>
        <v>104.34764000000001</v>
      </c>
      <c r="J293" t="s">
        <v>335</v>
      </c>
      <c r="K293" t="s">
        <v>25</v>
      </c>
      <c r="M293">
        <v>20093.740000000002</v>
      </c>
      <c r="N293">
        <v>7038.52</v>
      </c>
      <c r="P293">
        <v>0.10487200000000001</v>
      </c>
      <c r="Q293">
        <v>0</v>
      </c>
      <c r="R293">
        <v>888791.81</v>
      </c>
      <c r="S293">
        <v>394508.4</v>
      </c>
      <c r="T293">
        <v>0</v>
      </c>
      <c r="U293">
        <v>436518</v>
      </c>
      <c r="V293">
        <v>0</v>
      </c>
      <c r="W293">
        <v>286195.78000000003</v>
      </c>
      <c r="X293">
        <v>110612.39</v>
      </c>
      <c r="Y293">
        <v>120288.59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517143.24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131086.93</v>
      </c>
      <c r="AQ293">
        <v>0</v>
      </c>
      <c r="AR293">
        <v>0</v>
      </c>
      <c r="AS293">
        <v>1993810024.6878901</v>
      </c>
    </row>
    <row r="294" spans="2:45" ht="15.75" hidden="1" thickBot="1" x14ac:dyDescent="0.3">
      <c r="B294" s="15" t="str" cm="1">
        <f t="array" ref="B294">INDEX(_xlfn.TEXTSPLIT($J294,"/"),3)</f>
        <v>Rt3&amp;0&amp;cPVVE&amp;New&amp;Chiller__PumpCtrl</v>
      </c>
      <c r="C294" s="33" t="str" cm="1">
        <f t="array" ref="C294">INDEX(_xlfn.TEXTSPLIT($J294,"/"),2)</f>
        <v>CZ16</v>
      </c>
      <c r="D294" s="34">
        <f>$G$3*H294</f>
        <v>57.968998499999998</v>
      </c>
      <c r="F294" t="str" cm="1">
        <f t="array" ref="F294">INDEX(_xlfn.TEXTSPLIT($J294,"/"),4)</f>
        <v>NE-Chiller-CHWPumpCtrl-Full-Msr</v>
      </c>
      <c r="G294">
        <f>$P294</f>
        <v>8.3228999999999997E-2</v>
      </c>
      <c r="H294">
        <f>$G$4*G294</f>
        <v>82.812854999999999</v>
      </c>
      <c r="J294" t="s">
        <v>319</v>
      </c>
      <c r="K294" t="s">
        <v>26</v>
      </c>
      <c r="M294">
        <v>15946.91</v>
      </c>
      <c r="N294">
        <v>5585.95</v>
      </c>
      <c r="P294">
        <v>8.3228999999999997E-2</v>
      </c>
      <c r="Q294">
        <v>0</v>
      </c>
      <c r="R294">
        <v>449048.38</v>
      </c>
      <c r="S294">
        <v>394508.4</v>
      </c>
      <c r="T294">
        <v>0</v>
      </c>
      <c r="U294">
        <v>436518</v>
      </c>
      <c r="V294">
        <v>0</v>
      </c>
      <c r="W294">
        <v>288004.57</v>
      </c>
      <c r="X294">
        <v>72943</v>
      </c>
      <c r="Y294">
        <v>67436.649999999994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578239.31999999995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174059.91</v>
      </c>
      <c r="AQ294">
        <v>0</v>
      </c>
      <c r="AR294">
        <v>0</v>
      </c>
      <c r="AS294">
        <v>1636597668.1107399</v>
      </c>
    </row>
    <row r="295" spans="2:45" x14ac:dyDescent="0.25">
      <c r="B295" s="32" t="str" cm="1">
        <f t="array" ref="B295">INDEX(_xlfn.TEXTSPLIT($J295,"/"),3)</f>
        <v>ECC&amp;0&amp;cPVVE&amp;Ex&amp;Chiller__PumpCtrl</v>
      </c>
      <c r="C295" s="32" t="str" cm="1">
        <f t="array" ref="C295">INDEX(_xlfn.TEXTSPLIT($J295,"/"),2)</f>
        <v>CZ01</v>
      </c>
      <c r="D295" s="14">
        <f>$G$3*H295</f>
        <v>97.497462999999982</v>
      </c>
      <c r="F295" t="str" cm="1">
        <f t="array" ref="F295">INDEX(_xlfn.TEXTSPLIT($J295,"/"),4)</f>
        <v>NE-Chiller-PumpCtrl-Full-Std</v>
      </c>
      <c r="G295">
        <f>$P295</f>
        <v>0.139982</v>
      </c>
      <c r="H295">
        <f>$G$4*G295</f>
        <v>139.28208999999998</v>
      </c>
      <c r="J295" t="s">
        <v>315</v>
      </c>
      <c r="K295" t="s">
        <v>11</v>
      </c>
      <c r="L295">
        <v>9394.92</v>
      </c>
      <c r="M295">
        <v>26820.85</v>
      </c>
      <c r="P295">
        <v>0.139982</v>
      </c>
      <c r="Q295">
        <v>0</v>
      </c>
      <c r="R295">
        <v>306314.87</v>
      </c>
      <c r="S295">
        <v>350734.07</v>
      </c>
      <c r="T295">
        <v>0</v>
      </c>
      <c r="U295">
        <v>936314.72</v>
      </c>
      <c r="V295">
        <v>0</v>
      </c>
      <c r="W295">
        <v>250366.74</v>
      </c>
      <c r="X295">
        <v>219858.82</v>
      </c>
      <c r="Y295">
        <v>203288.72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333355.78999999998</v>
      </c>
      <c r="AF295">
        <v>0</v>
      </c>
      <c r="AG295">
        <v>0</v>
      </c>
      <c r="AH295">
        <v>0</v>
      </c>
      <c r="AI295">
        <v>68627.600000000006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530266</v>
      </c>
      <c r="AQ295">
        <v>0</v>
      </c>
      <c r="AR295">
        <v>0</v>
      </c>
      <c r="AS295">
        <v>1615348954.5117199</v>
      </c>
    </row>
    <row r="296" spans="2:45" x14ac:dyDescent="0.25">
      <c r="B296" s="15" t="str" cm="1">
        <f t="array" ref="B296">INDEX(_xlfn.TEXTSPLIT($J296,"/"),3)</f>
        <v>ECC&amp;0&amp;cPVVE&amp;Ex&amp;Chiller__PumpCtrl</v>
      </c>
      <c r="C296" s="15" t="str" cm="1">
        <f t="array" ref="C296">INDEX(_xlfn.TEXTSPLIT($J296,"/"),2)</f>
        <v>CZ02</v>
      </c>
      <c r="D296" s="34">
        <f>$G$3*H296</f>
        <v>125.36512449999998</v>
      </c>
      <c r="F296" t="str" cm="1">
        <f t="array" ref="F296">INDEX(_xlfn.TEXTSPLIT($J296,"/"),4)</f>
        <v>NE-Chiller-PumpCtrl-Full-Std</v>
      </c>
      <c r="G296">
        <f>$P296</f>
        <v>0.17999299999999999</v>
      </c>
      <c r="H296">
        <f>$G$4*G296</f>
        <v>179.09303499999999</v>
      </c>
      <c r="J296" t="s">
        <v>301</v>
      </c>
      <c r="K296" t="s">
        <v>12</v>
      </c>
      <c r="L296">
        <v>12080.31</v>
      </c>
      <c r="M296">
        <v>34487.19</v>
      </c>
      <c r="P296">
        <v>0.17999299999999999</v>
      </c>
      <c r="Q296">
        <v>0</v>
      </c>
      <c r="R296">
        <v>958849.15</v>
      </c>
      <c r="S296">
        <v>350734.07</v>
      </c>
      <c r="T296">
        <v>0</v>
      </c>
      <c r="U296">
        <v>936314.72</v>
      </c>
      <c r="V296">
        <v>0</v>
      </c>
      <c r="W296">
        <v>344610.07</v>
      </c>
      <c r="X296">
        <v>293045.69</v>
      </c>
      <c r="Y296">
        <v>262300.84000000003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452723.12</v>
      </c>
      <c r="AF296">
        <v>0</v>
      </c>
      <c r="AG296">
        <v>0</v>
      </c>
      <c r="AH296">
        <v>0</v>
      </c>
      <c r="AI296">
        <v>68627.600000000006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486315.51</v>
      </c>
      <c r="AQ296">
        <v>0</v>
      </c>
      <c r="AR296">
        <v>0</v>
      </c>
      <c r="AS296">
        <v>2712453996.6929002</v>
      </c>
    </row>
    <row r="297" spans="2:45" x14ac:dyDescent="0.25">
      <c r="B297" s="15" t="str" cm="1">
        <f t="array" ref="B297">INDEX(_xlfn.TEXTSPLIT($J297,"/"),3)</f>
        <v>ECC&amp;0&amp;cPVVE&amp;Ex&amp;Chiller__PumpCtrl</v>
      </c>
      <c r="C297" s="15" t="str" cm="1">
        <f t="array" ref="C297">INDEX(_xlfn.TEXTSPLIT($J297,"/"),2)</f>
        <v>CZ03</v>
      </c>
      <c r="D297" s="34">
        <f>$G$3*H297</f>
        <v>117.82969099999998</v>
      </c>
      <c r="F297" t="str" cm="1">
        <f t="array" ref="F297">INDEX(_xlfn.TEXTSPLIT($J297,"/"),4)</f>
        <v>NE-Chiller-PumpCtrl-Full-Std</v>
      </c>
      <c r="G297">
        <f>$P297</f>
        <v>0.16917399999999999</v>
      </c>
      <c r="H297">
        <f>$G$4*G297</f>
        <v>168.32812999999999</v>
      </c>
      <c r="J297" t="s">
        <v>286</v>
      </c>
      <c r="K297" t="s">
        <v>13</v>
      </c>
      <c r="L297">
        <v>11354.16</v>
      </c>
      <c r="M297">
        <v>32414.14</v>
      </c>
      <c r="P297">
        <v>0.16917399999999999</v>
      </c>
      <c r="Q297">
        <v>0</v>
      </c>
      <c r="R297">
        <v>729742.33</v>
      </c>
      <c r="S297">
        <v>350734.07</v>
      </c>
      <c r="T297">
        <v>0</v>
      </c>
      <c r="U297">
        <v>936314.72</v>
      </c>
      <c r="V297">
        <v>0</v>
      </c>
      <c r="W297">
        <v>256142.72</v>
      </c>
      <c r="X297">
        <v>291446.92</v>
      </c>
      <c r="Y297">
        <v>270195.55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171260.53</v>
      </c>
      <c r="AF297">
        <v>0</v>
      </c>
      <c r="AG297">
        <v>0</v>
      </c>
      <c r="AH297">
        <v>0</v>
      </c>
      <c r="AI297">
        <v>68627.600000000006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484927.18</v>
      </c>
      <c r="AQ297">
        <v>0</v>
      </c>
      <c r="AR297">
        <v>0</v>
      </c>
      <c r="AS297">
        <v>2230837847.41538</v>
      </c>
    </row>
    <row r="298" spans="2:45" x14ac:dyDescent="0.25">
      <c r="B298" s="15" t="str" cm="1">
        <f t="array" ref="B298">INDEX(_xlfn.TEXTSPLIT($J298,"/"),3)</f>
        <v>ECC&amp;0&amp;cPVVE&amp;Ex&amp;Chiller__PumpCtrl</v>
      </c>
      <c r="C298" s="15" t="str" cm="1">
        <f t="array" ref="C298">INDEX(_xlfn.TEXTSPLIT($J298,"/"),2)</f>
        <v>CZ04</v>
      </c>
      <c r="D298" s="34">
        <f>$G$3*H298</f>
        <v>126.938518</v>
      </c>
      <c r="F298" t="str" cm="1">
        <f t="array" ref="F298">INDEX(_xlfn.TEXTSPLIT($J298,"/"),4)</f>
        <v>NE-Chiller-PumpCtrl-Full-Std</v>
      </c>
      <c r="G298">
        <f>$P298</f>
        <v>0.182252</v>
      </c>
      <c r="H298">
        <f>$G$4*G298</f>
        <v>181.34074000000001</v>
      </c>
      <c r="J298" t="s">
        <v>271</v>
      </c>
      <c r="K298" t="s">
        <v>14</v>
      </c>
      <c r="L298">
        <v>12231.88</v>
      </c>
      <c r="M298">
        <v>34919.870000000003</v>
      </c>
      <c r="P298">
        <v>0.182252</v>
      </c>
      <c r="Q298">
        <v>0</v>
      </c>
      <c r="R298">
        <v>1052355.0900000001</v>
      </c>
      <c r="S298">
        <v>350734.07</v>
      </c>
      <c r="T298">
        <v>0</v>
      </c>
      <c r="U298">
        <v>936314.72</v>
      </c>
      <c r="V298">
        <v>0</v>
      </c>
      <c r="W298">
        <v>302795.31</v>
      </c>
      <c r="X298">
        <v>314908.24</v>
      </c>
      <c r="Y298">
        <v>293876.53000000003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241280.04</v>
      </c>
      <c r="AF298">
        <v>0</v>
      </c>
      <c r="AG298">
        <v>0</v>
      </c>
      <c r="AH298">
        <v>0</v>
      </c>
      <c r="AI298">
        <v>68627.600000000006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467599.86</v>
      </c>
      <c r="AQ298">
        <v>0</v>
      </c>
      <c r="AR298">
        <v>0</v>
      </c>
      <c r="AS298">
        <v>2640764580.6796098</v>
      </c>
    </row>
    <row r="299" spans="2:45" x14ac:dyDescent="0.25">
      <c r="B299" s="15" t="str" cm="1">
        <f t="array" ref="B299">INDEX(_xlfn.TEXTSPLIT($J299,"/"),3)</f>
        <v>ECC&amp;0&amp;cPVVE&amp;Ex&amp;Chiller__PumpCtrl</v>
      </c>
      <c r="C299" s="15" t="str" cm="1">
        <f t="array" ref="C299">INDEX(_xlfn.TEXTSPLIT($J299,"/"),2)</f>
        <v>CZ05</v>
      </c>
      <c r="D299" s="34">
        <f>$G$3*H299</f>
        <v>111.37383249999998</v>
      </c>
      <c r="F299" t="str" cm="1">
        <f t="array" ref="F299">INDEX(_xlfn.TEXTSPLIT($J299,"/"),4)</f>
        <v>NE-Chiller-PumpCtrl-Full-Std</v>
      </c>
      <c r="G299">
        <f>$P299</f>
        <v>0.15990499999999999</v>
      </c>
      <c r="H299">
        <f>$G$4*G299</f>
        <v>159.10547499999998</v>
      </c>
      <c r="J299" t="s">
        <v>250</v>
      </c>
      <c r="K299" t="s">
        <v>15</v>
      </c>
      <c r="L299">
        <v>10732.08</v>
      </c>
      <c r="M299">
        <v>30638.23</v>
      </c>
      <c r="P299">
        <v>0.15990499999999999</v>
      </c>
      <c r="Q299">
        <v>0</v>
      </c>
      <c r="R299">
        <v>751853.37</v>
      </c>
      <c r="S299">
        <v>350734.07</v>
      </c>
      <c r="T299">
        <v>0</v>
      </c>
      <c r="U299">
        <v>936314.72</v>
      </c>
      <c r="V299">
        <v>0</v>
      </c>
      <c r="W299">
        <v>266586.45</v>
      </c>
      <c r="X299">
        <v>279146.83</v>
      </c>
      <c r="Y299">
        <v>256872.54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174554.05</v>
      </c>
      <c r="AF299">
        <v>0</v>
      </c>
      <c r="AG299">
        <v>0</v>
      </c>
      <c r="AH299">
        <v>0</v>
      </c>
      <c r="AI299">
        <v>68627.600000000006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485038.18</v>
      </c>
      <c r="AQ299">
        <v>0</v>
      </c>
      <c r="AR299">
        <v>0</v>
      </c>
      <c r="AS299">
        <v>1437974802.8610899</v>
      </c>
    </row>
    <row r="300" spans="2:45" x14ac:dyDescent="0.25">
      <c r="B300" s="15" t="str" cm="1">
        <f t="array" ref="B300">INDEX(_xlfn.TEXTSPLIT($J300,"/"),3)</f>
        <v>ECC&amp;0&amp;cPVVE&amp;Ex&amp;Chiller__PumpCtrl</v>
      </c>
      <c r="C300" s="15" t="str" cm="1">
        <f t="array" ref="C300">INDEX(_xlfn.TEXTSPLIT($J300,"/"),2)</f>
        <v>CZ06</v>
      </c>
      <c r="D300" s="34">
        <f>$G$3*H300</f>
        <v>116.12674849999999</v>
      </c>
      <c r="F300" t="str" cm="1">
        <f t="array" ref="F300">INDEX(_xlfn.TEXTSPLIT($J300,"/"),4)</f>
        <v>NE-Chiller-PumpCtrl-Full-Std</v>
      </c>
      <c r="G300">
        <f>$P300</f>
        <v>0.16672899999999999</v>
      </c>
      <c r="H300">
        <f>$G$4*G300</f>
        <v>165.895355</v>
      </c>
      <c r="J300" t="s">
        <v>238</v>
      </c>
      <c r="K300" t="s">
        <v>16</v>
      </c>
      <c r="L300">
        <v>11190.07</v>
      </c>
      <c r="M300">
        <v>31945.7</v>
      </c>
      <c r="P300">
        <v>0.16672899999999999</v>
      </c>
      <c r="Q300">
        <v>0</v>
      </c>
      <c r="R300">
        <v>1212947.3400000001</v>
      </c>
      <c r="S300">
        <v>350734.07</v>
      </c>
      <c r="T300">
        <v>0</v>
      </c>
      <c r="U300">
        <v>936314.72</v>
      </c>
      <c r="V300">
        <v>0</v>
      </c>
      <c r="W300">
        <v>304531.81</v>
      </c>
      <c r="X300">
        <v>315745.71000000002</v>
      </c>
      <c r="Y300">
        <v>297038.83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102830.32</v>
      </c>
      <c r="AF300">
        <v>0</v>
      </c>
      <c r="AG300">
        <v>0</v>
      </c>
      <c r="AH300">
        <v>0</v>
      </c>
      <c r="AI300">
        <v>68627.600000000006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446568.6</v>
      </c>
      <c r="AQ300">
        <v>0</v>
      </c>
      <c r="AR300">
        <v>0</v>
      </c>
      <c r="AS300">
        <v>1430135714.3174801</v>
      </c>
    </row>
    <row r="301" spans="2:45" x14ac:dyDescent="0.25">
      <c r="B301" s="15" t="str" cm="1">
        <f t="array" ref="B301">INDEX(_xlfn.TEXTSPLIT($J301,"/"),3)</f>
        <v>ECC&amp;0&amp;cPVVE&amp;Ex&amp;Chiller__PumpCtrl</v>
      </c>
      <c r="C301" s="15" t="str" cm="1">
        <f t="array" ref="C301">INDEX(_xlfn.TEXTSPLIT($J301,"/"),2)</f>
        <v>CZ07</v>
      </c>
      <c r="D301" s="34">
        <f>$G$3*H301</f>
        <v>119.09314199999999</v>
      </c>
      <c r="F301" t="str" cm="1">
        <f t="array" ref="F301">INDEX(_xlfn.TEXTSPLIT($J301,"/"),4)</f>
        <v>NE-Chiller-PumpCtrl-Full-Std</v>
      </c>
      <c r="G301">
        <f>$P301</f>
        <v>0.170988</v>
      </c>
      <c r="H301">
        <f>$G$4*G301</f>
        <v>170.13306</v>
      </c>
      <c r="J301" t="s">
        <v>222</v>
      </c>
      <c r="K301" t="s">
        <v>17</v>
      </c>
      <c r="L301">
        <v>11475.91</v>
      </c>
      <c r="M301">
        <v>32761.73</v>
      </c>
      <c r="P301">
        <v>0.170988</v>
      </c>
      <c r="Q301">
        <v>0</v>
      </c>
      <c r="R301">
        <v>1327208.04</v>
      </c>
      <c r="S301">
        <v>350734.07</v>
      </c>
      <c r="T301">
        <v>0</v>
      </c>
      <c r="U301">
        <v>936314.72</v>
      </c>
      <c r="V301">
        <v>0</v>
      </c>
      <c r="W301">
        <v>325814.03000000003</v>
      </c>
      <c r="X301">
        <v>323279.40000000002</v>
      </c>
      <c r="Y301">
        <v>304095.23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166102.47</v>
      </c>
      <c r="AF301">
        <v>0</v>
      </c>
      <c r="AG301">
        <v>0</v>
      </c>
      <c r="AH301">
        <v>0</v>
      </c>
      <c r="AI301">
        <v>68627.600000000006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440535.58</v>
      </c>
      <c r="AQ301">
        <v>0</v>
      </c>
      <c r="AR301">
        <v>0</v>
      </c>
      <c r="AS301">
        <v>1721510964.1675899</v>
      </c>
    </row>
    <row r="302" spans="2:45" x14ac:dyDescent="0.25">
      <c r="B302" s="15" t="str" cm="1">
        <f t="array" ref="B302">INDEX(_xlfn.TEXTSPLIT($J302,"/"),3)</f>
        <v>ECC&amp;0&amp;cPVVE&amp;Ex&amp;Chiller__PumpCtrl</v>
      </c>
      <c r="C302" s="15" t="str" cm="1">
        <f t="array" ref="C302">INDEX(_xlfn.TEXTSPLIT($J302,"/"),2)</f>
        <v>CZ08</v>
      </c>
      <c r="D302" s="34">
        <f>$G$3*H302</f>
        <v>127.83073449999998</v>
      </c>
      <c r="F302" t="str" cm="1">
        <f t="array" ref="F302">INDEX(_xlfn.TEXTSPLIT($J302,"/"),4)</f>
        <v>NE-Chiller-PumpCtrl-Full-Std</v>
      </c>
      <c r="G302">
        <f>$P302</f>
        <v>0.183533</v>
      </c>
      <c r="H302">
        <f>$G$4*G302</f>
        <v>182.61533499999999</v>
      </c>
      <c r="J302" t="s">
        <v>208</v>
      </c>
      <c r="K302" t="s">
        <v>18</v>
      </c>
      <c r="L302">
        <v>12317.89</v>
      </c>
      <c r="M302">
        <v>35165.43</v>
      </c>
      <c r="P302">
        <v>0.183533</v>
      </c>
      <c r="Q302">
        <v>0</v>
      </c>
      <c r="R302">
        <v>1429957.29</v>
      </c>
      <c r="S302">
        <v>350734.07</v>
      </c>
      <c r="T302">
        <v>0</v>
      </c>
      <c r="U302">
        <v>936314.72</v>
      </c>
      <c r="V302">
        <v>0</v>
      </c>
      <c r="W302">
        <v>324844.38</v>
      </c>
      <c r="X302">
        <v>341239.51</v>
      </c>
      <c r="Y302">
        <v>319990.17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207737.42</v>
      </c>
      <c r="AF302">
        <v>0</v>
      </c>
      <c r="AG302">
        <v>0</v>
      </c>
      <c r="AH302">
        <v>0</v>
      </c>
      <c r="AI302">
        <v>68627.600000000006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439720.13</v>
      </c>
      <c r="AQ302">
        <v>0</v>
      </c>
      <c r="AR302">
        <v>0</v>
      </c>
      <c r="AS302">
        <v>1716578056.1805799</v>
      </c>
    </row>
    <row r="303" spans="2:45" x14ac:dyDescent="0.25">
      <c r="B303" s="15" t="str" cm="1">
        <f t="array" ref="B303">INDEX(_xlfn.TEXTSPLIT($J303,"/"),3)</f>
        <v>ECC&amp;0&amp;cPVVE&amp;Ex&amp;Chiller__PumpCtrl</v>
      </c>
      <c r="C303" s="15" t="str" cm="1">
        <f t="array" ref="C303">INDEX(_xlfn.TEXTSPLIT($J303,"/"),2)</f>
        <v>CZ09</v>
      </c>
      <c r="D303" s="34">
        <f>$G$3*H303</f>
        <v>129.58661099999998</v>
      </c>
      <c r="F303" t="str" cm="1">
        <f t="array" ref="F303">INDEX(_xlfn.TEXTSPLIT($J303,"/"),4)</f>
        <v>NE-Chiller-PumpCtrl-Full-Std</v>
      </c>
      <c r="G303">
        <f>$P303</f>
        <v>0.186054</v>
      </c>
      <c r="H303">
        <f>$G$4*G303</f>
        <v>185.12372999999999</v>
      </c>
      <c r="J303" t="s">
        <v>192</v>
      </c>
      <c r="K303" t="s">
        <v>19</v>
      </c>
      <c r="L303">
        <v>12487.1</v>
      </c>
      <c r="M303">
        <v>35648.49</v>
      </c>
      <c r="P303">
        <v>0.186054</v>
      </c>
      <c r="Q303">
        <v>0</v>
      </c>
      <c r="R303">
        <v>1568611.96</v>
      </c>
      <c r="S303">
        <v>350734.07</v>
      </c>
      <c r="T303">
        <v>0</v>
      </c>
      <c r="U303">
        <v>936314.72</v>
      </c>
      <c r="V303">
        <v>0</v>
      </c>
      <c r="W303">
        <v>404628.98</v>
      </c>
      <c r="X303">
        <v>349495.39</v>
      </c>
      <c r="Y303">
        <v>327971.84000000003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381193.14</v>
      </c>
      <c r="AF303">
        <v>0</v>
      </c>
      <c r="AG303">
        <v>0</v>
      </c>
      <c r="AH303">
        <v>0</v>
      </c>
      <c r="AI303">
        <v>68627.600000000006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433643.07</v>
      </c>
      <c r="AQ303">
        <v>0</v>
      </c>
      <c r="AR303">
        <v>0</v>
      </c>
      <c r="AS303">
        <v>1910288323.4442201</v>
      </c>
    </row>
    <row r="304" spans="2:45" x14ac:dyDescent="0.25">
      <c r="B304" s="15" t="str" cm="1">
        <f t="array" ref="B304">INDEX(_xlfn.TEXTSPLIT($J304,"/"),3)</f>
        <v>ECC&amp;0&amp;cPVVE&amp;Ex&amp;Chiller__PumpCtrl</v>
      </c>
      <c r="C304" s="15" t="str" cm="1">
        <f t="array" ref="C304">INDEX(_xlfn.TEXTSPLIT($J304,"/"),2)</f>
        <v>CZ10</v>
      </c>
      <c r="D304" s="34">
        <f>$G$3*H304</f>
        <v>139.01931049999999</v>
      </c>
      <c r="F304" t="str" cm="1">
        <f t="array" ref="F304">INDEX(_xlfn.TEXTSPLIT($J304,"/"),4)</f>
        <v>NE-Chiller-PumpCtrl-Full-Std</v>
      </c>
      <c r="G304">
        <f>$P304</f>
        <v>0.199597</v>
      </c>
      <c r="H304">
        <f>$G$4*G304</f>
        <v>198.59901500000001</v>
      </c>
      <c r="J304" t="s">
        <v>175</v>
      </c>
      <c r="K304" t="s">
        <v>20</v>
      </c>
      <c r="L304">
        <v>13395.99</v>
      </c>
      <c r="M304">
        <v>38243.21</v>
      </c>
      <c r="P304">
        <v>0.199597</v>
      </c>
      <c r="Q304">
        <v>0</v>
      </c>
      <c r="R304">
        <v>1566176.55</v>
      </c>
      <c r="S304">
        <v>350734.07</v>
      </c>
      <c r="T304">
        <v>0</v>
      </c>
      <c r="U304">
        <v>936314.72</v>
      </c>
      <c r="V304">
        <v>0</v>
      </c>
      <c r="W304">
        <v>376309.04</v>
      </c>
      <c r="X304">
        <v>355847.71</v>
      </c>
      <c r="Y304">
        <v>328670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340961.11</v>
      </c>
      <c r="AF304">
        <v>0</v>
      </c>
      <c r="AG304">
        <v>0</v>
      </c>
      <c r="AH304">
        <v>0</v>
      </c>
      <c r="AI304">
        <v>68627.600000000006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428588.69</v>
      </c>
      <c r="AQ304">
        <v>0</v>
      </c>
      <c r="AR304">
        <v>0</v>
      </c>
      <c r="AS304">
        <v>2853248834.88305</v>
      </c>
    </row>
    <row r="305" spans="2:45" x14ac:dyDescent="0.25">
      <c r="B305" s="15" t="str" cm="1">
        <f t="array" ref="B305">INDEX(_xlfn.TEXTSPLIT($J305,"/"),3)</f>
        <v>ECC&amp;0&amp;cPVVE&amp;Ex&amp;Chiller__PumpCtrl</v>
      </c>
      <c r="C305" s="15" t="str" cm="1">
        <f t="array" ref="C305">INDEX(_xlfn.TEXTSPLIT($J305,"/"),2)</f>
        <v>CZ11</v>
      </c>
      <c r="D305" s="34">
        <f>$G$3*H305</f>
        <v>140.53907349999997</v>
      </c>
      <c r="F305" t="str" cm="1">
        <f t="array" ref="F305">INDEX(_xlfn.TEXTSPLIT($J305,"/"),4)</f>
        <v>NE-Chiller-PumpCtrl-Full-Std</v>
      </c>
      <c r="G305">
        <f>$P305</f>
        <v>0.20177899999999999</v>
      </c>
      <c r="H305">
        <f>$G$4*G305</f>
        <v>200.77010499999997</v>
      </c>
      <c r="J305" t="s">
        <v>156</v>
      </c>
      <c r="K305" t="s">
        <v>21</v>
      </c>
      <c r="L305">
        <v>13542.45</v>
      </c>
      <c r="M305">
        <v>38661.339999999997</v>
      </c>
      <c r="P305">
        <v>0.20177899999999999</v>
      </c>
      <c r="Q305">
        <v>0</v>
      </c>
      <c r="R305">
        <v>1412623.31</v>
      </c>
      <c r="S305">
        <v>350734.07</v>
      </c>
      <c r="T305">
        <v>0</v>
      </c>
      <c r="U305">
        <v>936314.72</v>
      </c>
      <c r="V305">
        <v>0</v>
      </c>
      <c r="W305">
        <v>415394.84</v>
      </c>
      <c r="X305">
        <v>337751.16</v>
      </c>
      <c r="Y305">
        <v>305855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451803.81</v>
      </c>
      <c r="AF305">
        <v>0</v>
      </c>
      <c r="AG305">
        <v>0</v>
      </c>
      <c r="AH305">
        <v>0</v>
      </c>
      <c r="AI305">
        <v>68627.600000000006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437501.61</v>
      </c>
      <c r="AQ305">
        <v>0</v>
      </c>
      <c r="AR305">
        <v>0</v>
      </c>
      <c r="AS305">
        <v>2926915090.6012402</v>
      </c>
    </row>
    <row r="306" spans="2:45" x14ac:dyDescent="0.25">
      <c r="B306" s="15" t="str" cm="1">
        <f t="array" ref="B306">INDEX(_xlfn.TEXTSPLIT($J306,"/"),3)</f>
        <v>ECC&amp;0&amp;cPVVE&amp;Ex&amp;Chiller__PumpCtrl</v>
      </c>
      <c r="C306" s="15" t="str" cm="1">
        <f t="array" ref="C306">INDEX(_xlfn.TEXTSPLIT($J306,"/"),2)</f>
        <v>CZ12</v>
      </c>
      <c r="D306" s="34">
        <f>$G$3*H306</f>
        <v>137.0927915</v>
      </c>
      <c r="F306" t="str" cm="1">
        <f t="array" ref="F306">INDEX(_xlfn.TEXTSPLIT($J306,"/"),4)</f>
        <v>NE-Chiller-PumpCtrl-Full-Std</v>
      </c>
      <c r="G306">
        <f>$P306</f>
        <v>0.19683100000000001</v>
      </c>
      <c r="H306">
        <f>$G$4*G306</f>
        <v>195.846845</v>
      </c>
      <c r="J306" t="s">
        <v>142</v>
      </c>
      <c r="K306" t="s">
        <v>22</v>
      </c>
      <c r="L306">
        <v>13210.35</v>
      </c>
      <c r="M306">
        <v>37713.24</v>
      </c>
      <c r="P306">
        <v>0.19683100000000001</v>
      </c>
      <c r="Q306">
        <v>0</v>
      </c>
      <c r="R306">
        <v>1414479.46</v>
      </c>
      <c r="S306">
        <v>350734.07</v>
      </c>
      <c r="T306">
        <v>0</v>
      </c>
      <c r="U306">
        <v>936314.72</v>
      </c>
      <c r="V306">
        <v>0</v>
      </c>
      <c r="W306">
        <v>459700.04</v>
      </c>
      <c r="X306">
        <v>332815.14</v>
      </c>
      <c r="Y306">
        <v>300040.14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641139.25</v>
      </c>
      <c r="AF306">
        <v>0</v>
      </c>
      <c r="AG306">
        <v>0</v>
      </c>
      <c r="AH306">
        <v>0</v>
      </c>
      <c r="AI306">
        <v>68627.600000000006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450768.63</v>
      </c>
      <c r="AQ306">
        <v>0</v>
      </c>
      <c r="AR306">
        <v>0</v>
      </c>
      <c r="AS306">
        <v>3014471618.8907399</v>
      </c>
    </row>
    <row r="307" spans="2:45" x14ac:dyDescent="0.25">
      <c r="B307" s="15" t="str" cm="1">
        <f t="array" ref="B307">INDEX(_xlfn.TEXTSPLIT($J307,"/"),3)</f>
        <v>ECC&amp;0&amp;cPVVE&amp;Ex&amp;Chiller__PumpCtrl</v>
      </c>
      <c r="C307" s="15" t="str" cm="1">
        <f t="array" ref="C307">INDEX(_xlfn.TEXTSPLIT($J307,"/"),2)</f>
        <v>CZ13</v>
      </c>
      <c r="D307" s="34">
        <f>$G$3*H307</f>
        <v>141.47516949999999</v>
      </c>
      <c r="F307" t="str" cm="1">
        <f t="array" ref="F307">INDEX(_xlfn.TEXTSPLIT($J307,"/"),4)</f>
        <v>NE-Chiller-PumpCtrl-Full-Std</v>
      </c>
      <c r="G307">
        <f>$P307</f>
        <v>0.203123</v>
      </c>
      <c r="H307">
        <f>$G$4*G307</f>
        <v>202.10738499999999</v>
      </c>
      <c r="J307" t="s">
        <v>124</v>
      </c>
      <c r="K307" t="s">
        <v>23</v>
      </c>
      <c r="L307">
        <v>13632.7</v>
      </c>
      <c r="M307">
        <v>38918.980000000003</v>
      </c>
      <c r="P307">
        <v>0.203123</v>
      </c>
      <c r="Q307">
        <v>0</v>
      </c>
      <c r="R307">
        <v>1583744.17</v>
      </c>
      <c r="S307">
        <v>350734.07</v>
      </c>
      <c r="T307">
        <v>0</v>
      </c>
      <c r="U307">
        <v>936314.72</v>
      </c>
      <c r="V307">
        <v>0</v>
      </c>
      <c r="W307">
        <v>419976.82</v>
      </c>
      <c r="X307">
        <v>355528.33</v>
      </c>
      <c r="Y307">
        <v>325296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389960.24</v>
      </c>
      <c r="AF307">
        <v>0</v>
      </c>
      <c r="AG307">
        <v>0</v>
      </c>
      <c r="AH307">
        <v>0</v>
      </c>
      <c r="AI307">
        <v>68627.600000000006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424533.3</v>
      </c>
      <c r="AQ307">
        <v>0</v>
      </c>
      <c r="AR307">
        <v>0</v>
      </c>
      <c r="AS307">
        <v>3113350640.7620001</v>
      </c>
    </row>
    <row r="308" spans="2:45" x14ac:dyDescent="0.25">
      <c r="B308" s="15" t="str" cm="1">
        <f t="array" ref="B308">INDEX(_xlfn.TEXTSPLIT($J308,"/"),3)</f>
        <v>ECC&amp;0&amp;cPVVE&amp;Ex&amp;Chiller__PumpCtrl</v>
      </c>
      <c r="C308" s="15" t="str" cm="1">
        <f t="array" ref="C308">INDEX(_xlfn.TEXTSPLIT($J308,"/"),2)</f>
        <v>CZ14</v>
      </c>
      <c r="D308" s="34">
        <f>$G$3*H308</f>
        <v>141.17079899999999</v>
      </c>
      <c r="F308" t="str" cm="1">
        <f t="array" ref="F308">INDEX(_xlfn.TEXTSPLIT($J308,"/"),4)</f>
        <v>NE-Chiller-PumpCtrl-Full-Std</v>
      </c>
      <c r="G308">
        <f>$P308</f>
        <v>0.20268600000000001</v>
      </c>
      <c r="H308">
        <f>$G$4*G308</f>
        <v>201.67257000000001</v>
      </c>
      <c r="J308" t="s">
        <v>110</v>
      </c>
      <c r="K308" t="s">
        <v>24</v>
      </c>
      <c r="L308">
        <v>13603.35</v>
      </c>
      <c r="M308">
        <v>38835.19</v>
      </c>
      <c r="P308">
        <v>0.20268600000000001</v>
      </c>
      <c r="Q308">
        <v>0</v>
      </c>
      <c r="R308">
        <v>1602828.5</v>
      </c>
      <c r="S308">
        <v>350734.07</v>
      </c>
      <c r="T308">
        <v>0</v>
      </c>
      <c r="U308">
        <v>936314.72</v>
      </c>
      <c r="V308">
        <v>0</v>
      </c>
      <c r="W308">
        <v>472883.81</v>
      </c>
      <c r="X308">
        <v>376914.8</v>
      </c>
      <c r="Y308">
        <v>326649.93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385069.44</v>
      </c>
      <c r="AF308">
        <v>0</v>
      </c>
      <c r="AG308">
        <v>0</v>
      </c>
      <c r="AH308">
        <v>0</v>
      </c>
      <c r="AI308">
        <v>68627.600000000006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401659.96</v>
      </c>
      <c r="AQ308">
        <v>0</v>
      </c>
      <c r="AR308">
        <v>0</v>
      </c>
      <c r="AS308">
        <v>2959232760.5162101</v>
      </c>
    </row>
    <row r="309" spans="2:45" x14ac:dyDescent="0.25">
      <c r="B309" s="15" t="str" cm="1">
        <f t="array" ref="B309">INDEX(_xlfn.TEXTSPLIT($J309,"/"),3)</f>
        <v>ECC&amp;0&amp;cPVVE&amp;Ex&amp;Chiller__PumpCtrl</v>
      </c>
      <c r="C309" s="15" t="str" cm="1">
        <f t="array" ref="C309">INDEX(_xlfn.TEXTSPLIT($J309,"/"),2)</f>
        <v>CZ15</v>
      </c>
      <c r="D309" s="34">
        <f>$G$3*H309</f>
        <v>146.13614749999999</v>
      </c>
      <c r="F309" t="str" cm="1">
        <f t="array" ref="F309">INDEX(_xlfn.TEXTSPLIT($J309,"/"),4)</f>
        <v>NE-Chiller-PumpCtrl-Full-Std</v>
      </c>
      <c r="G309">
        <f>$P309</f>
        <v>0.209815</v>
      </c>
      <c r="H309">
        <f>$G$4*G309</f>
        <v>208.76592500000001</v>
      </c>
      <c r="J309" t="s">
        <v>92</v>
      </c>
      <c r="K309" t="s">
        <v>25</v>
      </c>
      <c r="L309">
        <v>14081.83</v>
      </c>
      <c r="M309">
        <v>40201.160000000003</v>
      </c>
      <c r="P309">
        <v>0.209815</v>
      </c>
      <c r="Q309">
        <v>0</v>
      </c>
      <c r="R309">
        <v>2329438.9900000002</v>
      </c>
      <c r="S309">
        <v>350734.07</v>
      </c>
      <c r="T309">
        <v>0</v>
      </c>
      <c r="U309">
        <v>936314.72</v>
      </c>
      <c r="V309">
        <v>0</v>
      </c>
      <c r="W309">
        <v>648412.54</v>
      </c>
      <c r="X309">
        <v>413338.84</v>
      </c>
      <c r="Y309">
        <v>380803.4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905455.41</v>
      </c>
      <c r="AF309">
        <v>0</v>
      </c>
      <c r="AG309">
        <v>0</v>
      </c>
      <c r="AH309">
        <v>0</v>
      </c>
      <c r="AI309">
        <v>68627.600000000006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356253.98</v>
      </c>
      <c r="AQ309">
        <v>0</v>
      </c>
      <c r="AR309">
        <v>0</v>
      </c>
      <c r="AS309">
        <v>3342317486.2094402</v>
      </c>
    </row>
    <row r="310" spans="2:45" x14ac:dyDescent="0.25">
      <c r="B310" s="15" t="str" cm="1">
        <f t="array" ref="B310">INDEX(_xlfn.TEXTSPLIT($J310,"/"),3)</f>
        <v>ECC&amp;0&amp;cPVVE&amp;Ex&amp;Chiller__PumpCtrl</v>
      </c>
      <c r="C310" s="15" t="str" cm="1">
        <f t="array" ref="C310">INDEX(_xlfn.TEXTSPLIT($J310,"/"),2)</f>
        <v>CZ16</v>
      </c>
      <c r="D310" s="34">
        <f>$G$3*H310</f>
        <v>123.95053299999999</v>
      </c>
      <c r="F310" t="str" cm="1">
        <f t="array" ref="F310">INDEX(_xlfn.TEXTSPLIT($J310,"/"),4)</f>
        <v>NE-Chiller-PumpCtrl-Full-Std</v>
      </c>
      <c r="G310">
        <f>$P310</f>
        <v>0.17796200000000001</v>
      </c>
      <c r="H310">
        <f>$G$4*G310</f>
        <v>177.07219000000001</v>
      </c>
      <c r="J310" t="s">
        <v>81</v>
      </c>
      <c r="K310" t="s">
        <v>26</v>
      </c>
      <c r="L310">
        <v>11944</v>
      </c>
      <c r="M310">
        <v>34098.03</v>
      </c>
      <c r="P310">
        <v>0.17796200000000001</v>
      </c>
      <c r="Q310">
        <v>0</v>
      </c>
      <c r="R310">
        <v>1156077.73</v>
      </c>
      <c r="S310">
        <v>350734.07</v>
      </c>
      <c r="T310">
        <v>0</v>
      </c>
      <c r="U310">
        <v>936314.72</v>
      </c>
      <c r="V310">
        <v>0</v>
      </c>
      <c r="W310">
        <v>573970.5</v>
      </c>
      <c r="X310">
        <v>319589.51</v>
      </c>
      <c r="Y310">
        <v>223343.81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790912.52</v>
      </c>
      <c r="AF310">
        <v>0</v>
      </c>
      <c r="AG310">
        <v>0</v>
      </c>
      <c r="AH310">
        <v>0</v>
      </c>
      <c r="AI310">
        <v>68627.600000000006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475864.26</v>
      </c>
      <c r="AQ310">
        <v>0</v>
      </c>
      <c r="AR310">
        <v>0</v>
      </c>
      <c r="AS310">
        <v>1553111871.39235</v>
      </c>
    </row>
    <row r="311" spans="2:45" x14ac:dyDescent="0.25">
      <c r="B311" s="15" t="str" cm="1">
        <f t="array" ref="B311">INDEX(_xlfn.TEXTSPLIT($J311,"/"),3)</f>
        <v>ECC&amp;0&amp;cPVVE&amp;New&amp;Chiller__PumpCtrl</v>
      </c>
      <c r="C311" s="15" t="str" cm="1">
        <f t="array" ref="C311">INDEX(_xlfn.TEXTSPLIT($J311,"/"),2)</f>
        <v>CZ01</v>
      </c>
      <c r="D311" s="34">
        <f>$G$3*H311</f>
        <v>75.486669999999989</v>
      </c>
      <c r="F311" t="str" cm="1">
        <f t="array" ref="F311">INDEX(_xlfn.TEXTSPLIT($J311,"/"),4)</f>
        <v>NE-Chiller-PumpCtrl-Full-Std</v>
      </c>
      <c r="G311">
        <f>$P311</f>
        <v>0.10838</v>
      </c>
      <c r="H311">
        <f>$G$4*G311</f>
        <v>107.8381</v>
      </c>
      <c r="J311" t="s">
        <v>574</v>
      </c>
      <c r="K311" t="s">
        <v>11</v>
      </c>
      <c r="L311">
        <v>7273.96</v>
      </c>
      <c r="M311">
        <v>20765.89</v>
      </c>
      <c r="P311">
        <v>0.10838</v>
      </c>
      <c r="Q311">
        <v>0</v>
      </c>
      <c r="R311">
        <v>253085.13</v>
      </c>
      <c r="S311">
        <v>163686.57</v>
      </c>
      <c r="T311">
        <v>0</v>
      </c>
      <c r="U311">
        <v>936314.72</v>
      </c>
      <c r="V311">
        <v>0</v>
      </c>
      <c r="W311">
        <v>225586.6</v>
      </c>
      <c r="X311">
        <v>173720.03</v>
      </c>
      <c r="Y311">
        <v>160771.15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362798.7</v>
      </c>
      <c r="AF311">
        <v>0</v>
      </c>
      <c r="AG311">
        <v>0</v>
      </c>
      <c r="AH311">
        <v>0</v>
      </c>
      <c r="AI311">
        <v>68627.600000000006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530225.93999999994</v>
      </c>
      <c r="AQ311">
        <v>0</v>
      </c>
      <c r="AR311">
        <v>0</v>
      </c>
      <c r="AS311">
        <v>1323484030.74508</v>
      </c>
    </row>
    <row r="312" spans="2:45" x14ac:dyDescent="0.25">
      <c r="B312" s="15" t="str" cm="1">
        <f t="array" ref="B312">INDEX(_xlfn.TEXTSPLIT($J312,"/"),3)</f>
        <v>ECC&amp;0&amp;cPVVE&amp;New&amp;Chiller__PumpCtrl</v>
      </c>
      <c r="C312" s="15" t="str" cm="1">
        <f t="array" ref="C312">INDEX(_xlfn.TEXTSPLIT($J312,"/"),2)</f>
        <v>CZ02</v>
      </c>
      <c r="D312" s="34">
        <f>$G$3*H312</f>
        <v>105.16732099999999</v>
      </c>
      <c r="F312" t="str" cm="1">
        <f t="array" ref="F312">INDEX(_xlfn.TEXTSPLIT($J312,"/"),4)</f>
        <v>NE-Chiller-PumpCtrl-Full-Std</v>
      </c>
      <c r="G312">
        <f>$P312</f>
        <v>0.15099399999999999</v>
      </c>
      <c r="H312">
        <f>$G$4*G312</f>
        <v>150.23902999999999</v>
      </c>
      <c r="J312" t="s">
        <v>561</v>
      </c>
      <c r="K312" t="s">
        <v>12</v>
      </c>
      <c r="L312">
        <v>10134.02</v>
      </c>
      <c r="M312">
        <v>28930.86</v>
      </c>
      <c r="P312">
        <v>0.15099399999999999</v>
      </c>
      <c r="Q312">
        <v>0</v>
      </c>
      <c r="R312">
        <v>741941.88</v>
      </c>
      <c r="S312">
        <v>163686.57</v>
      </c>
      <c r="T312">
        <v>0</v>
      </c>
      <c r="U312">
        <v>936314.72</v>
      </c>
      <c r="V312">
        <v>0</v>
      </c>
      <c r="W312">
        <v>316365.01</v>
      </c>
      <c r="X312">
        <v>214378.9</v>
      </c>
      <c r="Y312">
        <v>190602.58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510256.06</v>
      </c>
      <c r="AF312">
        <v>0</v>
      </c>
      <c r="AG312">
        <v>0</v>
      </c>
      <c r="AH312">
        <v>0</v>
      </c>
      <c r="AI312">
        <v>68627.600000000006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486274.66</v>
      </c>
      <c r="AQ312">
        <v>0</v>
      </c>
      <c r="AR312">
        <v>0</v>
      </c>
      <c r="AS312">
        <v>2264190347.3940802</v>
      </c>
    </row>
    <row r="313" spans="2:45" x14ac:dyDescent="0.25">
      <c r="B313" s="15" t="str" cm="1">
        <f t="array" ref="B313">INDEX(_xlfn.TEXTSPLIT($J313,"/"),3)</f>
        <v>ECC&amp;0&amp;cPVVE&amp;New&amp;Chiller__PumpCtrl</v>
      </c>
      <c r="C313" s="15" t="str" cm="1">
        <f t="array" ref="C313">INDEX(_xlfn.TEXTSPLIT($J313,"/"),2)</f>
        <v>CZ03</v>
      </c>
      <c r="D313" s="34">
        <f>$G$3*H313</f>
        <v>97.587311499999998</v>
      </c>
      <c r="F313" t="str" cm="1">
        <f t="array" ref="F313">INDEX(_xlfn.TEXTSPLIT($J313,"/"),4)</f>
        <v>NE-Chiller-PumpCtrl-Full-Std</v>
      </c>
      <c r="G313">
        <f>$P313</f>
        <v>0.14011100000000001</v>
      </c>
      <c r="H313">
        <f>$G$4*G313</f>
        <v>139.41044500000001</v>
      </c>
      <c r="J313" t="s">
        <v>542</v>
      </c>
      <c r="K313" t="s">
        <v>13</v>
      </c>
      <c r="L313">
        <v>9403.6</v>
      </c>
      <c r="M313">
        <v>26845.64</v>
      </c>
      <c r="P313">
        <v>0.14011100000000001</v>
      </c>
      <c r="Q313">
        <v>0</v>
      </c>
      <c r="R313">
        <v>575825.32999999996</v>
      </c>
      <c r="S313">
        <v>163686.57</v>
      </c>
      <c r="T313">
        <v>0</v>
      </c>
      <c r="U313">
        <v>936314.72</v>
      </c>
      <c r="V313">
        <v>0</v>
      </c>
      <c r="W313">
        <v>230518.04</v>
      </c>
      <c r="X313">
        <v>213318.14</v>
      </c>
      <c r="Y313">
        <v>197883.68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232306.83</v>
      </c>
      <c r="AF313">
        <v>0</v>
      </c>
      <c r="AG313">
        <v>0</v>
      </c>
      <c r="AH313">
        <v>0</v>
      </c>
      <c r="AI313">
        <v>68627.600000000006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484904.26</v>
      </c>
      <c r="AQ313">
        <v>0</v>
      </c>
      <c r="AR313">
        <v>0</v>
      </c>
      <c r="AS313">
        <v>1834350600.0276201</v>
      </c>
    </row>
    <row r="314" spans="2:45" x14ac:dyDescent="0.25">
      <c r="B314" s="15" t="str" cm="1">
        <f t="array" ref="B314">INDEX(_xlfn.TEXTSPLIT($J314,"/"),3)</f>
        <v>ECC&amp;0&amp;cPVVE&amp;New&amp;Chiller__PumpCtrl</v>
      </c>
      <c r="C314" s="15" t="str" cm="1">
        <f t="array" ref="C314">INDEX(_xlfn.TEXTSPLIT($J314,"/"),2)</f>
        <v>CZ04</v>
      </c>
      <c r="D314" s="34">
        <f>$G$3*H314</f>
        <v>106.643901</v>
      </c>
      <c r="F314" t="str" cm="1">
        <f t="array" ref="F314">INDEX(_xlfn.TEXTSPLIT($J314,"/"),4)</f>
        <v>NE-Chiller-PumpCtrl-Full-Std</v>
      </c>
      <c r="G314">
        <f>$P314</f>
        <v>0.153114</v>
      </c>
      <c r="H314">
        <f>$G$4*G314</f>
        <v>152.34843000000001</v>
      </c>
      <c r="J314" t="s">
        <v>526</v>
      </c>
      <c r="K314" t="s">
        <v>14</v>
      </c>
      <c r="L314">
        <v>10276.290000000001</v>
      </c>
      <c r="M314">
        <v>29337.02</v>
      </c>
      <c r="P314">
        <v>0.153114</v>
      </c>
      <c r="Q314">
        <v>0</v>
      </c>
      <c r="R314">
        <v>828184.47</v>
      </c>
      <c r="S314">
        <v>163686.57</v>
      </c>
      <c r="T314">
        <v>0</v>
      </c>
      <c r="U314">
        <v>936314.72</v>
      </c>
      <c r="V314">
        <v>0</v>
      </c>
      <c r="W314">
        <v>267067.25</v>
      </c>
      <c r="X314">
        <v>239615.29</v>
      </c>
      <c r="Y314">
        <v>223084.09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273205.90999999997</v>
      </c>
      <c r="AF314">
        <v>0</v>
      </c>
      <c r="AG314">
        <v>0</v>
      </c>
      <c r="AH314">
        <v>0</v>
      </c>
      <c r="AI314">
        <v>68627.600000000006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467629.04</v>
      </c>
      <c r="AQ314">
        <v>0</v>
      </c>
      <c r="AR314">
        <v>0</v>
      </c>
      <c r="AS314">
        <v>2212359865.7895098</v>
      </c>
    </row>
    <row r="315" spans="2:45" x14ac:dyDescent="0.25">
      <c r="B315" s="15" t="str" cm="1">
        <f t="array" ref="B315">INDEX(_xlfn.TEXTSPLIT($J315,"/"),3)</f>
        <v>ECC&amp;0&amp;cPVVE&amp;New&amp;Chiller__PumpCtrl</v>
      </c>
      <c r="C315" s="15" t="str" cm="1">
        <f t="array" ref="C315">INDEX(_xlfn.TEXTSPLIT($J315,"/"),2)</f>
        <v>CZ05</v>
      </c>
      <c r="D315" s="34">
        <f>$G$3*H315</f>
        <v>91.146079499999999</v>
      </c>
      <c r="F315" t="str" cm="1">
        <f t="array" ref="F315">INDEX(_xlfn.TEXTSPLIT($J315,"/"),4)</f>
        <v>NE-Chiller-PumpCtrl-Full-Std</v>
      </c>
      <c r="G315">
        <f>$P315</f>
        <v>0.13086300000000001</v>
      </c>
      <c r="H315">
        <f>$G$4*G315</f>
        <v>130.208685</v>
      </c>
      <c r="J315" t="s">
        <v>510</v>
      </c>
      <c r="K315" t="s">
        <v>15</v>
      </c>
      <c r="L315">
        <v>8782.92</v>
      </c>
      <c r="M315">
        <v>25073.7</v>
      </c>
      <c r="P315">
        <v>0.13086300000000001</v>
      </c>
      <c r="Q315">
        <v>0</v>
      </c>
      <c r="R315">
        <v>567646.07999999996</v>
      </c>
      <c r="S315">
        <v>163686.57</v>
      </c>
      <c r="T315">
        <v>0</v>
      </c>
      <c r="U315">
        <v>936314.72</v>
      </c>
      <c r="V315">
        <v>0</v>
      </c>
      <c r="W315">
        <v>235327.49</v>
      </c>
      <c r="X315">
        <v>203203.75</v>
      </c>
      <c r="Y315">
        <v>187596.96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234354.88</v>
      </c>
      <c r="AF315">
        <v>0</v>
      </c>
      <c r="AG315">
        <v>0</v>
      </c>
      <c r="AH315">
        <v>0</v>
      </c>
      <c r="AI315">
        <v>68627.600000000006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484950.86</v>
      </c>
      <c r="AQ315">
        <v>0</v>
      </c>
      <c r="AR315">
        <v>0</v>
      </c>
      <c r="AS315">
        <v>1136625605.9862199</v>
      </c>
    </row>
    <row r="316" spans="2:45" x14ac:dyDescent="0.25">
      <c r="B316" s="15" t="str" cm="1">
        <f t="array" ref="B316">INDEX(_xlfn.TEXTSPLIT($J316,"/"),3)</f>
        <v>ECC&amp;0&amp;cPVVE&amp;New&amp;Chiller__PumpCtrl</v>
      </c>
      <c r="C316" s="15" t="str" cm="1">
        <f t="array" ref="C316">INDEX(_xlfn.TEXTSPLIT($J316,"/"),2)</f>
        <v>CZ06</v>
      </c>
      <c r="D316" s="34">
        <f>$G$3*H316</f>
        <v>96.698577499999985</v>
      </c>
      <c r="F316" t="str" cm="1">
        <f t="array" ref="F316">INDEX(_xlfn.TEXTSPLIT($J316,"/"),4)</f>
        <v>NE-Chiller-PumpCtrl-Full-Std</v>
      </c>
      <c r="G316">
        <f>$P316</f>
        <v>0.13883499999999999</v>
      </c>
      <c r="H316">
        <f>$G$4*G316</f>
        <v>138.14082499999998</v>
      </c>
      <c r="J316" t="s">
        <v>492</v>
      </c>
      <c r="K316" t="s">
        <v>16</v>
      </c>
      <c r="L316">
        <v>9317.93</v>
      </c>
      <c r="M316">
        <v>26601.06</v>
      </c>
      <c r="P316">
        <v>0.13883499999999999</v>
      </c>
      <c r="Q316">
        <v>0</v>
      </c>
      <c r="R316">
        <v>973926.34</v>
      </c>
      <c r="S316">
        <v>163686.57</v>
      </c>
      <c r="T316">
        <v>0</v>
      </c>
      <c r="U316">
        <v>936314.72</v>
      </c>
      <c r="V316">
        <v>0</v>
      </c>
      <c r="W316">
        <v>254298.5</v>
      </c>
      <c r="X316">
        <v>251151.31</v>
      </c>
      <c r="Y316">
        <v>236303.53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109309.77</v>
      </c>
      <c r="AF316">
        <v>0</v>
      </c>
      <c r="AG316">
        <v>0</v>
      </c>
      <c r="AH316">
        <v>0</v>
      </c>
      <c r="AI316">
        <v>68627.600000000006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446536.23</v>
      </c>
      <c r="AQ316">
        <v>0</v>
      </c>
      <c r="AR316">
        <v>0</v>
      </c>
      <c r="AS316">
        <v>1123673965.29826</v>
      </c>
    </row>
    <row r="317" spans="2:45" x14ac:dyDescent="0.25">
      <c r="B317" s="15" t="str" cm="1">
        <f t="array" ref="B317">INDEX(_xlfn.TEXTSPLIT($J317,"/"),3)</f>
        <v>ECC&amp;0&amp;cPVVE&amp;New&amp;Chiller__PumpCtrl</v>
      </c>
      <c r="C317" s="15" t="str" cm="1">
        <f t="array" ref="C317">INDEX(_xlfn.TEXTSPLIT($J317,"/"),2)</f>
        <v>CZ07</v>
      </c>
      <c r="D317" s="34">
        <f>$G$3*H317</f>
        <v>99.445573499999981</v>
      </c>
      <c r="F317" t="str" cm="1">
        <f t="array" ref="F317">INDEX(_xlfn.TEXTSPLIT($J317,"/"),4)</f>
        <v>NE-Chiller-PumpCtrl-Full-Std</v>
      </c>
      <c r="G317">
        <f>$P317</f>
        <v>0.14277899999999999</v>
      </c>
      <c r="H317">
        <f>$G$4*G317</f>
        <v>142.06510499999999</v>
      </c>
      <c r="J317" t="s">
        <v>478</v>
      </c>
      <c r="K317" t="s">
        <v>17</v>
      </c>
      <c r="L317">
        <v>9582.65</v>
      </c>
      <c r="M317">
        <v>27356.78</v>
      </c>
      <c r="P317">
        <v>0.14277899999999999</v>
      </c>
      <c r="Q317">
        <v>0</v>
      </c>
      <c r="R317">
        <v>1083953.67</v>
      </c>
      <c r="S317">
        <v>163686.57</v>
      </c>
      <c r="T317">
        <v>0</v>
      </c>
      <c r="U317">
        <v>936314.72</v>
      </c>
      <c r="V317">
        <v>0</v>
      </c>
      <c r="W317">
        <v>272087.90000000002</v>
      </c>
      <c r="X317">
        <v>259320.24</v>
      </c>
      <c r="Y317">
        <v>243962.08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165879.35</v>
      </c>
      <c r="AF317">
        <v>0</v>
      </c>
      <c r="AG317">
        <v>0</v>
      </c>
      <c r="AH317">
        <v>0</v>
      </c>
      <c r="AI317">
        <v>68627.600000000006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440524.82</v>
      </c>
      <c r="AQ317">
        <v>0</v>
      </c>
      <c r="AR317">
        <v>0</v>
      </c>
      <c r="AS317">
        <v>1369224805.4675801</v>
      </c>
    </row>
    <row r="318" spans="2:45" x14ac:dyDescent="0.25">
      <c r="B318" s="15" t="str" cm="1">
        <f t="array" ref="B318">INDEX(_xlfn.TEXTSPLIT($J318,"/"),3)</f>
        <v>ECC&amp;0&amp;cPVVE&amp;New&amp;Chiller__PumpCtrl</v>
      </c>
      <c r="C318" s="15" t="str" cm="1">
        <f t="array" ref="C318">INDEX(_xlfn.TEXTSPLIT($J318,"/"),2)</f>
        <v>CZ08</v>
      </c>
      <c r="D318" s="34">
        <f>$G$3*H318</f>
        <v>108.28624799999999</v>
      </c>
      <c r="F318" t="str" cm="1">
        <f t="array" ref="F318">INDEX(_xlfn.TEXTSPLIT($J318,"/"),4)</f>
        <v>NE-Chiller-PumpCtrl-Full-Std</v>
      </c>
      <c r="G318">
        <f>$P318</f>
        <v>0.155472</v>
      </c>
      <c r="H318">
        <f>$G$4*G318</f>
        <v>154.69463999999999</v>
      </c>
      <c r="J318" t="s">
        <v>461</v>
      </c>
      <c r="K318" t="s">
        <v>18</v>
      </c>
      <c r="L318">
        <v>10434.56</v>
      </c>
      <c r="M318">
        <v>29788.84</v>
      </c>
      <c r="P318">
        <v>0.155472</v>
      </c>
      <c r="Q318">
        <v>0</v>
      </c>
      <c r="R318">
        <v>1161357.02</v>
      </c>
      <c r="S318">
        <v>163686.57</v>
      </c>
      <c r="T318">
        <v>0</v>
      </c>
      <c r="U318">
        <v>936314.72</v>
      </c>
      <c r="V318">
        <v>0</v>
      </c>
      <c r="W318">
        <v>277363.27</v>
      </c>
      <c r="X318">
        <v>274298.32</v>
      </c>
      <c r="Y318">
        <v>257410.78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206739.63</v>
      </c>
      <c r="AF318">
        <v>0</v>
      </c>
      <c r="AG318">
        <v>0</v>
      </c>
      <c r="AH318">
        <v>0</v>
      </c>
      <c r="AI318">
        <v>68627.600000000006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439665.87</v>
      </c>
      <c r="AQ318">
        <v>0</v>
      </c>
      <c r="AR318">
        <v>0</v>
      </c>
      <c r="AS318">
        <v>1367762679.2242501</v>
      </c>
    </row>
    <row r="319" spans="2:45" x14ac:dyDescent="0.25">
      <c r="B319" s="15" t="str" cm="1">
        <f t="array" ref="B319">INDEX(_xlfn.TEXTSPLIT($J319,"/"),3)</f>
        <v>ECC&amp;0&amp;cPVVE&amp;New&amp;Chiller__PumpCtrl</v>
      </c>
      <c r="C319" s="15" t="str" cm="1">
        <f t="array" ref="C319">INDEX(_xlfn.TEXTSPLIT($J319,"/"),2)</f>
        <v>CZ09</v>
      </c>
      <c r="D319" s="34">
        <f>$G$3*H319</f>
        <v>109.30035199999999</v>
      </c>
      <c r="F319" t="str" cm="1">
        <f t="array" ref="F319">INDEX(_xlfn.TEXTSPLIT($J319,"/"),4)</f>
        <v>NE-Chiller-PumpCtrl-Full-Std</v>
      </c>
      <c r="G319">
        <f>$P319</f>
        <v>0.15692800000000001</v>
      </c>
      <c r="H319">
        <f>$G$4*G319</f>
        <v>156.14336</v>
      </c>
      <c r="J319" t="s">
        <v>446</v>
      </c>
      <c r="K319" t="s">
        <v>19</v>
      </c>
      <c r="L319">
        <v>10532.31</v>
      </c>
      <c r="M319">
        <v>30067.9</v>
      </c>
      <c r="P319">
        <v>0.15692800000000001</v>
      </c>
      <c r="Q319">
        <v>0</v>
      </c>
      <c r="R319">
        <v>1282412.97</v>
      </c>
      <c r="S319">
        <v>163686.57</v>
      </c>
      <c r="T319">
        <v>0</v>
      </c>
      <c r="U319">
        <v>936314.72</v>
      </c>
      <c r="V319">
        <v>0</v>
      </c>
      <c r="W319">
        <v>351639.06</v>
      </c>
      <c r="X319">
        <v>280190.89</v>
      </c>
      <c r="Y319">
        <v>263197.93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356997.43</v>
      </c>
      <c r="AF319">
        <v>0</v>
      </c>
      <c r="AG319">
        <v>0</v>
      </c>
      <c r="AH319">
        <v>0</v>
      </c>
      <c r="AI319">
        <v>68627.600000000006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433592.58</v>
      </c>
      <c r="AQ319">
        <v>0</v>
      </c>
      <c r="AR319">
        <v>0</v>
      </c>
      <c r="AS319">
        <v>1545162103.65798</v>
      </c>
    </row>
    <row r="320" spans="2:45" x14ac:dyDescent="0.25">
      <c r="B320" s="15" t="str" cm="1">
        <f t="array" ref="B320">INDEX(_xlfn.TEXTSPLIT($J320,"/"),3)</f>
        <v>ECC&amp;0&amp;cPVVE&amp;New&amp;Chiller__PumpCtrl</v>
      </c>
      <c r="C320" s="15" t="str" cm="1">
        <f t="array" ref="C320">INDEX(_xlfn.TEXTSPLIT($J320,"/"),2)</f>
        <v>CZ10</v>
      </c>
      <c r="D320" s="34">
        <f>$G$3*H320</f>
        <v>119.86277449999999</v>
      </c>
      <c r="F320" t="str" cm="1">
        <f t="array" ref="F320">INDEX(_xlfn.TEXTSPLIT($J320,"/"),4)</f>
        <v>NE-Chiller-PumpCtrl-Full-Std</v>
      </c>
      <c r="G320">
        <f>$P320</f>
        <v>0.172093</v>
      </c>
      <c r="H320">
        <f>$G$4*G320</f>
        <v>171.23253499999998</v>
      </c>
      <c r="J320" t="s">
        <v>430</v>
      </c>
      <c r="K320" t="s">
        <v>20</v>
      </c>
      <c r="L320">
        <v>11550.08</v>
      </c>
      <c r="M320">
        <v>32973.47</v>
      </c>
      <c r="P320">
        <v>0.172093</v>
      </c>
      <c r="Q320">
        <v>0</v>
      </c>
      <c r="R320">
        <v>1308131.8700000001</v>
      </c>
      <c r="S320">
        <v>163686.57</v>
      </c>
      <c r="T320">
        <v>0</v>
      </c>
      <c r="U320">
        <v>936314.72</v>
      </c>
      <c r="V320">
        <v>0</v>
      </c>
      <c r="W320">
        <v>332607.31</v>
      </c>
      <c r="X320">
        <v>291386.21999999997</v>
      </c>
      <c r="Y320">
        <v>270787.08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318255.62</v>
      </c>
      <c r="AF320">
        <v>0</v>
      </c>
      <c r="AG320">
        <v>0</v>
      </c>
      <c r="AH320">
        <v>0</v>
      </c>
      <c r="AI320">
        <v>68627.600000000006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428588.19</v>
      </c>
      <c r="AQ320">
        <v>0</v>
      </c>
      <c r="AR320">
        <v>0</v>
      </c>
      <c r="AS320">
        <v>2448533385.6642299</v>
      </c>
    </row>
    <row r="321" spans="2:45" x14ac:dyDescent="0.25">
      <c r="B321" s="15" t="str" cm="1">
        <f t="array" ref="B321">INDEX(_xlfn.TEXTSPLIT($J321,"/"),3)</f>
        <v>ECC&amp;0&amp;cPVVE&amp;New&amp;Chiller__PumpCtrl</v>
      </c>
      <c r="C321" s="15" t="str" cm="1">
        <f t="array" ref="C321">INDEX(_xlfn.TEXTSPLIT($J321,"/"),2)</f>
        <v>CZ11</v>
      </c>
      <c r="D321" s="34">
        <f>$G$3*H321</f>
        <v>109.5893995</v>
      </c>
      <c r="F321" t="str" cm="1">
        <f t="array" ref="F321">INDEX(_xlfn.TEXTSPLIT($J321,"/"),4)</f>
        <v>NE-Chiller-PumpCtrl-Full-Std</v>
      </c>
      <c r="G321">
        <f>$P321</f>
        <v>0.15734300000000001</v>
      </c>
      <c r="H321">
        <f>$G$4*G321</f>
        <v>156.556285</v>
      </c>
      <c r="J321" t="s">
        <v>414</v>
      </c>
      <c r="K321" t="s">
        <v>21</v>
      </c>
      <c r="L321">
        <v>10560.14</v>
      </c>
      <c r="M321">
        <v>30147.360000000001</v>
      </c>
      <c r="P321">
        <v>0.15734300000000001</v>
      </c>
      <c r="Q321">
        <v>0</v>
      </c>
      <c r="R321">
        <v>1099508.17</v>
      </c>
      <c r="S321">
        <v>163686.57</v>
      </c>
      <c r="T321">
        <v>0</v>
      </c>
      <c r="U321">
        <v>936314.72</v>
      </c>
      <c r="V321">
        <v>0</v>
      </c>
      <c r="W321">
        <v>338752.87</v>
      </c>
      <c r="X321">
        <v>269625.33</v>
      </c>
      <c r="Y321">
        <v>245650.76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357352.27</v>
      </c>
      <c r="AF321">
        <v>0</v>
      </c>
      <c r="AG321">
        <v>0</v>
      </c>
      <c r="AH321">
        <v>0</v>
      </c>
      <c r="AI321">
        <v>68627.600000000006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437390.27</v>
      </c>
      <c r="AQ321">
        <v>0</v>
      </c>
      <c r="AR321">
        <v>0</v>
      </c>
      <c r="AS321">
        <v>2138177278.6008</v>
      </c>
    </row>
    <row r="322" spans="2:45" x14ac:dyDescent="0.25">
      <c r="B322" s="15" t="str" cm="1">
        <f t="array" ref="B322">INDEX(_xlfn.TEXTSPLIT($J322,"/"),3)</f>
        <v>ECC&amp;0&amp;cPVVE&amp;New&amp;Chiller__PumpCtrl</v>
      </c>
      <c r="C322" s="15" t="str" cm="1">
        <f t="array" ref="C322">INDEX(_xlfn.TEXTSPLIT($J322,"/"),2)</f>
        <v>CZ12</v>
      </c>
      <c r="D322" s="34">
        <f>$G$3*H322</f>
        <v>109.70432199999999</v>
      </c>
      <c r="F322" t="str" cm="1">
        <f t="array" ref="F322">INDEX(_xlfn.TEXTSPLIT($J322,"/"),4)</f>
        <v>NE-Chiller-PumpCtrl-Full-Std</v>
      </c>
      <c r="G322">
        <f>$P322</f>
        <v>0.15750800000000001</v>
      </c>
      <c r="H322">
        <f>$G$4*G322</f>
        <v>156.72046</v>
      </c>
      <c r="J322" t="s">
        <v>397</v>
      </c>
      <c r="K322" t="s">
        <v>22</v>
      </c>
      <c r="L322">
        <v>10571.18</v>
      </c>
      <c r="M322">
        <v>30178.86</v>
      </c>
      <c r="P322">
        <v>0.15750800000000001</v>
      </c>
      <c r="Q322">
        <v>0</v>
      </c>
      <c r="R322">
        <v>1117888.4099999999</v>
      </c>
      <c r="S322">
        <v>163686.57</v>
      </c>
      <c r="T322">
        <v>0</v>
      </c>
      <c r="U322">
        <v>936314.72</v>
      </c>
      <c r="V322">
        <v>0</v>
      </c>
      <c r="W322">
        <v>370296.54</v>
      </c>
      <c r="X322">
        <v>270353.17</v>
      </c>
      <c r="Y322">
        <v>242068.53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497100.88</v>
      </c>
      <c r="AF322">
        <v>0</v>
      </c>
      <c r="AG322">
        <v>0</v>
      </c>
      <c r="AH322">
        <v>0</v>
      </c>
      <c r="AI322">
        <v>68627.600000000006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450697.87</v>
      </c>
      <c r="AQ322">
        <v>0</v>
      </c>
      <c r="AR322">
        <v>0</v>
      </c>
      <c r="AS322">
        <v>2277822126.6419001</v>
      </c>
    </row>
    <row r="323" spans="2:45" x14ac:dyDescent="0.25">
      <c r="B323" s="15" t="str" cm="1">
        <f t="array" ref="B323">INDEX(_xlfn.TEXTSPLIT($J323,"/"),3)</f>
        <v>ECC&amp;0&amp;cPVVE&amp;New&amp;Chiller__PumpCtrl</v>
      </c>
      <c r="C323" s="15" t="str" cm="1">
        <f t="array" ref="C323">INDEX(_xlfn.TEXTSPLIT($J323,"/"),2)</f>
        <v>CZ13</v>
      </c>
      <c r="D323" s="34">
        <f>$G$3*H323</f>
        <v>112.970907</v>
      </c>
      <c r="F323" t="str" cm="1">
        <f t="array" ref="F323">INDEX(_xlfn.TEXTSPLIT($J323,"/"),4)</f>
        <v>NE-Chiller-PumpCtrl-Full-Std</v>
      </c>
      <c r="G323">
        <f>$P323</f>
        <v>0.16219800000000001</v>
      </c>
      <c r="H323">
        <f>$G$4*G323</f>
        <v>161.38701</v>
      </c>
      <c r="J323" t="s">
        <v>382</v>
      </c>
      <c r="K323" t="s">
        <v>23</v>
      </c>
      <c r="L323">
        <v>10885.94</v>
      </c>
      <c r="M323">
        <v>31077.47</v>
      </c>
      <c r="P323">
        <v>0.16219800000000001</v>
      </c>
      <c r="Q323">
        <v>0</v>
      </c>
      <c r="R323">
        <v>1230716.32</v>
      </c>
      <c r="S323">
        <v>163686.57</v>
      </c>
      <c r="T323">
        <v>0</v>
      </c>
      <c r="U323">
        <v>936314.72</v>
      </c>
      <c r="V323">
        <v>0</v>
      </c>
      <c r="W323">
        <v>340387.05</v>
      </c>
      <c r="X323">
        <v>284660.38</v>
      </c>
      <c r="Y323">
        <v>260136.23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313123.95</v>
      </c>
      <c r="AF323">
        <v>0</v>
      </c>
      <c r="AG323">
        <v>0</v>
      </c>
      <c r="AH323">
        <v>0</v>
      </c>
      <c r="AI323">
        <v>68627.600000000006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424443.34</v>
      </c>
      <c r="AQ323">
        <v>0</v>
      </c>
      <c r="AR323">
        <v>0</v>
      </c>
      <c r="AS323">
        <v>2327306014.9421401</v>
      </c>
    </row>
    <row r="324" spans="2:45" x14ac:dyDescent="0.25">
      <c r="B324" s="15" t="str" cm="1">
        <f t="array" ref="B324">INDEX(_xlfn.TEXTSPLIT($J324,"/"),3)</f>
        <v>ECC&amp;0&amp;cPVVE&amp;New&amp;Chiller__PumpCtrl</v>
      </c>
      <c r="C324" s="15" t="str" cm="1">
        <f t="array" ref="C324">INDEX(_xlfn.TEXTSPLIT($J324,"/"),2)</f>
        <v>CZ14</v>
      </c>
      <c r="D324" s="34">
        <f>$G$3*H324</f>
        <v>112.84135799999997</v>
      </c>
      <c r="F324" t="str" cm="1">
        <f t="array" ref="F324">INDEX(_xlfn.TEXTSPLIT($J324,"/"),4)</f>
        <v>NE-Chiller-PumpCtrl-Full-Std</v>
      </c>
      <c r="G324">
        <f>$P324</f>
        <v>0.16201199999999999</v>
      </c>
      <c r="H324">
        <f>$G$4*G324</f>
        <v>161.20193999999998</v>
      </c>
      <c r="J324" t="s">
        <v>363</v>
      </c>
      <c r="K324" t="s">
        <v>24</v>
      </c>
      <c r="L324">
        <v>10873.51</v>
      </c>
      <c r="M324">
        <v>31041.97</v>
      </c>
      <c r="P324">
        <v>0.16201199999999999</v>
      </c>
      <c r="Q324">
        <v>0</v>
      </c>
      <c r="R324">
        <v>1253686.06</v>
      </c>
      <c r="S324">
        <v>163686.57</v>
      </c>
      <c r="T324">
        <v>0</v>
      </c>
      <c r="U324">
        <v>936314.72</v>
      </c>
      <c r="V324">
        <v>0</v>
      </c>
      <c r="W324">
        <v>382964.68</v>
      </c>
      <c r="X324">
        <v>298354.52</v>
      </c>
      <c r="Y324">
        <v>258526.03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298904.5</v>
      </c>
      <c r="AF324">
        <v>0</v>
      </c>
      <c r="AG324">
        <v>0</v>
      </c>
      <c r="AH324">
        <v>0</v>
      </c>
      <c r="AI324">
        <v>68627.600000000006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401522.39</v>
      </c>
      <c r="AQ324">
        <v>0</v>
      </c>
      <c r="AR324">
        <v>0</v>
      </c>
      <c r="AS324">
        <v>2235630369.0612998</v>
      </c>
    </row>
    <row r="325" spans="2:45" x14ac:dyDescent="0.25">
      <c r="B325" s="15" t="str" cm="1">
        <f t="array" ref="B325">INDEX(_xlfn.TEXTSPLIT($J325,"/"),3)</f>
        <v>ECC&amp;0&amp;cPVVE&amp;New&amp;Chiller__PumpCtrl</v>
      </c>
      <c r="C325" s="15" t="str" cm="1">
        <f t="array" ref="C325">INDEX(_xlfn.TEXTSPLIT($J325,"/"),2)</f>
        <v>CZ15</v>
      </c>
      <c r="D325" s="34">
        <f>$G$3*H325</f>
        <v>117.779543</v>
      </c>
      <c r="F325" t="str" cm="1">
        <f t="array" ref="F325">INDEX(_xlfn.TEXTSPLIT($J325,"/"),4)</f>
        <v>NE-Chiller-PumpCtrl-Full-Std</v>
      </c>
      <c r="G325">
        <f>$P325</f>
        <v>0.169102</v>
      </c>
      <c r="H325">
        <f>$G$4*G325</f>
        <v>168.25649000000001</v>
      </c>
      <c r="J325" t="s">
        <v>349</v>
      </c>
      <c r="K325" t="s">
        <v>25</v>
      </c>
      <c r="L325">
        <v>11349.32</v>
      </c>
      <c r="M325">
        <v>32400.32</v>
      </c>
      <c r="P325">
        <v>0.169102</v>
      </c>
      <c r="Q325">
        <v>0</v>
      </c>
      <c r="R325">
        <v>1801267.05</v>
      </c>
      <c r="S325">
        <v>163686.57</v>
      </c>
      <c r="T325">
        <v>0</v>
      </c>
      <c r="U325">
        <v>936314.72</v>
      </c>
      <c r="V325">
        <v>0</v>
      </c>
      <c r="W325">
        <v>501162.28</v>
      </c>
      <c r="X325">
        <v>327880.90999999997</v>
      </c>
      <c r="Y325">
        <v>301248.27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641581.07999999996</v>
      </c>
      <c r="AF325">
        <v>0</v>
      </c>
      <c r="AG325">
        <v>0</v>
      </c>
      <c r="AH325">
        <v>0</v>
      </c>
      <c r="AI325">
        <v>68627.600000000006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356152.64</v>
      </c>
      <c r="AQ325">
        <v>0</v>
      </c>
      <c r="AR325">
        <v>0</v>
      </c>
      <c r="AS325">
        <v>2514794924.2470398</v>
      </c>
    </row>
    <row r="326" spans="2:45" x14ac:dyDescent="0.25">
      <c r="B326" s="15" t="str" cm="1">
        <f t="array" ref="B326">INDEX(_xlfn.TEXTSPLIT($J326,"/"),3)</f>
        <v>ECC&amp;0&amp;cPVVE&amp;New&amp;Chiller__PumpCtrl</v>
      </c>
      <c r="C326" s="15" t="str" cm="1">
        <f t="array" ref="C326">INDEX(_xlfn.TEXTSPLIT($J326,"/"),2)</f>
        <v>CZ16</v>
      </c>
      <c r="D326" s="34">
        <f>$G$3*H326</f>
        <v>98.085308999999995</v>
      </c>
      <c r="F326" t="str" cm="1">
        <f t="array" ref="F326">INDEX(_xlfn.TEXTSPLIT($J326,"/"),4)</f>
        <v>NE-Chiller-PumpCtrl-Full-Std</v>
      </c>
      <c r="G326">
        <f>$P326</f>
        <v>0.14082600000000001</v>
      </c>
      <c r="H326">
        <f>$G$4*G326</f>
        <v>140.12187</v>
      </c>
      <c r="J326" t="s">
        <v>334</v>
      </c>
      <c r="K326" t="s">
        <v>26</v>
      </c>
      <c r="L326">
        <v>9451.59</v>
      </c>
      <c r="M326">
        <v>26982.63</v>
      </c>
      <c r="P326">
        <v>0.14082600000000001</v>
      </c>
      <c r="Q326">
        <v>0</v>
      </c>
      <c r="R326">
        <v>907795.04</v>
      </c>
      <c r="S326">
        <v>163686.57</v>
      </c>
      <c r="T326">
        <v>0</v>
      </c>
      <c r="U326">
        <v>936314.72</v>
      </c>
      <c r="V326">
        <v>0</v>
      </c>
      <c r="W326">
        <v>460086.64</v>
      </c>
      <c r="X326">
        <v>249061.9</v>
      </c>
      <c r="Y326">
        <v>175146.01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600059.1</v>
      </c>
      <c r="AF326">
        <v>0</v>
      </c>
      <c r="AG326">
        <v>0</v>
      </c>
      <c r="AH326">
        <v>0</v>
      </c>
      <c r="AI326">
        <v>68627.600000000006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475756.57</v>
      </c>
      <c r="AQ326">
        <v>0</v>
      </c>
      <c r="AR326">
        <v>0</v>
      </c>
      <c r="AS326">
        <v>1209072466.4066999</v>
      </c>
    </row>
    <row r="327" spans="2:45" x14ac:dyDescent="0.25">
      <c r="B327" s="15" t="str" cm="1">
        <f t="array" ref="B327">INDEX(_xlfn.TEXTSPLIT($J327,"/"),3)</f>
        <v>ESe&amp;0&amp;cPVVE&amp;Ex&amp;Chiller__PumpCtrl</v>
      </c>
      <c r="C327" s="15" t="str" cm="1">
        <f t="array" ref="C327">INDEX(_xlfn.TEXTSPLIT($J327,"/"),2)</f>
        <v>CZ01</v>
      </c>
      <c r="D327" s="34">
        <f>$G$3*H327</f>
        <v>16.183177499999996</v>
      </c>
      <c r="F327" t="str" cm="1">
        <f t="array" ref="F327">INDEX(_xlfn.TEXTSPLIT($J327,"/"),4)</f>
        <v>NE-Chiller-PumpCtrl-Full-Std</v>
      </c>
      <c r="G327">
        <f>$P327</f>
        <v>2.3234999999999999E-2</v>
      </c>
      <c r="H327">
        <f>$G$4*G327</f>
        <v>23.118824999999998</v>
      </c>
      <c r="J327" t="s">
        <v>314</v>
      </c>
      <c r="K327" t="s">
        <v>11</v>
      </c>
      <c r="L327">
        <v>1559.44</v>
      </c>
      <c r="M327">
        <v>4451.92</v>
      </c>
      <c r="P327">
        <v>2.3234999999999999E-2</v>
      </c>
      <c r="Q327">
        <v>0</v>
      </c>
      <c r="R327">
        <v>30252.43</v>
      </c>
      <c r="S327">
        <v>197273.03</v>
      </c>
      <c r="T327">
        <v>0</v>
      </c>
      <c r="U327">
        <v>258328.15</v>
      </c>
      <c r="V327">
        <v>0</v>
      </c>
      <c r="W327">
        <v>314624.27</v>
      </c>
      <c r="X327">
        <v>6771.3</v>
      </c>
      <c r="Y327">
        <v>5981.25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196355.18</v>
      </c>
      <c r="AF327">
        <v>0</v>
      </c>
      <c r="AG327">
        <v>0</v>
      </c>
      <c r="AH327">
        <v>0</v>
      </c>
      <c r="AI327">
        <v>64094.3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253183.63</v>
      </c>
      <c r="AQ327">
        <v>0</v>
      </c>
      <c r="AR327">
        <v>0</v>
      </c>
      <c r="AS327">
        <v>579250703.51422799</v>
      </c>
    </row>
    <row r="328" spans="2:45" x14ac:dyDescent="0.25">
      <c r="B328" s="15" t="str" cm="1">
        <f t="array" ref="B328">INDEX(_xlfn.TEXTSPLIT($J328,"/"),3)</f>
        <v>ESe&amp;0&amp;cPVVE&amp;Ex&amp;Chiller__PumpCtrl</v>
      </c>
      <c r="C328" s="15" t="str" cm="1">
        <f t="array" ref="C328">INDEX(_xlfn.TEXTSPLIT($J328,"/"),2)</f>
        <v>CZ02</v>
      </c>
      <c r="D328" s="34">
        <f>$G$3*H328</f>
        <v>20.781470499999998</v>
      </c>
      <c r="F328" t="str" cm="1">
        <f t="array" ref="F328">INDEX(_xlfn.TEXTSPLIT($J328,"/"),4)</f>
        <v>NE-Chiller-PumpCtrl-Full-Std</v>
      </c>
      <c r="G328">
        <f>$P328</f>
        <v>2.9836999999999999E-2</v>
      </c>
      <c r="H328">
        <f>$G$4*G328</f>
        <v>29.687815000000001</v>
      </c>
      <c r="J328" t="s">
        <v>304</v>
      </c>
      <c r="K328" t="s">
        <v>12</v>
      </c>
      <c r="L328">
        <v>2002.49</v>
      </c>
      <c r="M328">
        <v>5716.76</v>
      </c>
      <c r="P328">
        <v>2.9836999999999999E-2</v>
      </c>
      <c r="Q328">
        <v>0</v>
      </c>
      <c r="R328">
        <v>187598.63</v>
      </c>
      <c r="S328">
        <v>197273.03</v>
      </c>
      <c r="T328">
        <v>0</v>
      </c>
      <c r="U328">
        <v>258328.15</v>
      </c>
      <c r="V328">
        <v>0</v>
      </c>
      <c r="W328">
        <v>364129.53</v>
      </c>
      <c r="X328">
        <v>25267.75</v>
      </c>
      <c r="Y328">
        <v>22817.62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165577.73000000001</v>
      </c>
      <c r="AF328">
        <v>0</v>
      </c>
      <c r="AG328">
        <v>0</v>
      </c>
      <c r="AH328">
        <v>0</v>
      </c>
      <c r="AI328">
        <v>64094.3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232584.08</v>
      </c>
      <c r="AQ328">
        <v>0</v>
      </c>
      <c r="AR328">
        <v>0</v>
      </c>
      <c r="AS328">
        <v>929129198.13156295</v>
      </c>
    </row>
    <row r="329" spans="2:45" x14ac:dyDescent="0.25">
      <c r="B329" s="15" t="str" cm="1">
        <f t="array" ref="B329">INDEX(_xlfn.TEXTSPLIT($J329,"/"),3)</f>
        <v>ESe&amp;0&amp;cPVVE&amp;Ex&amp;Chiller__PumpCtrl</v>
      </c>
      <c r="C329" s="15" t="str" cm="1">
        <f t="array" ref="C329">INDEX(_xlfn.TEXTSPLIT($J329,"/"),2)</f>
        <v>CZ03</v>
      </c>
      <c r="D329" s="34">
        <f>$G$3*H329</f>
        <v>19.713735999999997</v>
      </c>
      <c r="F329" t="str" cm="1">
        <f t="array" ref="F329">INDEX(_xlfn.TEXTSPLIT($J329,"/"),4)</f>
        <v>NE-Chiller-PumpCtrl-Full-Std</v>
      </c>
      <c r="G329">
        <f>$P329</f>
        <v>2.8303999999999999E-2</v>
      </c>
      <c r="H329">
        <f>$G$4*G329</f>
        <v>28.162479999999999</v>
      </c>
      <c r="J329" t="s">
        <v>281</v>
      </c>
      <c r="K329" t="s">
        <v>13</v>
      </c>
      <c r="L329">
        <v>1899.66</v>
      </c>
      <c r="M329">
        <v>5423.19</v>
      </c>
      <c r="P329">
        <v>2.8303999999999999E-2</v>
      </c>
      <c r="Q329">
        <v>0</v>
      </c>
      <c r="R329">
        <v>125680.56</v>
      </c>
      <c r="S329">
        <v>197273.03</v>
      </c>
      <c r="T329">
        <v>0</v>
      </c>
      <c r="U329">
        <v>258328.15</v>
      </c>
      <c r="V329">
        <v>0</v>
      </c>
      <c r="W329">
        <v>346818.7</v>
      </c>
      <c r="X329">
        <v>23692.35</v>
      </c>
      <c r="Y329">
        <v>22010.46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86239.62</v>
      </c>
      <c r="AF329">
        <v>0</v>
      </c>
      <c r="AG329">
        <v>0</v>
      </c>
      <c r="AH329">
        <v>0</v>
      </c>
      <c r="AI329">
        <v>64094.3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231733.42</v>
      </c>
      <c r="AQ329">
        <v>0</v>
      </c>
      <c r="AR329">
        <v>0</v>
      </c>
      <c r="AS329">
        <v>767847005.06245005</v>
      </c>
    </row>
    <row r="330" spans="2:45" x14ac:dyDescent="0.25">
      <c r="B330" s="15" t="str" cm="1">
        <f t="array" ref="B330">INDEX(_xlfn.TEXTSPLIT($J330,"/"),3)</f>
        <v>ESe&amp;0&amp;cPVVE&amp;Ex&amp;Chiller__PumpCtrl</v>
      </c>
      <c r="C330" s="15" t="str" cm="1">
        <f t="array" ref="C330">INDEX(_xlfn.TEXTSPLIT($J330,"/"),2)</f>
        <v>CZ04</v>
      </c>
      <c r="D330" s="34">
        <f>$G$3*H330</f>
        <v>21.103253499999997</v>
      </c>
      <c r="F330" t="str" cm="1">
        <f t="array" ref="F330">INDEX(_xlfn.TEXTSPLIT($J330,"/"),4)</f>
        <v>NE-Chiller-PumpCtrl-Full-Std</v>
      </c>
      <c r="G330">
        <f>$P330</f>
        <v>3.0299E-2</v>
      </c>
      <c r="H330">
        <f>$G$4*G330</f>
        <v>30.147504999999999</v>
      </c>
      <c r="J330" t="s">
        <v>265</v>
      </c>
      <c r="K330" t="s">
        <v>14</v>
      </c>
      <c r="L330">
        <v>2033.53</v>
      </c>
      <c r="M330">
        <v>5805.39</v>
      </c>
      <c r="P330">
        <v>3.0299E-2</v>
      </c>
      <c r="Q330">
        <v>0</v>
      </c>
      <c r="R330">
        <v>213998.95</v>
      </c>
      <c r="S330">
        <v>197273.03</v>
      </c>
      <c r="T330">
        <v>0</v>
      </c>
      <c r="U330">
        <v>258328.15</v>
      </c>
      <c r="V330">
        <v>0</v>
      </c>
      <c r="W330">
        <v>356153.55</v>
      </c>
      <c r="X330">
        <v>28402.75</v>
      </c>
      <c r="Y330">
        <v>26321.42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95072.45</v>
      </c>
      <c r="AF330">
        <v>0</v>
      </c>
      <c r="AG330">
        <v>0</v>
      </c>
      <c r="AH330">
        <v>0</v>
      </c>
      <c r="AI330">
        <v>64094.3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223734.47</v>
      </c>
      <c r="AQ330">
        <v>0</v>
      </c>
      <c r="AR330">
        <v>0</v>
      </c>
      <c r="AS330">
        <v>956654107.70182097</v>
      </c>
    </row>
    <row r="331" spans="2:45" x14ac:dyDescent="0.25">
      <c r="B331" s="15" t="str" cm="1">
        <f t="array" ref="B331">INDEX(_xlfn.TEXTSPLIT($J331,"/"),3)</f>
        <v>ESe&amp;0&amp;cPVVE&amp;Ex&amp;Chiller__PumpCtrl</v>
      </c>
      <c r="C331" s="15" t="str" cm="1">
        <f t="array" ref="C331">INDEX(_xlfn.TEXTSPLIT($J331,"/"),2)</f>
        <v>CZ05</v>
      </c>
      <c r="D331" s="34">
        <f>$G$3*H331</f>
        <v>18.560331999999999</v>
      </c>
      <c r="F331" t="str" cm="1">
        <f t="array" ref="F331">INDEX(_xlfn.TEXTSPLIT($J331,"/"),4)</f>
        <v>NE-Chiller-PumpCtrl-Full-Std</v>
      </c>
      <c r="G331">
        <f>$P331</f>
        <v>2.6648000000000002E-2</v>
      </c>
      <c r="H331">
        <f>$G$4*G331</f>
        <v>26.514760000000003</v>
      </c>
      <c r="J331" t="s">
        <v>251</v>
      </c>
      <c r="K331" t="s">
        <v>15</v>
      </c>
      <c r="L331">
        <v>1788.49</v>
      </c>
      <c r="M331">
        <v>5105.82</v>
      </c>
      <c r="P331">
        <v>2.6648000000000002E-2</v>
      </c>
      <c r="Q331">
        <v>0</v>
      </c>
      <c r="R331">
        <v>143168.95999999999</v>
      </c>
      <c r="S331">
        <v>197273.03</v>
      </c>
      <c r="T331">
        <v>0</v>
      </c>
      <c r="U331">
        <v>258328.15</v>
      </c>
      <c r="V331">
        <v>0</v>
      </c>
      <c r="W331">
        <v>339231.36</v>
      </c>
      <c r="X331">
        <v>23696.32</v>
      </c>
      <c r="Y331">
        <v>21823.84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86779.33</v>
      </c>
      <c r="AF331">
        <v>0</v>
      </c>
      <c r="AG331">
        <v>0</v>
      </c>
      <c r="AH331">
        <v>0</v>
      </c>
      <c r="AI331">
        <v>64094.3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231753.71</v>
      </c>
      <c r="AQ331">
        <v>0</v>
      </c>
      <c r="AR331">
        <v>0</v>
      </c>
      <c r="AS331">
        <v>608328931.82084501</v>
      </c>
    </row>
    <row r="332" spans="2:45" x14ac:dyDescent="0.25">
      <c r="B332" s="15" t="str" cm="1">
        <f t="array" ref="B332">INDEX(_xlfn.TEXTSPLIT($J332,"/"),3)</f>
        <v>ESe&amp;0&amp;cPVVE&amp;Ex&amp;Chiller__PumpCtrl</v>
      </c>
      <c r="C332" s="15" t="str" cm="1">
        <f t="array" ref="C332">INDEX(_xlfn.TEXTSPLIT($J332,"/"),2)</f>
        <v>CZ06</v>
      </c>
      <c r="D332" s="34">
        <f>$G$3*H332</f>
        <v>19.426081499999999</v>
      </c>
      <c r="F332" t="str" cm="1">
        <f t="array" ref="F332">INDEX(_xlfn.TEXTSPLIT($J332,"/"),4)</f>
        <v>NE-Chiller-PumpCtrl-Full-Std</v>
      </c>
      <c r="G332">
        <f>$P332</f>
        <v>2.7890999999999999E-2</v>
      </c>
      <c r="H332">
        <f>$G$4*G332</f>
        <v>27.751545</v>
      </c>
      <c r="J332" t="s">
        <v>232</v>
      </c>
      <c r="K332" t="s">
        <v>16</v>
      </c>
      <c r="L332">
        <v>1871.91</v>
      </c>
      <c r="M332">
        <v>5343.99</v>
      </c>
      <c r="P332">
        <v>2.7890999999999999E-2</v>
      </c>
      <c r="Q332">
        <v>0</v>
      </c>
      <c r="R332">
        <v>229102.42</v>
      </c>
      <c r="S332">
        <v>197273.03</v>
      </c>
      <c r="T332">
        <v>0</v>
      </c>
      <c r="U332">
        <v>258328.15</v>
      </c>
      <c r="V332">
        <v>0</v>
      </c>
      <c r="W332">
        <v>328478.58</v>
      </c>
      <c r="X332">
        <v>33355.1</v>
      </c>
      <c r="Y332">
        <v>31355.63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34426.86</v>
      </c>
      <c r="AF332">
        <v>0</v>
      </c>
      <c r="AG332">
        <v>0</v>
      </c>
      <c r="AH332">
        <v>0</v>
      </c>
      <c r="AI332">
        <v>64094.3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213473.59</v>
      </c>
      <c r="AQ332">
        <v>0</v>
      </c>
      <c r="AR332">
        <v>0</v>
      </c>
      <c r="AS332">
        <v>559391084.025828</v>
      </c>
    </row>
    <row r="333" spans="2:45" x14ac:dyDescent="0.25">
      <c r="B333" s="15" t="str" cm="1">
        <f t="array" ref="B333">INDEX(_xlfn.TEXTSPLIT($J333,"/"),3)</f>
        <v>ESe&amp;0&amp;cPVVE&amp;Ex&amp;Chiller__PumpCtrl</v>
      </c>
      <c r="C333" s="15" t="str" cm="1">
        <f t="array" ref="C333">INDEX(_xlfn.TEXTSPLIT($J333,"/"),2)</f>
        <v>CZ07</v>
      </c>
      <c r="D333" s="34">
        <f>$G$3*H333</f>
        <v>19.906666499999996</v>
      </c>
      <c r="F333" t="str" cm="1">
        <f t="array" ref="F333">INDEX(_xlfn.TEXTSPLIT($J333,"/"),4)</f>
        <v>NE-Chiller-PumpCtrl-Full-Std</v>
      </c>
      <c r="G333">
        <f>$P333</f>
        <v>2.8580999999999999E-2</v>
      </c>
      <c r="H333">
        <f>$G$4*G333</f>
        <v>28.438094999999997</v>
      </c>
      <c r="J333" t="s">
        <v>216</v>
      </c>
      <c r="K333" t="s">
        <v>17</v>
      </c>
      <c r="L333">
        <v>1918.23</v>
      </c>
      <c r="M333">
        <v>5476.21</v>
      </c>
      <c r="P333">
        <v>2.8580999999999999E-2</v>
      </c>
      <c r="Q333">
        <v>0</v>
      </c>
      <c r="R333">
        <v>256932.55</v>
      </c>
      <c r="S333">
        <v>197273.03</v>
      </c>
      <c r="T333">
        <v>0</v>
      </c>
      <c r="U333">
        <v>258328.15</v>
      </c>
      <c r="V333">
        <v>0</v>
      </c>
      <c r="W333">
        <v>332607.19</v>
      </c>
      <c r="X333">
        <v>34975.46</v>
      </c>
      <c r="Y333">
        <v>32888.639999999999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45852.67</v>
      </c>
      <c r="AF333">
        <v>0</v>
      </c>
      <c r="AG333">
        <v>0</v>
      </c>
      <c r="AH333">
        <v>0</v>
      </c>
      <c r="AI333">
        <v>64094.3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210772.48000000001</v>
      </c>
      <c r="AQ333">
        <v>0</v>
      </c>
      <c r="AR333">
        <v>0</v>
      </c>
      <c r="AS333">
        <v>663049648.01214898</v>
      </c>
    </row>
    <row r="334" spans="2:45" x14ac:dyDescent="0.25">
      <c r="B334" s="15" t="str" cm="1">
        <f t="array" ref="B334">INDEX(_xlfn.TEXTSPLIT($J334,"/"),3)</f>
        <v>ESe&amp;0&amp;cPVVE&amp;Ex&amp;Chiller__PumpCtrl</v>
      </c>
      <c r="C334" s="15" t="str" cm="1">
        <f t="array" ref="C334">INDEX(_xlfn.TEXTSPLIT($J334,"/"),2)</f>
        <v>CZ08</v>
      </c>
      <c r="D334" s="34">
        <f>$G$3*H334</f>
        <v>21.285039999999999</v>
      </c>
      <c r="F334" t="str" cm="1">
        <f t="array" ref="F334">INDEX(_xlfn.TEXTSPLIT($J334,"/"),4)</f>
        <v>NE-Chiller-PumpCtrl-Full-Std</v>
      </c>
      <c r="G334">
        <f>$P334</f>
        <v>3.056E-2</v>
      </c>
      <c r="H334">
        <f>$G$4*G334</f>
        <v>30.4072</v>
      </c>
      <c r="J334" t="s">
        <v>202</v>
      </c>
      <c r="K334" t="s">
        <v>18</v>
      </c>
      <c r="L334">
        <v>2051.0100000000002</v>
      </c>
      <c r="M334">
        <v>5855.28</v>
      </c>
      <c r="P334">
        <v>3.056E-2</v>
      </c>
      <c r="Q334">
        <v>0</v>
      </c>
      <c r="R334">
        <v>300041.8</v>
      </c>
      <c r="S334">
        <v>197273.03</v>
      </c>
      <c r="T334">
        <v>0</v>
      </c>
      <c r="U334">
        <v>258328.15</v>
      </c>
      <c r="V334">
        <v>0</v>
      </c>
      <c r="W334">
        <v>334829.65000000002</v>
      </c>
      <c r="X334">
        <v>36460.99</v>
      </c>
      <c r="Y334">
        <v>34206.660000000003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65832.149999999994</v>
      </c>
      <c r="AF334">
        <v>0</v>
      </c>
      <c r="AG334">
        <v>0</v>
      </c>
      <c r="AH334">
        <v>0</v>
      </c>
      <c r="AI334">
        <v>64094.3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210398.35</v>
      </c>
      <c r="AQ334">
        <v>0</v>
      </c>
      <c r="AR334">
        <v>0</v>
      </c>
      <c r="AS334">
        <v>711321520.96908402</v>
      </c>
    </row>
    <row r="335" spans="2:45" x14ac:dyDescent="0.25">
      <c r="B335" s="15" t="str" cm="1">
        <f t="array" ref="B335">INDEX(_xlfn.TEXTSPLIT($J335,"/"),3)</f>
        <v>ESe&amp;0&amp;cPVVE&amp;Ex&amp;Chiller__PumpCtrl</v>
      </c>
      <c r="C335" s="15" t="str" cm="1">
        <f t="array" ref="C335">INDEX(_xlfn.TEXTSPLIT($J335,"/"),2)</f>
        <v>CZ09</v>
      </c>
      <c r="D335" s="34">
        <f>$G$3*H335</f>
        <v>21.856169999999999</v>
      </c>
      <c r="F335" t="str" cm="1">
        <f t="array" ref="F335">INDEX(_xlfn.TEXTSPLIT($J335,"/"),4)</f>
        <v>NE-Chiller-PumpCtrl-Full-Std</v>
      </c>
      <c r="G335">
        <f>$P335</f>
        <v>3.1379999999999998E-2</v>
      </c>
      <c r="H335">
        <f>$G$4*G335</f>
        <v>31.223099999999999</v>
      </c>
      <c r="J335" t="s">
        <v>187</v>
      </c>
      <c r="K335" t="s">
        <v>19</v>
      </c>
      <c r="L335">
        <v>2106.1</v>
      </c>
      <c r="M335">
        <v>6012.55</v>
      </c>
      <c r="P335">
        <v>3.1379999999999998E-2</v>
      </c>
      <c r="Q335">
        <v>0</v>
      </c>
      <c r="R335">
        <v>339963.35</v>
      </c>
      <c r="S335">
        <v>197273.03</v>
      </c>
      <c r="T335">
        <v>0</v>
      </c>
      <c r="U335">
        <v>258328.15</v>
      </c>
      <c r="V335">
        <v>0</v>
      </c>
      <c r="W335">
        <v>352221.7</v>
      </c>
      <c r="X335">
        <v>38189.42</v>
      </c>
      <c r="Y335">
        <v>35869.870000000003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82959.81</v>
      </c>
      <c r="AF335">
        <v>0</v>
      </c>
      <c r="AG335">
        <v>0</v>
      </c>
      <c r="AH335">
        <v>0</v>
      </c>
      <c r="AI335">
        <v>64094.3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207493.44</v>
      </c>
      <c r="AQ335">
        <v>0</v>
      </c>
      <c r="AR335">
        <v>0</v>
      </c>
      <c r="AS335">
        <v>773439744.44062996</v>
      </c>
    </row>
    <row r="336" spans="2:45" x14ac:dyDescent="0.25">
      <c r="B336" s="15" t="str" cm="1">
        <f t="array" ref="B336">INDEX(_xlfn.TEXTSPLIT($J336,"/"),3)</f>
        <v>ESe&amp;0&amp;cPVVE&amp;Ex&amp;Chiller__PumpCtrl</v>
      </c>
      <c r="C336" s="15" t="str" cm="1">
        <f t="array" ref="C336">INDEX(_xlfn.TEXTSPLIT($J336,"/"),2)</f>
        <v>CZ10</v>
      </c>
      <c r="D336" s="34">
        <f>$G$3*H336</f>
        <v>22.642518500000001</v>
      </c>
      <c r="F336" t="str" cm="1">
        <f t="array" ref="F336">INDEX(_xlfn.TEXTSPLIT($J336,"/"),4)</f>
        <v>NE-Chiller-PumpCtrl-Full-Std</v>
      </c>
      <c r="G336">
        <f>$P336</f>
        <v>3.2509000000000003E-2</v>
      </c>
      <c r="H336">
        <f>$G$4*G336</f>
        <v>32.346455000000006</v>
      </c>
      <c r="J336" t="s">
        <v>170</v>
      </c>
      <c r="K336" t="s">
        <v>20</v>
      </c>
      <c r="L336">
        <v>2181.84</v>
      </c>
      <c r="M336">
        <v>6228.78</v>
      </c>
      <c r="P336">
        <v>3.2509000000000003E-2</v>
      </c>
      <c r="Q336">
        <v>0</v>
      </c>
      <c r="R336">
        <v>388461.74</v>
      </c>
      <c r="S336">
        <v>197273.03</v>
      </c>
      <c r="T336">
        <v>0</v>
      </c>
      <c r="U336">
        <v>258328.15</v>
      </c>
      <c r="V336">
        <v>0</v>
      </c>
      <c r="W336">
        <v>357059.81</v>
      </c>
      <c r="X336">
        <v>36857.629999999997</v>
      </c>
      <c r="Y336">
        <v>34268.620000000003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102532.44</v>
      </c>
      <c r="AF336">
        <v>0</v>
      </c>
      <c r="AG336">
        <v>0</v>
      </c>
      <c r="AH336">
        <v>0</v>
      </c>
      <c r="AI336">
        <v>64094.3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205703.65</v>
      </c>
      <c r="AQ336">
        <v>0</v>
      </c>
      <c r="AR336">
        <v>0</v>
      </c>
      <c r="AS336">
        <v>1090532780.85833</v>
      </c>
    </row>
    <row r="337" spans="2:45" x14ac:dyDescent="0.25">
      <c r="B337" s="15" t="str" cm="1">
        <f t="array" ref="B337">INDEX(_xlfn.TEXTSPLIT($J337,"/"),3)</f>
        <v>ESe&amp;0&amp;cPVVE&amp;Ex&amp;Chiller__PumpCtrl</v>
      </c>
      <c r="C337" s="15" t="str" cm="1">
        <f t="array" ref="C337">INDEX(_xlfn.TEXTSPLIT($J337,"/"),2)</f>
        <v>CZ11</v>
      </c>
      <c r="D337" s="34">
        <f>$G$3*H337</f>
        <v>22.976838499999996</v>
      </c>
      <c r="F337" t="str" cm="1">
        <f t="array" ref="F337">INDEX(_xlfn.TEXTSPLIT($J337,"/"),4)</f>
        <v>NE-Chiller-PumpCtrl-Full-Std</v>
      </c>
      <c r="G337">
        <f>$P337</f>
        <v>3.2988999999999997E-2</v>
      </c>
      <c r="H337">
        <f>$G$4*G337</f>
        <v>32.824054999999994</v>
      </c>
      <c r="J337" t="s">
        <v>154</v>
      </c>
      <c r="K337" t="s">
        <v>21</v>
      </c>
      <c r="L337">
        <v>2214.1</v>
      </c>
      <c r="M337">
        <v>6320.86</v>
      </c>
      <c r="P337">
        <v>3.2988999999999997E-2</v>
      </c>
      <c r="Q337">
        <v>0</v>
      </c>
      <c r="R337">
        <v>373140.9</v>
      </c>
      <c r="S337">
        <v>197273.03</v>
      </c>
      <c r="T337">
        <v>0</v>
      </c>
      <c r="U337">
        <v>258328.15</v>
      </c>
      <c r="V337">
        <v>0</v>
      </c>
      <c r="W337">
        <v>372354.54</v>
      </c>
      <c r="X337">
        <v>32680.720000000001</v>
      </c>
      <c r="Y337">
        <v>29823.32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160689.32999999999</v>
      </c>
      <c r="AF337">
        <v>0</v>
      </c>
      <c r="AG337">
        <v>0</v>
      </c>
      <c r="AH337">
        <v>0</v>
      </c>
      <c r="AI337">
        <v>64094.3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210329.34</v>
      </c>
      <c r="AQ337">
        <v>0</v>
      </c>
      <c r="AR337">
        <v>0</v>
      </c>
      <c r="AS337">
        <v>1219475889.6858201</v>
      </c>
    </row>
    <row r="338" spans="2:45" x14ac:dyDescent="0.25">
      <c r="B338" s="15" t="str" cm="1">
        <f t="array" ref="B338">INDEX(_xlfn.TEXTSPLIT($J338,"/"),3)</f>
        <v>ESe&amp;0&amp;cPVVE&amp;Ex&amp;Chiller__PumpCtrl</v>
      </c>
      <c r="C338" s="15" t="str" cm="1">
        <f t="array" ref="C338">INDEX(_xlfn.TEXTSPLIT($J338,"/"),2)</f>
        <v>CZ12</v>
      </c>
      <c r="D338" s="34">
        <f>$G$3*H338</f>
        <v>22.074870999999998</v>
      </c>
      <c r="F338" t="str" cm="1">
        <f t="array" ref="F338">INDEX(_xlfn.TEXTSPLIT($J338,"/"),4)</f>
        <v>NE-Chiller-PumpCtrl-Full-Std</v>
      </c>
      <c r="G338">
        <f>$P338</f>
        <v>3.1694E-2</v>
      </c>
      <c r="H338">
        <f>$G$4*G338</f>
        <v>31.535530000000001</v>
      </c>
      <c r="J338" t="s">
        <v>138</v>
      </c>
      <c r="K338" t="s">
        <v>22</v>
      </c>
      <c r="L338">
        <v>2127.15</v>
      </c>
      <c r="M338">
        <v>6072.64</v>
      </c>
      <c r="P338">
        <v>3.1694E-2</v>
      </c>
      <c r="Q338">
        <v>0</v>
      </c>
      <c r="R338">
        <v>331112.84999999998</v>
      </c>
      <c r="S338">
        <v>197273.03</v>
      </c>
      <c r="T338">
        <v>0</v>
      </c>
      <c r="U338">
        <v>258328.15</v>
      </c>
      <c r="V338">
        <v>0</v>
      </c>
      <c r="W338">
        <v>358069.15</v>
      </c>
      <c r="X338">
        <v>31403.52</v>
      </c>
      <c r="Y338">
        <v>28401.48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174716.01</v>
      </c>
      <c r="AF338">
        <v>0</v>
      </c>
      <c r="AG338">
        <v>0</v>
      </c>
      <c r="AH338">
        <v>0</v>
      </c>
      <c r="AI338">
        <v>64094.3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216288.73</v>
      </c>
      <c r="AQ338">
        <v>0</v>
      </c>
      <c r="AR338">
        <v>0</v>
      </c>
      <c r="AS338">
        <v>1141069299.8934901</v>
      </c>
    </row>
    <row r="339" spans="2:45" x14ac:dyDescent="0.25">
      <c r="B339" s="15" t="str" cm="1">
        <f t="array" ref="B339">INDEX(_xlfn.TEXTSPLIT($J339,"/"),3)</f>
        <v>ESe&amp;0&amp;cPVVE&amp;Ex&amp;Chiller__PumpCtrl</v>
      </c>
      <c r="C339" s="15" t="str" cm="1">
        <f t="array" ref="C339">INDEX(_xlfn.TEXTSPLIT($J339,"/"),2)</f>
        <v>CZ13</v>
      </c>
      <c r="D339" s="34">
        <f>$G$3*H339</f>
        <v>23.029076000000003</v>
      </c>
      <c r="F339" t="str" cm="1">
        <f t="array" ref="F339">INDEX(_xlfn.TEXTSPLIT($J339,"/"),4)</f>
        <v>NE-Chiller-PumpCtrl-Full-Std</v>
      </c>
      <c r="G339">
        <f>$P339</f>
        <v>3.3064000000000003E-2</v>
      </c>
      <c r="H339">
        <f>$G$4*G339</f>
        <v>32.898680000000006</v>
      </c>
      <c r="J339" t="s">
        <v>127</v>
      </c>
      <c r="K339" t="s">
        <v>23</v>
      </c>
      <c r="L339">
        <v>2219.11</v>
      </c>
      <c r="M339">
        <v>6335.18</v>
      </c>
      <c r="P339">
        <v>3.3064000000000003E-2</v>
      </c>
      <c r="Q339">
        <v>0</v>
      </c>
      <c r="R339">
        <v>412197.4</v>
      </c>
      <c r="S339">
        <v>197273.03</v>
      </c>
      <c r="T339">
        <v>0</v>
      </c>
      <c r="U339">
        <v>258328.15</v>
      </c>
      <c r="V339">
        <v>0</v>
      </c>
      <c r="W339">
        <v>357421.81</v>
      </c>
      <c r="X339">
        <v>34424.26</v>
      </c>
      <c r="Y339">
        <v>31540.07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127457.62</v>
      </c>
      <c r="AF339">
        <v>0</v>
      </c>
      <c r="AG339">
        <v>0</v>
      </c>
      <c r="AH339">
        <v>0</v>
      </c>
      <c r="AI339">
        <v>64094.3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204221.71</v>
      </c>
      <c r="AQ339">
        <v>0</v>
      </c>
      <c r="AR339">
        <v>0</v>
      </c>
      <c r="AS339">
        <v>1217068611.2852499</v>
      </c>
    </row>
    <row r="340" spans="2:45" x14ac:dyDescent="0.25">
      <c r="B340" s="15" t="str" cm="1">
        <f t="array" ref="B340">INDEX(_xlfn.TEXTSPLIT($J340,"/"),3)</f>
        <v>ESe&amp;0&amp;cPVVE&amp;Ex&amp;Chiller__PumpCtrl</v>
      </c>
      <c r="C340" s="15" t="str" cm="1">
        <f t="array" ref="C340">INDEX(_xlfn.TEXTSPLIT($J340,"/"),2)</f>
        <v>CZ14</v>
      </c>
      <c r="D340" s="34">
        <f>$G$3*H340</f>
        <v>22.952460999999996</v>
      </c>
      <c r="F340" t="str" cm="1">
        <f t="array" ref="F340">INDEX(_xlfn.TEXTSPLIT($J340,"/"),4)</f>
        <v>NE-Chiller-PumpCtrl-Full-Std</v>
      </c>
      <c r="G340">
        <f>$P340</f>
        <v>3.2953999999999997E-2</v>
      </c>
      <c r="H340">
        <f>$G$4*G340</f>
        <v>32.789229999999996</v>
      </c>
      <c r="J340" t="s">
        <v>108</v>
      </c>
      <c r="K340" t="s">
        <v>24</v>
      </c>
      <c r="L340">
        <v>2211.6999999999998</v>
      </c>
      <c r="M340">
        <v>6314.01</v>
      </c>
      <c r="P340">
        <v>3.2953999999999997E-2</v>
      </c>
      <c r="Q340">
        <v>0</v>
      </c>
      <c r="R340">
        <v>466822.67</v>
      </c>
      <c r="S340">
        <v>197273.03</v>
      </c>
      <c r="T340">
        <v>0</v>
      </c>
      <c r="U340">
        <v>258328.15</v>
      </c>
      <c r="V340">
        <v>0</v>
      </c>
      <c r="W340">
        <v>365315.58</v>
      </c>
      <c r="X340">
        <v>37763.089999999997</v>
      </c>
      <c r="Y340">
        <v>34653.82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104848.17</v>
      </c>
      <c r="AF340">
        <v>0</v>
      </c>
      <c r="AG340">
        <v>0</v>
      </c>
      <c r="AH340">
        <v>0</v>
      </c>
      <c r="AI340">
        <v>64094.3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193654.7</v>
      </c>
      <c r="AQ340">
        <v>0</v>
      </c>
      <c r="AR340">
        <v>0</v>
      </c>
      <c r="AS340">
        <v>1318220881.64289</v>
      </c>
    </row>
    <row r="341" spans="2:45" x14ac:dyDescent="0.25">
      <c r="B341" s="15" t="str" cm="1">
        <f t="array" ref="B341">INDEX(_xlfn.TEXTSPLIT($J341,"/"),3)</f>
        <v>ESe&amp;0&amp;cPVVE&amp;Ex&amp;Chiller__PumpCtrl</v>
      </c>
      <c r="C341" s="15" t="str" cm="1">
        <f t="array" ref="C341">INDEX(_xlfn.TEXTSPLIT($J341,"/"),2)</f>
        <v>CZ15</v>
      </c>
      <c r="D341" s="34">
        <f>$G$3*H341</f>
        <v>23.693536999999999</v>
      </c>
      <c r="F341" t="str" cm="1">
        <f t="array" ref="F341">INDEX(_xlfn.TEXTSPLIT($J341,"/"),4)</f>
        <v>NE-Chiller-PumpCtrl-Full-Std</v>
      </c>
      <c r="G341">
        <f>$P341</f>
        <v>3.4018E-2</v>
      </c>
      <c r="H341">
        <f>$G$4*G341</f>
        <v>33.847909999999999</v>
      </c>
      <c r="J341" t="s">
        <v>88</v>
      </c>
      <c r="K341" t="s">
        <v>25</v>
      </c>
      <c r="L341">
        <v>2283.14</v>
      </c>
      <c r="M341">
        <v>6517.96</v>
      </c>
      <c r="P341">
        <v>3.4018E-2</v>
      </c>
      <c r="Q341">
        <v>0</v>
      </c>
      <c r="R341">
        <v>668848.80000000005</v>
      </c>
      <c r="S341">
        <v>197273.03</v>
      </c>
      <c r="T341">
        <v>0</v>
      </c>
      <c r="U341">
        <v>258328.15</v>
      </c>
      <c r="V341">
        <v>0</v>
      </c>
      <c r="W341">
        <v>336701.08</v>
      </c>
      <c r="X341">
        <v>45208.4</v>
      </c>
      <c r="Y341">
        <v>42323.56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135305.94</v>
      </c>
      <c r="AF341">
        <v>0</v>
      </c>
      <c r="AG341">
        <v>0</v>
      </c>
      <c r="AH341">
        <v>0</v>
      </c>
      <c r="AI341">
        <v>64094.3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171950.26</v>
      </c>
      <c r="AQ341">
        <v>0</v>
      </c>
      <c r="AR341">
        <v>0</v>
      </c>
      <c r="AS341">
        <v>1338483184.43471</v>
      </c>
    </row>
    <row r="342" spans="2:45" x14ac:dyDescent="0.25">
      <c r="B342" s="15" t="str" cm="1">
        <f t="array" ref="B342">INDEX(_xlfn.TEXTSPLIT($J342,"/"),3)</f>
        <v>ESe&amp;0&amp;cPVVE&amp;Ex&amp;Chiller__PumpCtrl</v>
      </c>
      <c r="C342" s="15" t="str" cm="1">
        <f t="array" ref="C342">INDEX(_xlfn.TEXTSPLIT($J342,"/"),2)</f>
        <v>CZ16</v>
      </c>
      <c r="D342" s="34">
        <f>$G$3*H342</f>
        <v>20.074522999999999</v>
      </c>
      <c r="F342" t="str" cm="1">
        <f t="array" ref="F342">INDEX(_xlfn.TEXTSPLIT($J342,"/"),4)</f>
        <v>NE-Chiller-PumpCtrl-Full-Std</v>
      </c>
      <c r="G342">
        <f>$P342</f>
        <v>2.8822E-2</v>
      </c>
      <c r="H342">
        <f>$G$4*G342</f>
        <v>28.677890000000001</v>
      </c>
      <c r="J342" t="s">
        <v>75</v>
      </c>
      <c r="K342" t="s">
        <v>26</v>
      </c>
      <c r="L342">
        <v>1934.38</v>
      </c>
      <c r="M342">
        <v>5522.32</v>
      </c>
      <c r="P342">
        <v>2.8822E-2</v>
      </c>
      <c r="Q342">
        <v>0</v>
      </c>
      <c r="R342">
        <v>303894.69</v>
      </c>
      <c r="S342">
        <v>197273.03</v>
      </c>
      <c r="T342">
        <v>0</v>
      </c>
      <c r="U342">
        <v>258328.15</v>
      </c>
      <c r="V342">
        <v>0</v>
      </c>
      <c r="W342">
        <v>410092.9</v>
      </c>
      <c r="X342">
        <v>31825.33</v>
      </c>
      <c r="Y342">
        <v>24666.93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240480.02</v>
      </c>
      <c r="AF342">
        <v>0</v>
      </c>
      <c r="AG342">
        <v>0</v>
      </c>
      <c r="AH342">
        <v>0</v>
      </c>
      <c r="AI342">
        <v>64094.3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228588.07</v>
      </c>
      <c r="AQ342">
        <v>0</v>
      </c>
      <c r="AR342">
        <v>0</v>
      </c>
      <c r="AS342">
        <v>924446410.67916</v>
      </c>
    </row>
    <row r="343" spans="2:45" x14ac:dyDescent="0.25">
      <c r="B343" s="15" t="str" cm="1">
        <f t="array" ref="B343">INDEX(_xlfn.TEXTSPLIT($J343,"/"),3)</f>
        <v>ESe&amp;0&amp;cPVVE&amp;New&amp;Chiller__PumpCtrl</v>
      </c>
      <c r="C343" s="15" t="str" cm="1">
        <f t="array" ref="C343">INDEX(_xlfn.TEXTSPLIT($J343,"/"),2)</f>
        <v>CZ01</v>
      </c>
      <c r="D343" s="34">
        <f>$G$3*H343</f>
        <v>11.481105999999999</v>
      </c>
      <c r="F343" t="str" cm="1">
        <f t="array" ref="F343">INDEX(_xlfn.TEXTSPLIT($J343,"/"),4)</f>
        <v>NE-Chiller-PumpCtrl-Full-Std</v>
      </c>
      <c r="G343">
        <f>$P343</f>
        <v>1.6483999999999999E-2</v>
      </c>
      <c r="H343">
        <f>$G$4*G343</f>
        <v>16.401579999999999</v>
      </c>
      <c r="J343" t="s">
        <v>569</v>
      </c>
      <c r="K343" t="s">
        <v>11</v>
      </c>
      <c r="L343">
        <v>1106.3599999999999</v>
      </c>
      <c r="M343">
        <v>3158.47</v>
      </c>
      <c r="P343">
        <v>1.6483999999999999E-2</v>
      </c>
      <c r="Q343">
        <v>0</v>
      </c>
      <c r="R343">
        <v>22104.23</v>
      </c>
      <c r="S343">
        <v>94437.9</v>
      </c>
      <c r="T343">
        <v>0</v>
      </c>
      <c r="U343">
        <v>258328.15</v>
      </c>
      <c r="V343">
        <v>0</v>
      </c>
      <c r="W343">
        <v>247295.74</v>
      </c>
      <c r="X343">
        <v>3585.59</v>
      </c>
      <c r="Y343">
        <v>3283.42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219799.82</v>
      </c>
      <c r="AF343">
        <v>0</v>
      </c>
      <c r="AG343">
        <v>0</v>
      </c>
      <c r="AH343">
        <v>0</v>
      </c>
      <c r="AI343">
        <v>64094.3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253174.34</v>
      </c>
      <c r="AQ343">
        <v>0</v>
      </c>
      <c r="AR343">
        <v>0</v>
      </c>
      <c r="AS343">
        <v>444027574.75345701</v>
      </c>
    </row>
    <row r="344" spans="2:45" x14ac:dyDescent="0.25">
      <c r="B344" s="15" t="str" cm="1">
        <f t="array" ref="B344">INDEX(_xlfn.TEXTSPLIT($J344,"/"),3)</f>
        <v>ESe&amp;0&amp;cPVVE&amp;New&amp;Chiller__PumpCtrl</v>
      </c>
      <c r="C344" s="15" t="str" cm="1">
        <f t="array" ref="C344">INDEX(_xlfn.TEXTSPLIT($J344,"/"),2)</f>
        <v>CZ02</v>
      </c>
      <c r="D344" s="34">
        <f>$G$3*H344</f>
        <v>16.514014999999997</v>
      </c>
      <c r="F344" t="str" cm="1">
        <f t="array" ref="F344">INDEX(_xlfn.TEXTSPLIT($J344,"/"),4)</f>
        <v>NE-Chiller-PumpCtrl-Full-Std</v>
      </c>
      <c r="G344">
        <f>$P344</f>
        <v>2.3709999999999998E-2</v>
      </c>
      <c r="H344">
        <f>$G$4*G344</f>
        <v>23.591449999999998</v>
      </c>
      <c r="J344" t="s">
        <v>554</v>
      </c>
      <c r="K344" t="s">
        <v>12</v>
      </c>
      <c r="L344">
        <v>1591.29</v>
      </c>
      <c r="M344">
        <v>4542.8599999999997</v>
      </c>
      <c r="P344">
        <v>2.3709999999999998E-2</v>
      </c>
      <c r="Q344">
        <v>0</v>
      </c>
      <c r="R344">
        <v>151282.29</v>
      </c>
      <c r="S344">
        <v>94437.9</v>
      </c>
      <c r="T344">
        <v>0</v>
      </c>
      <c r="U344">
        <v>258328.15</v>
      </c>
      <c r="V344">
        <v>0</v>
      </c>
      <c r="W344">
        <v>344805.11</v>
      </c>
      <c r="X344">
        <v>19511.990000000002</v>
      </c>
      <c r="Y344">
        <v>17574.79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203953.22</v>
      </c>
      <c r="AF344">
        <v>0</v>
      </c>
      <c r="AG344">
        <v>0</v>
      </c>
      <c r="AH344">
        <v>0</v>
      </c>
      <c r="AI344">
        <v>64094.3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232580.47</v>
      </c>
      <c r="AQ344">
        <v>0</v>
      </c>
      <c r="AR344">
        <v>0</v>
      </c>
      <c r="AS344">
        <v>776182098.41286302</v>
      </c>
    </row>
    <row r="345" spans="2:45" x14ac:dyDescent="0.25">
      <c r="B345" s="15" t="str" cm="1">
        <f t="array" ref="B345">INDEX(_xlfn.TEXTSPLIT($J345,"/"),3)</f>
        <v>ESe&amp;0&amp;cPVVE&amp;New&amp;Chiller__PumpCtrl</v>
      </c>
      <c r="C345" s="15" t="str" cm="1">
        <f t="array" ref="C345">INDEX(_xlfn.TEXTSPLIT($J345,"/"),2)</f>
        <v>CZ03</v>
      </c>
      <c r="D345" s="34">
        <f>$G$3*H345</f>
        <v>15.449763000000001</v>
      </c>
      <c r="F345" t="str" cm="1">
        <f t="array" ref="F345">INDEX(_xlfn.TEXTSPLIT($J345,"/"),4)</f>
        <v>NE-Chiller-PumpCtrl-Full-Std</v>
      </c>
      <c r="G345">
        <f>$P345</f>
        <v>2.2182E-2</v>
      </c>
      <c r="H345">
        <f>$G$4*G345</f>
        <v>22.071090000000002</v>
      </c>
      <c r="J345" t="s">
        <v>539</v>
      </c>
      <c r="K345" t="s">
        <v>13</v>
      </c>
      <c r="L345">
        <v>1488.73</v>
      </c>
      <c r="M345">
        <v>4250.0600000000004</v>
      </c>
      <c r="P345">
        <v>2.2182E-2</v>
      </c>
      <c r="Q345">
        <v>0</v>
      </c>
      <c r="R345">
        <v>97256.67</v>
      </c>
      <c r="S345">
        <v>94437.9</v>
      </c>
      <c r="T345">
        <v>0</v>
      </c>
      <c r="U345">
        <v>258328.15</v>
      </c>
      <c r="V345">
        <v>0</v>
      </c>
      <c r="W345">
        <v>321135.98</v>
      </c>
      <c r="X345">
        <v>17427</v>
      </c>
      <c r="Y345">
        <v>16200.31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120995.1</v>
      </c>
      <c r="AF345">
        <v>0</v>
      </c>
      <c r="AG345">
        <v>0</v>
      </c>
      <c r="AH345">
        <v>0</v>
      </c>
      <c r="AI345">
        <v>64094.3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231726.04</v>
      </c>
      <c r="AQ345">
        <v>0</v>
      </c>
      <c r="AR345">
        <v>0</v>
      </c>
      <c r="AS345">
        <v>631452013.91969395</v>
      </c>
    </row>
    <row r="346" spans="2:45" x14ac:dyDescent="0.25">
      <c r="B346" s="15" t="str" cm="1">
        <f t="array" ref="B346">INDEX(_xlfn.TEXTSPLIT($J346,"/"),3)</f>
        <v>ESe&amp;0&amp;cPVVE&amp;New&amp;Chiller__PumpCtrl</v>
      </c>
      <c r="C346" s="15" t="str" cm="1">
        <f t="array" ref="C346">INDEX(_xlfn.TEXTSPLIT($J346,"/"),2)</f>
        <v>CZ04</v>
      </c>
      <c r="D346" s="34">
        <f>$G$3*H346</f>
        <v>16.798186999999999</v>
      </c>
      <c r="F346" t="str" cm="1">
        <f t="array" ref="F346">INDEX(_xlfn.TEXTSPLIT($J346,"/"),4)</f>
        <v>NE-Chiller-PumpCtrl-Full-Std</v>
      </c>
      <c r="G346">
        <f>$P346</f>
        <v>2.4118000000000001E-2</v>
      </c>
      <c r="H346">
        <f>$G$4*G346</f>
        <v>23.997410000000002</v>
      </c>
      <c r="J346" t="s">
        <v>523</v>
      </c>
      <c r="K346" t="s">
        <v>14</v>
      </c>
      <c r="L346">
        <v>1618.69</v>
      </c>
      <c r="M346">
        <v>4621.07</v>
      </c>
      <c r="P346">
        <v>2.4118000000000001E-2</v>
      </c>
      <c r="Q346">
        <v>0</v>
      </c>
      <c r="R346">
        <v>173275.65</v>
      </c>
      <c r="S346">
        <v>94437.9</v>
      </c>
      <c r="T346">
        <v>0</v>
      </c>
      <c r="U346">
        <v>258328.15</v>
      </c>
      <c r="V346">
        <v>0</v>
      </c>
      <c r="W346">
        <v>333124.14</v>
      </c>
      <c r="X346">
        <v>21825.41</v>
      </c>
      <c r="Y346">
        <v>20269.98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119681.59</v>
      </c>
      <c r="AF346">
        <v>0</v>
      </c>
      <c r="AG346">
        <v>0</v>
      </c>
      <c r="AH346">
        <v>0</v>
      </c>
      <c r="AI346">
        <v>64094.3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223734.88</v>
      </c>
      <c r="AQ346">
        <v>0</v>
      </c>
      <c r="AR346">
        <v>0</v>
      </c>
      <c r="AS346">
        <v>810166832.01511002</v>
      </c>
    </row>
    <row r="347" spans="2:45" x14ac:dyDescent="0.25">
      <c r="B347" s="15" t="str" cm="1">
        <f t="array" ref="B347">INDEX(_xlfn.TEXTSPLIT($J347,"/"),3)</f>
        <v>ESe&amp;0&amp;cPVVE&amp;New&amp;Chiller__PumpCtrl</v>
      </c>
      <c r="C347" s="15" t="str" cm="1">
        <f t="array" ref="C347">INDEX(_xlfn.TEXTSPLIT($J347,"/"),2)</f>
        <v>CZ05</v>
      </c>
      <c r="D347" s="34">
        <f>$G$3*H347</f>
        <v>14.289393999999998</v>
      </c>
      <c r="F347" t="str" cm="1">
        <f t="array" ref="F347">INDEX(_xlfn.TEXTSPLIT($J347,"/"),4)</f>
        <v>NE-Chiller-PumpCtrl-Full-Std</v>
      </c>
      <c r="G347">
        <f>$P347</f>
        <v>2.0516E-2</v>
      </c>
      <c r="H347">
        <f>$G$4*G347</f>
        <v>20.413419999999999</v>
      </c>
      <c r="J347" t="s">
        <v>509</v>
      </c>
      <c r="K347" t="s">
        <v>15</v>
      </c>
      <c r="L347">
        <v>1376.95</v>
      </c>
      <c r="M347">
        <v>3930.94</v>
      </c>
      <c r="P347">
        <v>2.0516E-2</v>
      </c>
      <c r="Q347">
        <v>0</v>
      </c>
      <c r="R347">
        <v>110587.85</v>
      </c>
      <c r="S347">
        <v>94437.9</v>
      </c>
      <c r="T347">
        <v>0</v>
      </c>
      <c r="U347">
        <v>258328.15</v>
      </c>
      <c r="V347">
        <v>0</v>
      </c>
      <c r="W347">
        <v>312050.78000000003</v>
      </c>
      <c r="X347">
        <v>17405.419999999998</v>
      </c>
      <c r="Y347">
        <v>16090.82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117503.35</v>
      </c>
      <c r="AF347">
        <v>0</v>
      </c>
      <c r="AG347">
        <v>0</v>
      </c>
      <c r="AH347">
        <v>0</v>
      </c>
      <c r="AI347">
        <v>64094.3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231749.16</v>
      </c>
      <c r="AQ347">
        <v>0</v>
      </c>
      <c r="AR347">
        <v>0</v>
      </c>
      <c r="AS347">
        <v>484913301.87108201</v>
      </c>
    </row>
    <row r="348" spans="2:45" x14ac:dyDescent="0.25">
      <c r="B348" s="15" t="str" cm="1">
        <f t="array" ref="B348">INDEX(_xlfn.TEXTSPLIT($J348,"/"),3)</f>
        <v>ESe&amp;0&amp;cPVVE&amp;New&amp;Chiller__PumpCtrl</v>
      </c>
      <c r="C348" s="15" t="str" cm="1">
        <f t="array" ref="C348">INDEX(_xlfn.TEXTSPLIT($J348,"/"),2)</f>
        <v>CZ06</v>
      </c>
      <c r="D348" s="34">
        <f>$G$3*H348</f>
        <v>15.4448875</v>
      </c>
      <c r="F348" t="str" cm="1">
        <f t="array" ref="F348">INDEX(_xlfn.TEXTSPLIT($J348,"/"),4)</f>
        <v>NE-Chiller-PumpCtrl-Full-Std</v>
      </c>
      <c r="G348">
        <f>$P348</f>
        <v>2.2175E-2</v>
      </c>
      <c r="H348">
        <f>$G$4*G348</f>
        <v>22.064125000000001</v>
      </c>
      <c r="J348" t="s">
        <v>491</v>
      </c>
      <c r="K348" t="s">
        <v>16</v>
      </c>
      <c r="L348">
        <v>1488.27</v>
      </c>
      <c r="M348">
        <v>4248.76</v>
      </c>
      <c r="P348">
        <v>2.2175E-2</v>
      </c>
      <c r="Q348">
        <v>0</v>
      </c>
      <c r="R348">
        <v>183324.57</v>
      </c>
      <c r="S348">
        <v>94437.9</v>
      </c>
      <c r="T348">
        <v>0</v>
      </c>
      <c r="U348">
        <v>258328.15</v>
      </c>
      <c r="V348">
        <v>0</v>
      </c>
      <c r="W348">
        <v>307114.58</v>
      </c>
      <c r="X348">
        <v>25688.9</v>
      </c>
      <c r="Y348">
        <v>24161.42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42029.22</v>
      </c>
      <c r="AF348">
        <v>0</v>
      </c>
      <c r="AG348">
        <v>0</v>
      </c>
      <c r="AH348">
        <v>0</v>
      </c>
      <c r="AI348">
        <v>64094.3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213472.92</v>
      </c>
      <c r="AQ348">
        <v>0</v>
      </c>
      <c r="AR348">
        <v>0</v>
      </c>
      <c r="AS348">
        <v>447221207.56706601</v>
      </c>
    </row>
    <row r="349" spans="2:45" x14ac:dyDescent="0.25">
      <c r="B349" s="15" t="str" cm="1">
        <f t="array" ref="B349">INDEX(_xlfn.TEXTSPLIT($J349,"/"),3)</f>
        <v>ESe&amp;0&amp;cPVVE&amp;New&amp;Chiller__PumpCtrl</v>
      </c>
      <c r="C349" s="15" t="str" cm="1">
        <f t="array" ref="C349">INDEX(_xlfn.TEXTSPLIT($J349,"/"),2)</f>
        <v>CZ07</v>
      </c>
      <c r="D349" s="34">
        <f>$G$3*H349</f>
        <v>15.890647499999998</v>
      </c>
      <c r="F349" t="str" cm="1">
        <f t="array" ref="F349">INDEX(_xlfn.TEXTSPLIT($J349,"/"),4)</f>
        <v>NE-Chiller-PumpCtrl-Full-Std</v>
      </c>
      <c r="G349">
        <f>$P349</f>
        <v>2.2814999999999998E-2</v>
      </c>
      <c r="H349">
        <f>$G$4*G349</f>
        <v>22.700924999999998</v>
      </c>
      <c r="J349" t="s">
        <v>475</v>
      </c>
      <c r="K349" t="s">
        <v>17</v>
      </c>
      <c r="L349">
        <v>1531.22</v>
      </c>
      <c r="M349">
        <v>4371.3599999999997</v>
      </c>
      <c r="P349">
        <v>2.2814999999999998E-2</v>
      </c>
      <c r="Q349">
        <v>0</v>
      </c>
      <c r="R349">
        <v>209455.82</v>
      </c>
      <c r="S349">
        <v>94437.9</v>
      </c>
      <c r="T349">
        <v>0</v>
      </c>
      <c r="U349">
        <v>258328.15</v>
      </c>
      <c r="V349">
        <v>0</v>
      </c>
      <c r="W349">
        <v>305246.07</v>
      </c>
      <c r="X349">
        <v>27256.86</v>
      </c>
      <c r="Y349">
        <v>25640.05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58197.38</v>
      </c>
      <c r="AF349">
        <v>0</v>
      </c>
      <c r="AG349">
        <v>0</v>
      </c>
      <c r="AH349">
        <v>0</v>
      </c>
      <c r="AI349">
        <v>64094.3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210769.31</v>
      </c>
      <c r="AQ349">
        <v>0</v>
      </c>
      <c r="AR349">
        <v>0</v>
      </c>
      <c r="AS349">
        <v>536238591.95448297</v>
      </c>
    </row>
    <row r="350" spans="2:45" x14ac:dyDescent="0.25">
      <c r="B350" s="15" t="str" cm="1">
        <f t="array" ref="B350">INDEX(_xlfn.TEXTSPLIT($J350,"/"),3)</f>
        <v>ESe&amp;0&amp;cPVVE&amp;New&amp;Chiller__PumpCtrl</v>
      </c>
      <c r="C350" s="15" t="str" cm="1">
        <f t="array" ref="C350">INDEX(_xlfn.TEXTSPLIT($J350,"/"),2)</f>
        <v>CZ08</v>
      </c>
      <c r="D350" s="34">
        <f>$G$3*H350</f>
        <v>17.250912</v>
      </c>
      <c r="F350" t="str" cm="1">
        <f t="array" ref="F350">INDEX(_xlfn.TEXTSPLIT($J350,"/"),4)</f>
        <v>NE-Chiller-PumpCtrl-Full-Std</v>
      </c>
      <c r="G350">
        <f>$P350</f>
        <v>2.4767999999999998E-2</v>
      </c>
      <c r="H350">
        <f>$G$4*G350</f>
        <v>24.644159999999999</v>
      </c>
      <c r="J350" t="s">
        <v>458</v>
      </c>
      <c r="K350" t="s">
        <v>18</v>
      </c>
      <c r="L350">
        <v>1662.33</v>
      </c>
      <c r="M350">
        <v>4745.6499999999996</v>
      </c>
      <c r="P350">
        <v>2.4767999999999998E-2</v>
      </c>
      <c r="Q350">
        <v>0</v>
      </c>
      <c r="R350">
        <v>247163.44</v>
      </c>
      <c r="S350">
        <v>94437.9</v>
      </c>
      <c r="T350">
        <v>0</v>
      </c>
      <c r="U350">
        <v>258328.15</v>
      </c>
      <c r="V350">
        <v>0</v>
      </c>
      <c r="W350">
        <v>316097.57</v>
      </c>
      <c r="X350">
        <v>28767.439999999999</v>
      </c>
      <c r="Y350">
        <v>27015.57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72213.7</v>
      </c>
      <c r="AF350">
        <v>0</v>
      </c>
      <c r="AG350">
        <v>0</v>
      </c>
      <c r="AH350">
        <v>0</v>
      </c>
      <c r="AI350">
        <v>64094.3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210398.24</v>
      </c>
      <c r="AQ350">
        <v>0</v>
      </c>
      <c r="AR350">
        <v>0</v>
      </c>
      <c r="AS350">
        <v>595194772.78014302</v>
      </c>
    </row>
    <row r="351" spans="2:45" x14ac:dyDescent="0.25">
      <c r="B351" s="15" t="str" cm="1">
        <f t="array" ref="B351">INDEX(_xlfn.TEXTSPLIT($J351,"/"),3)</f>
        <v>ESe&amp;0&amp;cPVVE&amp;New&amp;Chiller__PumpCtrl</v>
      </c>
      <c r="C351" s="15" t="str" cm="1">
        <f t="array" ref="C351">INDEX(_xlfn.TEXTSPLIT($J351,"/"),2)</f>
        <v>CZ09</v>
      </c>
      <c r="D351" s="34">
        <f>$G$3*H351</f>
        <v>17.382550500000001</v>
      </c>
      <c r="F351" t="str" cm="1">
        <f t="array" ref="F351">INDEX(_xlfn.TEXTSPLIT($J351,"/"),4)</f>
        <v>NE-Chiller-PumpCtrl-Full-Std</v>
      </c>
      <c r="G351">
        <f>$P351</f>
        <v>2.4957E-2</v>
      </c>
      <c r="H351">
        <f>$G$4*G351</f>
        <v>24.832215000000001</v>
      </c>
      <c r="J351" t="s">
        <v>441</v>
      </c>
      <c r="K351" t="s">
        <v>19</v>
      </c>
      <c r="L351">
        <v>1675.01</v>
      </c>
      <c r="M351">
        <v>4781.87</v>
      </c>
      <c r="P351">
        <v>2.4957E-2</v>
      </c>
      <c r="Q351">
        <v>0</v>
      </c>
      <c r="R351">
        <v>278084.81</v>
      </c>
      <c r="S351">
        <v>94437.9</v>
      </c>
      <c r="T351">
        <v>0</v>
      </c>
      <c r="U351">
        <v>258328.15</v>
      </c>
      <c r="V351">
        <v>0</v>
      </c>
      <c r="W351">
        <v>327340.58</v>
      </c>
      <c r="X351">
        <v>29614.63</v>
      </c>
      <c r="Y351">
        <v>27824.080000000002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86372.27</v>
      </c>
      <c r="AF351">
        <v>0</v>
      </c>
      <c r="AG351">
        <v>0</v>
      </c>
      <c r="AH351">
        <v>0</v>
      </c>
      <c r="AI351">
        <v>64094.3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207506.52</v>
      </c>
      <c r="AQ351">
        <v>0</v>
      </c>
      <c r="AR351">
        <v>0</v>
      </c>
      <c r="AS351">
        <v>626843089.78300595</v>
      </c>
    </row>
    <row r="352" spans="2:45" x14ac:dyDescent="0.25">
      <c r="B352" s="15" t="str" cm="1">
        <f t="array" ref="B352">INDEX(_xlfn.TEXTSPLIT($J352,"/"),3)</f>
        <v>ESe&amp;0&amp;cPVVE&amp;New&amp;Chiller__PumpCtrl</v>
      </c>
      <c r="C352" s="15" t="str" cm="1">
        <f t="array" ref="C352">INDEX(_xlfn.TEXTSPLIT($J352,"/"),2)</f>
        <v>CZ10</v>
      </c>
      <c r="D352" s="34">
        <f>$G$3*H352</f>
        <v>18.79157</v>
      </c>
      <c r="F352" t="str" cm="1">
        <f t="array" ref="F352">INDEX(_xlfn.TEXTSPLIT($J352,"/"),4)</f>
        <v>NE-Chiller-PumpCtrl-Full-Std</v>
      </c>
      <c r="G352">
        <f>$P352</f>
        <v>2.6980000000000001E-2</v>
      </c>
      <c r="H352">
        <f>$G$4*G352</f>
        <v>26.845100000000002</v>
      </c>
      <c r="J352" t="s">
        <v>425</v>
      </c>
      <c r="K352" t="s">
        <v>20</v>
      </c>
      <c r="L352">
        <v>1810.74</v>
      </c>
      <c r="M352">
        <v>5169.3500000000004</v>
      </c>
      <c r="P352">
        <v>2.6980000000000001E-2</v>
      </c>
      <c r="Q352">
        <v>0</v>
      </c>
      <c r="R352">
        <v>330729.69</v>
      </c>
      <c r="S352">
        <v>94437.9</v>
      </c>
      <c r="T352">
        <v>0</v>
      </c>
      <c r="U352">
        <v>258328.15</v>
      </c>
      <c r="V352">
        <v>0</v>
      </c>
      <c r="W352">
        <v>329151.2</v>
      </c>
      <c r="X352">
        <v>29902.36</v>
      </c>
      <c r="Y352">
        <v>27899.26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104448.53</v>
      </c>
      <c r="AF352">
        <v>0</v>
      </c>
      <c r="AG352">
        <v>0</v>
      </c>
      <c r="AH352">
        <v>0</v>
      </c>
      <c r="AI352">
        <v>64094.3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205698.57</v>
      </c>
      <c r="AQ352">
        <v>0</v>
      </c>
      <c r="AR352">
        <v>0</v>
      </c>
      <c r="AS352">
        <v>933477803.14044905</v>
      </c>
    </row>
    <row r="353" spans="2:45" x14ac:dyDescent="0.25">
      <c r="B353" s="15" t="str" cm="1">
        <f t="array" ref="B353">INDEX(_xlfn.TEXTSPLIT($J353,"/"),3)</f>
        <v>ESe&amp;0&amp;cPVVE&amp;New&amp;Chiller__PumpCtrl</v>
      </c>
      <c r="C353" s="15" t="str" cm="1">
        <f t="array" ref="C353">INDEX(_xlfn.TEXTSPLIT($J353,"/"),2)</f>
        <v>CZ11</v>
      </c>
      <c r="D353" s="34">
        <f>$G$3*H353</f>
        <v>16.208947999999999</v>
      </c>
      <c r="F353" t="str" cm="1">
        <f t="array" ref="F353">INDEX(_xlfn.TEXTSPLIT($J353,"/"),4)</f>
        <v>NE-Chiller-PumpCtrl-Full-Std</v>
      </c>
      <c r="G353">
        <f>$P353</f>
        <v>2.3272000000000001E-2</v>
      </c>
      <c r="H353">
        <f>$G$4*G353</f>
        <v>23.155640000000002</v>
      </c>
      <c r="J353" t="s">
        <v>411</v>
      </c>
      <c r="K353" t="s">
        <v>21</v>
      </c>
      <c r="L353">
        <v>1561.89</v>
      </c>
      <c r="M353">
        <v>4458.91</v>
      </c>
      <c r="P353">
        <v>2.3272000000000001E-2</v>
      </c>
      <c r="Q353">
        <v>0</v>
      </c>
      <c r="R353">
        <v>270111.67</v>
      </c>
      <c r="S353">
        <v>94437.9</v>
      </c>
      <c r="T353">
        <v>0</v>
      </c>
      <c r="U353">
        <v>258328.15</v>
      </c>
      <c r="V353">
        <v>0</v>
      </c>
      <c r="W353">
        <v>267793.5</v>
      </c>
      <c r="X353">
        <v>21520.77</v>
      </c>
      <c r="Y353">
        <v>20091.89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148746.04</v>
      </c>
      <c r="AF353">
        <v>0</v>
      </c>
      <c r="AG353">
        <v>0</v>
      </c>
      <c r="AH353">
        <v>0</v>
      </c>
      <c r="AI353">
        <v>64094.3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210322.45</v>
      </c>
      <c r="AQ353">
        <v>0</v>
      </c>
      <c r="AR353">
        <v>0</v>
      </c>
      <c r="AS353">
        <v>899061257.24421895</v>
      </c>
    </row>
    <row r="354" spans="2:45" x14ac:dyDescent="0.25">
      <c r="B354" s="15" t="str" cm="1">
        <f t="array" ref="B354">INDEX(_xlfn.TEXTSPLIT($J354,"/"),3)</f>
        <v>ESe&amp;0&amp;cPVVE&amp;New&amp;Chiller__PumpCtrl</v>
      </c>
      <c r="C354" s="15" t="str" cm="1">
        <f t="array" ref="C354">INDEX(_xlfn.TEXTSPLIT($J354,"/"),2)</f>
        <v>CZ12</v>
      </c>
      <c r="D354" s="34">
        <f>$G$3*H354</f>
        <v>16.076612999999998</v>
      </c>
      <c r="F354" t="str" cm="1">
        <f t="array" ref="F354">INDEX(_xlfn.TEXTSPLIT($J354,"/"),4)</f>
        <v>NE-Chiller-PumpCtrl-Full-Std</v>
      </c>
      <c r="G354">
        <f>$P354</f>
        <v>2.3081999999999998E-2</v>
      </c>
      <c r="H354">
        <f>$G$4*G354</f>
        <v>22.96659</v>
      </c>
      <c r="J354" t="s">
        <v>393</v>
      </c>
      <c r="K354" t="s">
        <v>22</v>
      </c>
      <c r="L354">
        <v>1549.14</v>
      </c>
      <c r="M354">
        <v>4422.53</v>
      </c>
      <c r="P354">
        <v>2.3081999999999998E-2</v>
      </c>
      <c r="Q354">
        <v>0</v>
      </c>
      <c r="R354">
        <v>247519.87</v>
      </c>
      <c r="S354">
        <v>94437.9</v>
      </c>
      <c r="T354">
        <v>0</v>
      </c>
      <c r="U354">
        <v>258328.15</v>
      </c>
      <c r="V354">
        <v>0</v>
      </c>
      <c r="W354">
        <v>273474.14</v>
      </c>
      <c r="X354">
        <v>21906.23</v>
      </c>
      <c r="Y354">
        <v>20094.310000000001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170392.22</v>
      </c>
      <c r="AF354">
        <v>0</v>
      </c>
      <c r="AG354">
        <v>0</v>
      </c>
      <c r="AH354">
        <v>0</v>
      </c>
      <c r="AI354">
        <v>64094.3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216283.71</v>
      </c>
      <c r="AQ354">
        <v>0</v>
      </c>
      <c r="AR354">
        <v>0</v>
      </c>
      <c r="AS354">
        <v>866835798.46281099</v>
      </c>
    </row>
    <row r="355" spans="2:45" x14ac:dyDescent="0.25">
      <c r="B355" s="15" t="str" cm="1">
        <f t="array" ref="B355">INDEX(_xlfn.TEXTSPLIT($J355,"/"),3)</f>
        <v>ESe&amp;0&amp;cPVVE&amp;New&amp;Chiller__PumpCtrl</v>
      </c>
      <c r="C355" s="15" t="str" cm="1">
        <f t="array" ref="C355">INDEX(_xlfn.TEXTSPLIT($J355,"/"),2)</f>
        <v>CZ13</v>
      </c>
      <c r="D355" s="34">
        <f>$G$3*H355</f>
        <v>16.8058485</v>
      </c>
      <c r="F355" t="str" cm="1">
        <f t="array" ref="F355">INDEX(_xlfn.TEXTSPLIT($J355,"/"),4)</f>
        <v>NE-Chiller-PumpCtrl-Full-Std</v>
      </c>
      <c r="G355">
        <f>$P355</f>
        <v>2.4129000000000001E-2</v>
      </c>
      <c r="H355">
        <f>$G$4*G355</f>
        <v>24.008355000000002</v>
      </c>
      <c r="J355" t="s">
        <v>379</v>
      </c>
      <c r="K355" t="s">
        <v>23</v>
      </c>
      <c r="L355">
        <v>1619.42</v>
      </c>
      <c r="M355">
        <v>4623.16</v>
      </c>
      <c r="P355">
        <v>2.4129000000000001E-2</v>
      </c>
      <c r="Q355">
        <v>0</v>
      </c>
      <c r="R355">
        <v>303516.92</v>
      </c>
      <c r="S355">
        <v>94437.9</v>
      </c>
      <c r="T355">
        <v>0</v>
      </c>
      <c r="U355">
        <v>258328.15</v>
      </c>
      <c r="V355">
        <v>0</v>
      </c>
      <c r="W355">
        <v>265251.34999999998</v>
      </c>
      <c r="X355">
        <v>23648.31</v>
      </c>
      <c r="Y355">
        <v>22086.82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126164.76</v>
      </c>
      <c r="AF355">
        <v>0</v>
      </c>
      <c r="AG355">
        <v>0</v>
      </c>
      <c r="AH355">
        <v>0</v>
      </c>
      <c r="AI355">
        <v>64094.3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204198.84</v>
      </c>
      <c r="AQ355">
        <v>0</v>
      </c>
      <c r="AR355">
        <v>0</v>
      </c>
      <c r="AS355">
        <v>911075877.73142302</v>
      </c>
    </row>
    <row r="356" spans="2:45" x14ac:dyDescent="0.25">
      <c r="B356" s="15" t="str" cm="1">
        <f t="array" ref="B356">INDEX(_xlfn.TEXTSPLIT($J356,"/"),3)</f>
        <v>ESe&amp;0&amp;cPVVE&amp;New&amp;Chiller__PumpCtrl</v>
      </c>
      <c r="C356" s="15" t="str" cm="1">
        <f t="array" ref="C356">INDEX(_xlfn.TEXTSPLIT($J356,"/"),2)</f>
        <v>CZ14</v>
      </c>
      <c r="D356" s="34">
        <f>$G$3*H356</f>
        <v>16.844155999999998</v>
      </c>
      <c r="F356" t="str" cm="1">
        <f t="array" ref="F356">INDEX(_xlfn.TEXTSPLIT($J356,"/"),4)</f>
        <v>NE-Chiller-PumpCtrl-Full-Std</v>
      </c>
      <c r="G356">
        <f>$P356</f>
        <v>2.4184000000000001E-2</v>
      </c>
      <c r="H356">
        <f>$G$4*G356</f>
        <v>24.063079999999999</v>
      </c>
      <c r="J356" t="s">
        <v>366</v>
      </c>
      <c r="K356" t="s">
        <v>24</v>
      </c>
      <c r="L356">
        <v>1623.13</v>
      </c>
      <c r="M356">
        <v>4633.75</v>
      </c>
      <c r="P356">
        <v>2.4184000000000001E-2</v>
      </c>
      <c r="Q356">
        <v>0</v>
      </c>
      <c r="R356">
        <v>352111.44</v>
      </c>
      <c r="S356">
        <v>94437.9</v>
      </c>
      <c r="T356">
        <v>0</v>
      </c>
      <c r="U356">
        <v>258328.15</v>
      </c>
      <c r="V356">
        <v>0</v>
      </c>
      <c r="W356">
        <v>277100.73</v>
      </c>
      <c r="X356">
        <v>26122.41</v>
      </c>
      <c r="Y356">
        <v>24392.1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94126.7</v>
      </c>
      <c r="AF356">
        <v>0</v>
      </c>
      <c r="AG356">
        <v>0</v>
      </c>
      <c r="AH356">
        <v>0</v>
      </c>
      <c r="AI356">
        <v>64094.3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193633.24</v>
      </c>
      <c r="AQ356">
        <v>0</v>
      </c>
      <c r="AR356">
        <v>0</v>
      </c>
      <c r="AS356">
        <v>1016677483.17325</v>
      </c>
    </row>
    <row r="357" spans="2:45" x14ac:dyDescent="0.25">
      <c r="B357" s="15" t="str" cm="1">
        <f t="array" ref="B357">INDEX(_xlfn.TEXTSPLIT($J357,"/"),3)</f>
        <v>ESe&amp;0&amp;cPVVE&amp;New&amp;Chiller__PumpCtrl</v>
      </c>
      <c r="C357" s="15" t="str" cm="1">
        <f t="array" ref="C357">INDEX(_xlfn.TEXTSPLIT($J357,"/"),2)</f>
        <v>CZ15</v>
      </c>
      <c r="D357" s="34">
        <f>$G$3*H357</f>
        <v>17.714780999999999</v>
      </c>
      <c r="F357" t="str" cm="1">
        <f t="array" ref="F357">INDEX(_xlfn.TEXTSPLIT($J357,"/"),4)</f>
        <v>NE-Chiller-PumpCtrl-Full-Std</v>
      </c>
      <c r="G357">
        <f>$P357</f>
        <v>2.5433999999999998E-2</v>
      </c>
      <c r="H357">
        <f>$G$4*G357</f>
        <v>25.306829999999998</v>
      </c>
      <c r="J357" t="s">
        <v>346</v>
      </c>
      <c r="K357" t="s">
        <v>25</v>
      </c>
      <c r="L357">
        <v>1707.04</v>
      </c>
      <c r="M357">
        <v>4873.3</v>
      </c>
      <c r="P357">
        <v>2.5433999999999998E-2</v>
      </c>
      <c r="Q357">
        <v>0</v>
      </c>
      <c r="R357">
        <v>510699.2</v>
      </c>
      <c r="S357">
        <v>94437.9</v>
      </c>
      <c r="T357">
        <v>0</v>
      </c>
      <c r="U357">
        <v>258328.15</v>
      </c>
      <c r="V357">
        <v>0</v>
      </c>
      <c r="W357">
        <v>265196.11</v>
      </c>
      <c r="X357">
        <v>32642.76</v>
      </c>
      <c r="Y357">
        <v>30576.23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118486.32</v>
      </c>
      <c r="AF357">
        <v>0</v>
      </c>
      <c r="AG357">
        <v>0</v>
      </c>
      <c r="AH357">
        <v>0</v>
      </c>
      <c r="AI357">
        <v>64094.3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171935.84</v>
      </c>
      <c r="AQ357">
        <v>0</v>
      </c>
      <c r="AR357">
        <v>0</v>
      </c>
      <c r="AS357">
        <v>1033009077.63665</v>
      </c>
    </row>
    <row r="358" spans="2:45" x14ac:dyDescent="0.25">
      <c r="B358" s="15" t="str" cm="1">
        <f t="array" ref="B358">INDEX(_xlfn.TEXTSPLIT($J358,"/"),3)</f>
        <v>ESe&amp;0&amp;cPVVE&amp;New&amp;Chiller__PumpCtrl</v>
      </c>
      <c r="C358" s="15" t="str" cm="1">
        <f t="array" ref="C358">INDEX(_xlfn.TEXTSPLIT($J358,"/"),2)</f>
        <v>CZ16</v>
      </c>
      <c r="D358" s="34">
        <f>$G$3*H358</f>
        <v>14.3318805</v>
      </c>
      <c r="F358" t="str" cm="1">
        <f t="array" ref="F358">INDEX(_xlfn.TEXTSPLIT($J358,"/"),4)</f>
        <v>NE-Chiller-PumpCtrl-Full-Std</v>
      </c>
      <c r="G358">
        <f>$P358</f>
        <v>2.0577000000000002E-2</v>
      </c>
      <c r="H358">
        <f>$G$4*G358</f>
        <v>20.474115000000001</v>
      </c>
      <c r="J358" t="s">
        <v>331</v>
      </c>
      <c r="K358" t="s">
        <v>26</v>
      </c>
      <c r="L358">
        <v>1381</v>
      </c>
      <c r="M358">
        <v>3942.52</v>
      </c>
      <c r="P358">
        <v>2.0577000000000002E-2</v>
      </c>
      <c r="Q358">
        <v>0</v>
      </c>
      <c r="R358">
        <v>230278.93</v>
      </c>
      <c r="S358">
        <v>94437.9</v>
      </c>
      <c r="T358">
        <v>0</v>
      </c>
      <c r="U358">
        <v>258328.15</v>
      </c>
      <c r="V358">
        <v>0</v>
      </c>
      <c r="W358">
        <v>313869.53000000003</v>
      </c>
      <c r="X358">
        <v>21638.54</v>
      </c>
      <c r="Y358">
        <v>17227.63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220257.29</v>
      </c>
      <c r="AF358">
        <v>0</v>
      </c>
      <c r="AG358">
        <v>0</v>
      </c>
      <c r="AH358">
        <v>0</v>
      </c>
      <c r="AI358">
        <v>64094.3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228583.29</v>
      </c>
      <c r="AQ358">
        <v>0</v>
      </c>
      <c r="AR358">
        <v>0</v>
      </c>
      <c r="AS358">
        <v>711432493.57096803</v>
      </c>
    </row>
    <row r="359" spans="2:45" x14ac:dyDescent="0.25">
      <c r="B359" s="15" t="str" cm="1">
        <f t="array" ref="B359">INDEX(_xlfn.TEXTSPLIT($J359,"/"),3)</f>
        <v>EUn&amp;0&amp;cPVVE&amp;Ex&amp;Chiller__PumpCtrl</v>
      </c>
      <c r="C359" s="15" t="str" cm="1">
        <f t="array" ref="C359">INDEX(_xlfn.TEXTSPLIT($J359,"/"),2)</f>
        <v>CZ01</v>
      </c>
      <c r="D359" s="34">
        <f>$G$3*H359</f>
        <v>249.53366199999996</v>
      </c>
      <c r="F359" t="str" cm="1">
        <f t="array" ref="F359">INDEX(_xlfn.TEXTSPLIT($J359,"/"),4)</f>
        <v>NE-Chiller-PumpCtrl-Full-Std</v>
      </c>
      <c r="G359">
        <f>$P359</f>
        <v>0.35826799999999998</v>
      </c>
      <c r="H359">
        <f>$G$4*G359</f>
        <v>356.47665999999998</v>
      </c>
      <c r="J359" t="s">
        <v>316</v>
      </c>
      <c r="K359" t="s">
        <v>11</v>
      </c>
      <c r="L359">
        <v>24045.29</v>
      </c>
      <c r="M359">
        <v>68645.119999999995</v>
      </c>
      <c r="P359">
        <v>0.35826799999999998</v>
      </c>
      <c r="Q359">
        <v>0</v>
      </c>
      <c r="R359">
        <v>245988.82</v>
      </c>
      <c r="S359">
        <v>1274541.22</v>
      </c>
      <c r="T359">
        <v>0</v>
      </c>
      <c r="U359">
        <v>3553012.2</v>
      </c>
      <c r="V359">
        <v>0</v>
      </c>
      <c r="W359">
        <v>893241.61</v>
      </c>
      <c r="X359">
        <v>76585.009999999995</v>
      </c>
      <c r="Y359">
        <v>62110.23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1006937.97</v>
      </c>
      <c r="AF359">
        <v>0</v>
      </c>
      <c r="AG359">
        <v>0</v>
      </c>
      <c r="AH359">
        <v>0</v>
      </c>
      <c r="AI359">
        <v>127428.8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805513.46</v>
      </c>
      <c r="AQ359">
        <v>0</v>
      </c>
      <c r="AR359">
        <v>0</v>
      </c>
      <c r="AS359">
        <v>5087041337.6226397</v>
      </c>
    </row>
    <row r="360" spans="2:45" x14ac:dyDescent="0.25">
      <c r="B360" s="15" t="str" cm="1">
        <f t="array" ref="B360">INDEX(_xlfn.TEXTSPLIT($J360,"/"),3)</f>
        <v>EUn&amp;0&amp;cPVVE&amp;Ex&amp;Chiller__PumpCtrl</v>
      </c>
      <c r="C360" s="15" t="str" cm="1">
        <f t="array" ref="C360">INDEX(_xlfn.TEXTSPLIT($J360,"/"),2)</f>
        <v>CZ02</v>
      </c>
      <c r="D360" s="34">
        <f>$G$3*H360</f>
        <v>295.95051149999995</v>
      </c>
      <c r="F360" t="str" cm="1">
        <f t="array" ref="F360">INDEX(_xlfn.TEXTSPLIT($J360,"/"),4)</f>
        <v>NE-Chiller-PumpCtrl-Full-Std</v>
      </c>
      <c r="G360">
        <f>$P360</f>
        <v>0.42491099999999998</v>
      </c>
      <c r="H360">
        <f>$G$4*G360</f>
        <v>422.78644499999996</v>
      </c>
      <c r="J360" t="s">
        <v>300</v>
      </c>
      <c r="K360" t="s">
        <v>12</v>
      </c>
      <c r="L360">
        <v>28518.06</v>
      </c>
      <c r="M360">
        <v>81414.080000000002</v>
      </c>
      <c r="P360">
        <v>0.42491099999999998</v>
      </c>
      <c r="Q360">
        <v>0</v>
      </c>
      <c r="R360">
        <v>1990251.09</v>
      </c>
      <c r="S360">
        <v>1274541.22</v>
      </c>
      <c r="T360">
        <v>0</v>
      </c>
      <c r="U360">
        <v>3553012.2</v>
      </c>
      <c r="V360">
        <v>0</v>
      </c>
      <c r="W360">
        <v>1103319.78</v>
      </c>
      <c r="X360">
        <v>366431.41</v>
      </c>
      <c r="Y360">
        <v>324164.28999999998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1255345.98</v>
      </c>
      <c r="AF360">
        <v>0</v>
      </c>
      <c r="AG360">
        <v>0</v>
      </c>
      <c r="AH360">
        <v>0</v>
      </c>
      <c r="AI360">
        <v>127428.8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739420.56</v>
      </c>
      <c r="AQ360">
        <v>0</v>
      </c>
      <c r="AR360">
        <v>0</v>
      </c>
      <c r="AS360">
        <v>7903736730.0484695</v>
      </c>
    </row>
    <row r="361" spans="2:45" x14ac:dyDescent="0.25">
      <c r="B361" s="15" t="str" cm="1">
        <f t="array" ref="B361">INDEX(_xlfn.TEXTSPLIT($J361,"/"),3)</f>
        <v>EUn&amp;0&amp;cPVVE&amp;Ex&amp;Chiller__PumpCtrl</v>
      </c>
      <c r="C361" s="15" t="str" cm="1">
        <f t="array" ref="C361">INDEX(_xlfn.TEXTSPLIT($J361,"/"),2)</f>
        <v>CZ03</v>
      </c>
      <c r="D361" s="34">
        <f>$G$3*H361</f>
        <v>286.28309149999995</v>
      </c>
      <c r="F361" t="str" cm="1">
        <f t="array" ref="F361">INDEX(_xlfn.TEXTSPLIT($J361,"/"),4)</f>
        <v>NE-Chiller-PumpCtrl-Full-Std</v>
      </c>
      <c r="G361">
        <f>$P361</f>
        <v>0.41103099999999998</v>
      </c>
      <c r="H361">
        <f>$G$4*G361</f>
        <v>408.97584499999999</v>
      </c>
      <c r="J361" t="s">
        <v>285</v>
      </c>
      <c r="K361" t="s">
        <v>13</v>
      </c>
      <c r="L361">
        <v>27586.45</v>
      </c>
      <c r="M361">
        <v>78754.509999999995</v>
      </c>
      <c r="P361">
        <v>0.41103099999999998</v>
      </c>
      <c r="Q361">
        <v>0</v>
      </c>
      <c r="R361">
        <v>1354278.31</v>
      </c>
      <c r="S361">
        <v>1274541.22</v>
      </c>
      <c r="T361">
        <v>0</v>
      </c>
      <c r="U361">
        <v>3553012.2</v>
      </c>
      <c r="V361">
        <v>0</v>
      </c>
      <c r="W361">
        <v>961625.98</v>
      </c>
      <c r="X361">
        <v>334801.13</v>
      </c>
      <c r="Y361">
        <v>307344.90999999997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659853.72</v>
      </c>
      <c r="AF361">
        <v>0</v>
      </c>
      <c r="AG361">
        <v>0</v>
      </c>
      <c r="AH361">
        <v>0</v>
      </c>
      <c r="AI361">
        <v>127428.8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736827.25</v>
      </c>
      <c r="AQ361">
        <v>0</v>
      </c>
      <c r="AR361">
        <v>0</v>
      </c>
      <c r="AS361">
        <v>6944433769.4182901</v>
      </c>
    </row>
    <row r="362" spans="2:45" x14ac:dyDescent="0.25">
      <c r="B362" s="15" t="str" cm="1">
        <f t="array" ref="B362">INDEX(_xlfn.TEXTSPLIT($J362,"/"),3)</f>
        <v>EUn&amp;0&amp;cPVVE&amp;Ex&amp;Chiller__PumpCtrl</v>
      </c>
      <c r="C362" s="15" t="str" cm="1">
        <f t="array" ref="C362">INDEX(_xlfn.TEXTSPLIT($J362,"/"),2)</f>
        <v>CZ04</v>
      </c>
      <c r="D362" s="34">
        <f>$G$3*H362</f>
        <v>298.7128305</v>
      </c>
      <c r="F362" t="str" cm="1">
        <f t="array" ref="F362">INDEX(_xlfn.TEXTSPLIT($J362,"/"),4)</f>
        <v>NE-Chiller-PumpCtrl-Full-Std</v>
      </c>
      <c r="G362">
        <f>$P362</f>
        <v>0.42887700000000001</v>
      </c>
      <c r="H362">
        <f>$G$4*G362</f>
        <v>426.73261500000001</v>
      </c>
      <c r="J362" t="s">
        <v>267</v>
      </c>
      <c r="K362" t="s">
        <v>14</v>
      </c>
      <c r="L362">
        <v>28784.2</v>
      </c>
      <c r="M362">
        <v>82173.87</v>
      </c>
      <c r="P362">
        <v>0.42887700000000001</v>
      </c>
      <c r="Q362">
        <v>0</v>
      </c>
      <c r="R362">
        <v>2240098.15</v>
      </c>
      <c r="S362">
        <v>1274541.22</v>
      </c>
      <c r="T362">
        <v>0</v>
      </c>
      <c r="U362">
        <v>3553012.2</v>
      </c>
      <c r="V362">
        <v>0</v>
      </c>
      <c r="W362">
        <v>1116581.3400000001</v>
      </c>
      <c r="X362">
        <v>411932.07</v>
      </c>
      <c r="Y362">
        <v>378543.21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959874.59</v>
      </c>
      <c r="AF362">
        <v>0</v>
      </c>
      <c r="AG362">
        <v>0</v>
      </c>
      <c r="AH362">
        <v>0</v>
      </c>
      <c r="AI362">
        <v>127428.8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711143.03</v>
      </c>
      <c r="AQ362">
        <v>0</v>
      </c>
      <c r="AR362">
        <v>0</v>
      </c>
      <c r="AS362">
        <v>7913741437.9127398</v>
      </c>
    </row>
    <row r="363" spans="2:45" x14ac:dyDescent="0.25">
      <c r="B363" s="15" t="str" cm="1">
        <f t="array" ref="B363">INDEX(_xlfn.TEXTSPLIT($J363,"/"),3)</f>
        <v>EUn&amp;0&amp;cPVVE&amp;Ex&amp;Chiller__PumpCtrl</v>
      </c>
      <c r="C363" s="15" t="str" cm="1">
        <f t="array" ref="C363">INDEX(_xlfn.TEXTSPLIT($J363,"/"),2)</f>
        <v>CZ05</v>
      </c>
      <c r="D363" s="34">
        <f>$G$3*H363</f>
        <v>271.78823</v>
      </c>
      <c r="F363" t="str" cm="1">
        <f t="array" ref="F363">INDEX(_xlfn.TEXTSPLIT($J363,"/"),4)</f>
        <v>NE-Chiller-PumpCtrl-Full-Std</v>
      </c>
      <c r="G363">
        <f>$P363</f>
        <v>0.39022000000000001</v>
      </c>
      <c r="H363">
        <f>$G$4*G363</f>
        <v>388.26890000000003</v>
      </c>
      <c r="J363" t="s">
        <v>254</v>
      </c>
      <c r="K363" t="s">
        <v>15</v>
      </c>
      <c r="L363">
        <v>26189.72</v>
      </c>
      <c r="M363">
        <v>74767.08</v>
      </c>
      <c r="P363">
        <v>0.39022000000000001</v>
      </c>
      <c r="Q363">
        <v>0</v>
      </c>
      <c r="R363">
        <v>1538965.76</v>
      </c>
      <c r="S363">
        <v>1274541.22</v>
      </c>
      <c r="T363">
        <v>0</v>
      </c>
      <c r="U363">
        <v>3553012.2</v>
      </c>
      <c r="V363">
        <v>0</v>
      </c>
      <c r="W363">
        <v>1006794.9</v>
      </c>
      <c r="X363">
        <v>344606.87</v>
      </c>
      <c r="Y363">
        <v>312784.17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713748.92</v>
      </c>
      <c r="AF363">
        <v>0</v>
      </c>
      <c r="AG363">
        <v>0</v>
      </c>
      <c r="AH363">
        <v>0</v>
      </c>
      <c r="AI363">
        <v>127428.8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737011.51</v>
      </c>
      <c r="AQ363">
        <v>0</v>
      </c>
      <c r="AR363">
        <v>0</v>
      </c>
      <c r="AS363">
        <v>4388293237.3875599</v>
      </c>
    </row>
    <row r="364" spans="2:45" x14ac:dyDescent="0.25">
      <c r="B364" s="15" t="str" cm="1">
        <f t="array" ref="B364">INDEX(_xlfn.TEXTSPLIT($J364,"/"),3)</f>
        <v>EUn&amp;0&amp;cPVVE&amp;Ex&amp;Chiller__PumpCtrl</v>
      </c>
      <c r="C364" s="15" t="str" cm="1">
        <f t="array" ref="C364">INDEX(_xlfn.TEXTSPLIT($J364,"/"),2)</f>
        <v>CZ06</v>
      </c>
      <c r="D364" s="34">
        <f>$G$3*H364</f>
        <v>280.21448700000002</v>
      </c>
      <c r="F364" t="str" cm="1">
        <f t="array" ref="F364">INDEX(_xlfn.TEXTSPLIT($J364,"/"),4)</f>
        <v>NE-Chiller-PumpCtrl-Full-Std</v>
      </c>
      <c r="G364">
        <f>$P364</f>
        <v>0.40231800000000001</v>
      </c>
      <c r="H364">
        <f>$G$4*G364</f>
        <v>400.30641000000003</v>
      </c>
      <c r="J364" t="s">
        <v>237</v>
      </c>
      <c r="K364" t="s">
        <v>16</v>
      </c>
      <c r="L364">
        <v>27001.74</v>
      </c>
      <c r="M364">
        <v>77085.25</v>
      </c>
      <c r="P364">
        <v>0.40231800000000001</v>
      </c>
      <c r="Q364">
        <v>0</v>
      </c>
      <c r="R364">
        <v>2733098.12</v>
      </c>
      <c r="S364">
        <v>1274541.22</v>
      </c>
      <c r="T364">
        <v>0</v>
      </c>
      <c r="U364">
        <v>3553012.2</v>
      </c>
      <c r="V364">
        <v>0</v>
      </c>
      <c r="W364">
        <v>1106180.1599999999</v>
      </c>
      <c r="X364">
        <v>507912.3</v>
      </c>
      <c r="Y364">
        <v>477035.17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534335.22</v>
      </c>
      <c r="AF364">
        <v>0</v>
      </c>
      <c r="AG364">
        <v>0</v>
      </c>
      <c r="AH364">
        <v>0</v>
      </c>
      <c r="AI364">
        <v>127428.8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678638.88</v>
      </c>
      <c r="AQ364">
        <v>0</v>
      </c>
      <c r="AR364">
        <v>0</v>
      </c>
      <c r="AS364">
        <v>3967525000.6695399</v>
      </c>
    </row>
    <row r="365" spans="2:45" x14ac:dyDescent="0.25">
      <c r="B365" s="15" t="str" cm="1">
        <f t="array" ref="B365">INDEX(_xlfn.TEXTSPLIT($J365,"/"),3)</f>
        <v>EUn&amp;0&amp;cPVVE&amp;Ex&amp;Chiller__PumpCtrl</v>
      </c>
      <c r="C365" s="15" t="str" cm="1">
        <f t="array" ref="C365">INDEX(_xlfn.TEXTSPLIT($J365,"/"),2)</f>
        <v>CZ07</v>
      </c>
      <c r="D365" s="34">
        <f>$G$3*H365</f>
        <v>285.36649749999998</v>
      </c>
      <c r="F365" t="str" cm="1">
        <f t="array" ref="F365">INDEX(_xlfn.TEXTSPLIT($J365,"/"),4)</f>
        <v>NE-Chiller-PumpCtrl-Full-Std</v>
      </c>
      <c r="G365">
        <f>$P365</f>
        <v>0.409715</v>
      </c>
      <c r="H365">
        <f>$G$4*G365</f>
        <v>407.666425</v>
      </c>
      <c r="J365" t="s">
        <v>220</v>
      </c>
      <c r="K365" t="s">
        <v>17</v>
      </c>
      <c r="L365">
        <v>27498.13</v>
      </c>
      <c r="M365">
        <v>78502.37</v>
      </c>
      <c r="P365">
        <v>0.409715</v>
      </c>
      <c r="Q365">
        <v>0</v>
      </c>
      <c r="R365">
        <v>3118809.08</v>
      </c>
      <c r="S365">
        <v>1274541.22</v>
      </c>
      <c r="T365">
        <v>0</v>
      </c>
      <c r="U365">
        <v>3553012.2</v>
      </c>
      <c r="V365">
        <v>0</v>
      </c>
      <c r="W365">
        <v>1200884.32</v>
      </c>
      <c r="X365">
        <v>535168.64</v>
      </c>
      <c r="Y365">
        <v>502429.98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856302.67</v>
      </c>
      <c r="AF365">
        <v>0</v>
      </c>
      <c r="AG365">
        <v>0</v>
      </c>
      <c r="AH365">
        <v>0</v>
      </c>
      <c r="AI365">
        <v>127428.8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669845.18999999994</v>
      </c>
      <c r="AQ365">
        <v>0</v>
      </c>
      <c r="AR365">
        <v>0</v>
      </c>
      <c r="AS365">
        <v>4738543211.6895304</v>
      </c>
    </row>
    <row r="366" spans="2:45" x14ac:dyDescent="0.25">
      <c r="B366" s="15" t="str" cm="1">
        <f t="array" ref="B366">INDEX(_xlfn.TEXTSPLIT($J366,"/"),3)</f>
        <v>EUn&amp;0&amp;cPVVE&amp;Ex&amp;Chiller__PumpCtrl</v>
      </c>
      <c r="C366" s="15" t="str" cm="1">
        <f t="array" ref="C366">INDEX(_xlfn.TEXTSPLIT($J366,"/"),2)</f>
        <v>CZ08</v>
      </c>
      <c r="D366" s="34">
        <f>$G$3*H366</f>
        <v>300.73198399999995</v>
      </c>
      <c r="F366" t="str" cm="1">
        <f t="array" ref="F366">INDEX(_xlfn.TEXTSPLIT($J366,"/"),4)</f>
        <v>NE-Chiller-PumpCtrl-Full-Std</v>
      </c>
      <c r="G366">
        <f>$P366</f>
        <v>0.43177599999999999</v>
      </c>
      <c r="H366">
        <f>$G$4*G366</f>
        <v>429.61712</v>
      </c>
      <c r="J366" t="s">
        <v>207</v>
      </c>
      <c r="K366" t="s">
        <v>18</v>
      </c>
      <c r="L366">
        <v>28978.78</v>
      </c>
      <c r="M366">
        <v>82729.37</v>
      </c>
      <c r="P366">
        <v>0.43177599999999999</v>
      </c>
      <c r="Q366">
        <v>0</v>
      </c>
      <c r="R366">
        <v>3306539.81</v>
      </c>
      <c r="S366">
        <v>1274541.22</v>
      </c>
      <c r="T366">
        <v>0</v>
      </c>
      <c r="U366">
        <v>3553012.2</v>
      </c>
      <c r="V366">
        <v>0</v>
      </c>
      <c r="W366">
        <v>1223412.8400000001</v>
      </c>
      <c r="X366">
        <v>546512.82999999996</v>
      </c>
      <c r="Y366">
        <v>511290.61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944485.08</v>
      </c>
      <c r="AF366">
        <v>0</v>
      </c>
      <c r="AG366">
        <v>0</v>
      </c>
      <c r="AH366">
        <v>0</v>
      </c>
      <c r="AI366">
        <v>127428.8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668760.93000000005</v>
      </c>
      <c r="AQ366">
        <v>0</v>
      </c>
      <c r="AR366">
        <v>0</v>
      </c>
      <c r="AS366">
        <v>4947875351.1533499</v>
      </c>
    </row>
    <row r="367" spans="2:45" x14ac:dyDescent="0.25">
      <c r="B367" s="15" t="str" cm="1">
        <f t="array" ref="B367">INDEX(_xlfn.TEXTSPLIT($J367,"/"),3)</f>
        <v>EUn&amp;0&amp;cPVVE&amp;Ex&amp;Chiller__PumpCtrl</v>
      </c>
      <c r="C367" s="15" t="str" cm="1">
        <f t="array" ref="C367">INDEX(_xlfn.TEXTSPLIT($J367,"/"),2)</f>
        <v>CZ09</v>
      </c>
      <c r="D367" s="34">
        <f>$G$3*H367</f>
        <v>305.5649975</v>
      </c>
      <c r="F367" t="str" cm="1">
        <f t="array" ref="F367">INDEX(_xlfn.TEXTSPLIT($J367,"/"),4)</f>
        <v>NE-Chiller-PumpCtrl-Full-Std</v>
      </c>
      <c r="G367">
        <f>$P367</f>
        <v>0.43871500000000002</v>
      </c>
      <c r="H367">
        <f>$G$4*G367</f>
        <v>436.52142500000002</v>
      </c>
      <c r="J367" t="s">
        <v>188</v>
      </c>
      <c r="K367" t="s">
        <v>19</v>
      </c>
      <c r="L367">
        <v>29444.52</v>
      </c>
      <c r="M367">
        <v>84058.97</v>
      </c>
      <c r="P367">
        <v>0.43871500000000002</v>
      </c>
      <c r="Q367">
        <v>0</v>
      </c>
      <c r="R367">
        <v>3626131.11</v>
      </c>
      <c r="S367">
        <v>1274541.22</v>
      </c>
      <c r="T367">
        <v>0</v>
      </c>
      <c r="U367">
        <v>3553012.2</v>
      </c>
      <c r="V367">
        <v>0</v>
      </c>
      <c r="W367">
        <v>1301504.6299999999</v>
      </c>
      <c r="X367">
        <v>570216.21</v>
      </c>
      <c r="Y367">
        <v>534893.54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1106258.8</v>
      </c>
      <c r="AF367">
        <v>0</v>
      </c>
      <c r="AG367">
        <v>0</v>
      </c>
      <c r="AH367">
        <v>0</v>
      </c>
      <c r="AI367">
        <v>127428.8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659431.07999999996</v>
      </c>
      <c r="AQ367">
        <v>0</v>
      </c>
      <c r="AR367">
        <v>0</v>
      </c>
      <c r="AS367">
        <v>5306186420.3983402</v>
      </c>
    </row>
    <row r="368" spans="2:45" x14ac:dyDescent="0.25">
      <c r="B368" s="15" t="str" cm="1">
        <f t="array" ref="B368">INDEX(_xlfn.TEXTSPLIT($J368,"/"),3)</f>
        <v>EUn&amp;0&amp;cPVVE&amp;Ex&amp;Chiller__PumpCtrl</v>
      </c>
      <c r="C368" s="15" t="str" cm="1">
        <f t="array" ref="C368">INDEX(_xlfn.TEXTSPLIT($J368,"/"),2)</f>
        <v>CZ10</v>
      </c>
      <c r="D368" s="34">
        <f>$G$3*H368</f>
        <v>310.15214650000001</v>
      </c>
      <c r="F368" t="str" cm="1">
        <f t="array" ref="F368">INDEX(_xlfn.TEXTSPLIT($J368,"/"),4)</f>
        <v>NE-Chiller-PumpCtrl-Full-Std</v>
      </c>
      <c r="G368">
        <f>$P368</f>
        <v>0.445301</v>
      </c>
      <c r="H368">
        <f>$G$4*G368</f>
        <v>443.07449500000001</v>
      </c>
      <c r="J368" t="s">
        <v>171</v>
      </c>
      <c r="K368" t="s">
        <v>20</v>
      </c>
      <c r="L368">
        <v>29886.5</v>
      </c>
      <c r="M368">
        <v>85320.76</v>
      </c>
      <c r="P368">
        <v>0.445301</v>
      </c>
      <c r="Q368">
        <v>0</v>
      </c>
      <c r="R368">
        <v>3741520.9</v>
      </c>
      <c r="S368">
        <v>1274541.22</v>
      </c>
      <c r="T368">
        <v>0</v>
      </c>
      <c r="U368">
        <v>3553012.2</v>
      </c>
      <c r="V368">
        <v>0</v>
      </c>
      <c r="W368">
        <v>1392428.15</v>
      </c>
      <c r="X368">
        <v>538718.41</v>
      </c>
      <c r="Y368">
        <v>497505.33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1475714.4</v>
      </c>
      <c r="AF368">
        <v>0</v>
      </c>
      <c r="AG368">
        <v>0</v>
      </c>
      <c r="AH368">
        <v>0</v>
      </c>
      <c r="AI368">
        <v>127428.8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652997.67000000004</v>
      </c>
      <c r="AQ368">
        <v>0</v>
      </c>
      <c r="AR368">
        <v>0</v>
      </c>
      <c r="AS368">
        <v>7964265377.5064001</v>
      </c>
    </row>
    <row r="369" spans="2:45" x14ac:dyDescent="0.25">
      <c r="B369" s="15" t="str" cm="1">
        <f t="array" ref="B369">INDEX(_xlfn.TEXTSPLIT($J369,"/"),3)</f>
        <v>EUn&amp;0&amp;cPVVE&amp;Ex&amp;Chiller__PumpCtrl</v>
      </c>
      <c r="C369" s="15" t="str" cm="1">
        <f t="array" ref="C369">INDEX(_xlfn.TEXTSPLIT($J369,"/"),2)</f>
        <v>CZ11</v>
      </c>
      <c r="D369" s="34">
        <f>$G$3*H369</f>
        <v>319.10008199999999</v>
      </c>
      <c r="F369" t="str" cm="1">
        <f t="array" ref="F369">INDEX(_xlfn.TEXTSPLIT($J369,"/"),4)</f>
        <v>NE-Chiller-PumpCtrl-Full-Std</v>
      </c>
      <c r="G369">
        <f>$P369</f>
        <v>0.458148</v>
      </c>
      <c r="H369">
        <f>$G$4*G369</f>
        <v>455.85726</v>
      </c>
      <c r="J369" t="s">
        <v>157</v>
      </c>
      <c r="K369" t="s">
        <v>21</v>
      </c>
      <c r="L369">
        <v>30748.73</v>
      </c>
      <c r="M369">
        <v>87782.25</v>
      </c>
      <c r="P369">
        <v>0.458148</v>
      </c>
      <c r="Q369">
        <v>0</v>
      </c>
      <c r="R369">
        <v>3534906.94</v>
      </c>
      <c r="S369">
        <v>1274541.22</v>
      </c>
      <c r="T369">
        <v>0</v>
      </c>
      <c r="U369">
        <v>3553012.2</v>
      </c>
      <c r="V369">
        <v>0</v>
      </c>
      <c r="W369">
        <v>1441465.93</v>
      </c>
      <c r="X369">
        <v>494354.44</v>
      </c>
      <c r="Y369">
        <v>446912.93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2046069.76</v>
      </c>
      <c r="AF369">
        <v>0</v>
      </c>
      <c r="AG369">
        <v>0</v>
      </c>
      <c r="AH369">
        <v>0</v>
      </c>
      <c r="AI369">
        <v>127428.8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667529.87</v>
      </c>
      <c r="AQ369">
        <v>0</v>
      </c>
      <c r="AR369">
        <v>0</v>
      </c>
      <c r="AS369">
        <v>8257675730.4593697</v>
      </c>
    </row>
    <row r="370" spans="2:45" x14ac:dyDescent="0.25">
      <c r="B370" s="15" t="str" cm="1">
        <f t="array" ref="B370">INDEX(_xlfn.TEXTSPLIT($J370,"/"),3)</f>
        <v>EUn&amp;0&amp;cPVVE&amp;Ex&amp;Chiller__PumpCtrl</v>
      </c>
      <c r="C370" s="15" t="str" cm="1">
        <f t="array" ref="C370">INDEX(_xlfn.TEXTSPLIT($J370,"/"),2)</f>
        <v>CZ12</v>
      </c>
      <c r="D370" s="34">
        <f>$G$3*H370</f>
        <v>311.73041549999999</v>
      </c>
      <c r="F370" t="str" cm="1">
        <f t="array" ref="F370">INDEX(_xlfn.TEXTSPLIT($J370,"/"),4)</f>
        <v>NE-Chiller-PumpCtrl-Full-Std</v>
      </c>
      <c r="G370">
        <f>$P370</f>
        <v>0.44756699999999999</v>
      </c>
      <c r="H370">
        <f>$G$4*G370</f>
        <v>445.32916499999999</v>
      </c>
      <c r="J370" t="s">
        <v>140</v>
      </c>
      <c r="K370" t="s">
        <v>22</v>
      </c>
      <c r="L370">
        <v>30038.59</v>
      </c>
      <c r="M370">
        <v>85754.95</v>
      </c>
      <c r="P370">
        <v>0.44756699999999999</v>
      </c>
      <c r="Q370">
        <v>0</v>
      </c>
      <c r="R370">
        <v>3252135.93</v>
      </c>
      <c r="S370">
        <v>1274541.22</v>
      </c>
      <c r="T370">
        <v>0</v>
      </c>
      <c r="U370">
        <v>3553012.2</v>
      </c>
      <c r="V370">
        <v>0</v>
      </c>
      <c r="W370">
        <v>1380035.12</v>
      </c>
      <c r="X370">
        <v>474682.55</v>
      </c>
      <c r="Y370">
        <v>428161.14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1818347.42</v>
      </c>
      <c r="AF370">
        <v>0</v>
      </c>
      <c r="AG370">
        <v>0</v>
      </c>
      <c r="AH370">
        <v>0</v>
      </c>
      <c r="AI370">
        <v>127428.8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686940.41</v>
      </c>
      <c r="AQ370">
        <v>0</v>
      </c>
      <c r="AR370">
        <v>0</v>
      </c>
      <c r="AS370">
        <v>8291181011.0355701</v>
      </c>
    </row>
    <row r="371" spans="2:45" x14ac:dyDescent="0.25">
      <c r="B371" s="15" t="str" cm="1">
        <f t="array" ref="B371">INDEX(_xlfn.TEXTSPLIT($J371,"/"),3)</f>
        <v>EUn&amp;0&amp;cPVVE&amp;Ex&amp;Chiller__PumpCtrl</v>
      </c>
      <c r="C371" s="15" t="str" cm="1">
        <f t="array" ref="C371">INDEX(_xlfn.TEXTSPLIT($J371,"/"),2)</f>
        <v>CZ13</v>
      </c>
      <c r="D371" s="34">
        <f>$G$3*H371</f>
        <v>320.71247949999997</v>
      </c>
      <c r="F371" t="str" cm="1">
        <f t="array" ref="F371">INDEX(_xlfn.TEXTSPLIT($J371,"/"),4)</f>
        <v>NE-Chiller-PumpCtrl-Full-Std</v>
      </c>
      <c r="G371">
        <f>$P371</f>
        <v>0.46046300000000001</v>
      </c>
      <c r="H371">
        <f>$G$4*G371</f>
        <v>458.160685</v>
      </c>
      <c r="J371" t="s">
        <v>123</v>
      </c>
      <c r="K371" t="s">
        <v>23</v>
      </c>
      <c r="L371">
        <v>30904.15</v>
      </c>
      <c r="M371">
        <v>88225.95</v>
      </c>
      <c r="P371">
        <v>0.46046300000000001</v>
      </c>
      <c r="Q371">
        <v>0</v>
      </c>
      <c r="R371">
        <v>3966328.78</v>
      </c>
      <c r="S371">
        <v>1274541.22</v>
      </c>
      <c r="T371">
        <v>0</v>
      </c>
      <c r="U371">
        <v>3553012.2</v>
      </c>
      <c r="V371">
        <v>0</v>
      </c>
      <c r="W371">
        <v>1475492.95</v>
      </c>
      <c r="X371">
        <v>528562.67000000004</v>
      </c>
      <c r="Y371">
        <v>483707.46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1884662.41</v>
      </c>
      <c r="AF371">
        <v>0</v>
      </c>
      <c r="AG371">
        <v>0</v>
      </c>
      <c r="AH371">
        <v>0</v>
      </c>
      <c r="AI371">
        <v>127428.8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647903.98</v>
      </c>
      <c r="AQ371">
        <v>0</v>
      </c>
      <c r="AR371">
        <v>0</v>
      </c>
      <c r="AS371">
        <v>8624778445.3816109</v>
      </c>
    </row>
    <row r="372" spans="2:45" x14ac:dyDescent="0.25">
      <c r="B372" s="15" t="str" cm="1">
        <f t="array" ref="B372">INDEX(_xlfn.TEXTSPLIT($J372,"/"),3)</f>
        <v>EUn&amp;0&amp;cPVVE&amp;Ex&amp;Chiller__PumpCtrl</v>
      </c>
      <c r="C372" s="15" t="str" cm="1">
        <f t="array" ref="C372">INDEX(_xlfn.TEXTSPLIT($J372,"/"),2)</f>
        <v>CZ14</v>
      </c>
      <c r="D372" s="34">
        <f>$G$3*H372</f>
        <v>320.84411799999998</v>
      </c>
      <c r="F372" t="str" cm="1">
        <f t="array" ref="F372">INDEX(_xlfn.TEXTSPLIT($J372,"/"),4)</f>
        <v>NE-Chiller-PumpCtrl-Full-Std</v>
      </c>
      <c r="G372">
        <f>$P372</f>
        <v>0.46065200000000001</v>
      </c>
      <c r="H372">
        <f>$G$4*G372</f>
        <v>458.34874000000002</v>
      </c>
      <c r="J372" t="s">
        <v>105</v>
      </c>
      <c r="K372" t="s">
        <v>24</v>
      </c>
      <c r="L372">
        <v>30916.82</v>
      </c>
      <c r="M372">
        <v>88262.12</v>
      </c>
      <c r="P372">
        <v>0.46065200000000001</v>
      </c>
      <c r="Q372">
        <v>0</v>
      </c>
      <c r="R372">
        <v>4173564.69</v>
      </c>
      <c r="S372">
        <v>1274541.22</v>
      </c>
      <c r="T372">
        <v>0</v>
      </c>
      <c r="U372">
        <v>3553012.2</v>
      </c>
      <c r="V372">
        <v>0</v>
      </c>
      <c r="W372">
        <v>1727422.6</v>
      </c>
      <c r="X372">
        <v>576251.93000000005</v>
      </c>
      <c r="Y372">
        <v>522611.81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2204419.4700000002</v>
      </c>
      <c r="AF372">
        <v>0</v>
      </c>
      <c r="AG372">
        <v>0</v>
      </c>
      <c r="AH372">
        <v>0</v>
      </c>
      <c r="AI372">
        <v>127428.8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613916.1</v>
      </c>
      <c r="AQ372">
        <v>0</v>
      </c>
      <c r="AR372">
        <v>0</v>
      </c>
      <c r="AS372">
        <v>8407444915.02528</v>
      </c>
    </row>
    <row r="373" spans="2:45" x14ac:dyDescent="0.25">
      <c r="B373" s="15" t="str" cm="1">
        <f t="array" ref="B373">INDEX(_xlfn.TEXTSPLIT($J373,"/"),3)</f>
        <v>EUn&amp;0&amp;cPVVE&amp;Ex&amp;Chiller__PumpCtrl</v>
      </c>
      <c r="C373" s="15" t="str" cm="1">
        <f t="array" ref="C373">INDEX(_xlfn.TEXTSPLIT($J373,"/"),2)</f>
        <v>CZ15</v>
      </c>
      <c r="D373" s="34">
        <f>$G$3*H373</f>
        <v>328.06055449999997</v>
      </c>
      <c r="F373" t="str" cm="1">
        <f t="array" ref="F373">INDEX(_xlfn.TEXTSPLIT($J373,"/"),4)</f>
        <v>NE-Chiller-PumpCtrl-Full-Std</v>
      </c>
      <c r="G373">
        <f>$P373</f>
        <v>0.47101300000000001</v>
      </c>
      <c r="H373">
        <f>$G$4*G373</f>
        <v>468.65793500000001</v>
      </c>
      <c r="J373" t="s">
        <v>96</v>
      </c>
      <c r="K373" t="s">
        <v>25</v>
      </c>
      <c r="L373">
        <v>31612.22</v>
      </c>
      <c r="M373">
        <v>90247.38</v>
      </c>
      <c r="P373">
        <v>0.47101300000000001</v>
      </c>
      <c r="Q373">
        <v>0</v>
      </c>
      <c r="R373">
        <v>5932097.0300000003</v>
      </c>
      <c r="S373">
        <v>1274541.22</v>
      </c>
      <c r="T373">
        <v>0</v>
      </c>
      <c r="U373">
        <v>3553012.2</v>
      </c>
      <c r="V373">
        <v>0</v>
      </c>
      <c r="W373">
        <v>1929368.26</v>
      </c>
      <c r="X373">
        <v>683428.28</v>
      </c>
      <c r="Y373">
        <v>637035.03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2819014.85</v>
      </c>
      <c r="AF373">
        <v>0</v>
      </c>
      <c r="AG373">
        <v>0</v>
      </c>
      <c r="AH373">
        <v>0</v>
      </c>
      <c r="AI373">
        <v>127428.8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544675.36</v>
      </c>
      <c r="AQ373">
        <v>0</v>
      </c>
      <c r="AR373">
        <v>0</v>
      </c>
      <c r="AS373">
        <v>8931884578.1089096</v>
      </c>
    </row>
    <row r="374" spans="2:45" x14ac:dyDescent="0.25">
      <c r="B374" s="15" t="str" cm="1">
        <f t="array" ref="B374">INDEX(_xlfn.TEXTSPLIT($J374,"/"),3)</f>
        <v>EUn&amp;0&amp;cPVVE&amp;Ex&amp;Chiller__PumpCtrl</v>
      </c>
      <c r="C374" s="15" t="str" cm="1">
        <f t="array" ref="C374">INDEX(_xlfn.TEXTSPLIT($J374,"/"),2)</f>
        <v>CZ16</v>
      </c>
      <c r="D374" s="34">
        <f>$G$3*H374</f>
        <v>290.99003849999997</v>
      </c>
      <c r="F374" t="str" cm="1">
        <f t="array" ref="F374">INDEX(_xlfn.TEXTSPLIT($J374,"/"),4)</f>
        <v>NE-Chiller-PumpCtrl-Full-Std</v>
      </c>
      <c r="G374">
        <f>$P374</f>
        <v>0.41778900000000002</v>
      </c>
      <c r="H374">
        <f>$G$4*G374</f>
        <v>415.70005500000002</v>
      </c>
      <c r="J374" t="s">
        <v>79</v>
      </c>
      <c r="K374" t="s">
        <v>26</v>
      </c>
      <c r="L374">
        <v>28040.05</v>
      </c>
      <c r="M374">
        <v>80049.440000000002</v>
      </c>
      <c r="P374">
        <v>0.41778900000000002</v>
      </c>
      <c r="Q374">
        <v>0</v>
      </c>
      <c r="R374">
        <v>2943990.37</v>
      </c>
      <c r="S374">
        <v>1274541.22</v>
      </c>
      <c r="T374">
        <v>0</v>
      </c>
      <c r="U374">
        <v>3553012.2</v>
      </c>
      <c r="V374">
        <v>0</v>
      </c>
      <c r="W374">
        <v>1861189.15</v>
      </c>
      <c r="X374">
        <v>508781.92</v>
      </c>
      <c r="Y374">
        <v>380878.38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2770397.04</v>
      </c>
      <c r="AF374">
        <v>0</v>
      </c>
      <c r="AG374">
        <v>0</v>
      </c>
      <c r="AH374">
        <v>0</v>
      </c>
      <c r="AI374">
        <v>127428.8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725891.87</v>
      </c>
      <c r="AQ374">
        <v>0</v>
      </c>
      <c r="AR374">
        <v>0</v>
      </c>
      <c r="AS374">
        <v>7458735780.9167805</v>
      </c>
    </row>
    <row r="375" spans="2:45" x14ac:dyDescent="0.25">
      <c r="B375" s="15" t="str" cm="1">
        <f t="array" ref="B375">INDEX(_xlfn.TEXTSPLIT($J375,"/"),3)</f>
        <v>EUn&amp;0&amp;cPVVE&amp;New&amp;Chiller__PumpCtrl</v>
      </c>
      <c r="C375" s="15" t="str" cm="1">
        <f t="array" ref="C375">INDEX(_xlfn.TEXTSPLIT($J375,"/"),2)</f>
        <v>CZ01</v>
      </c>
      <c r="D375" s="34">
        <f>$G$3*H375</f>
        <v>177.38879900000001</v>
      </c>
      <c r="F375" t="str" cm="1">
        <f t="array" ref="F375">INDEX(_xlfn.TEXTSPLIT($J375,"/"),4)</f>
        <v>NE-Chiller-PumpCtrl-Full-Std</v>
      </c>
      <c r="G375">
        <f>$P375</f>
        <v>0.25468600000000002</v>
      </c>
      <c r="H375">
        <f>$G$4*G375</f>
        <v>253.41257000000002</v>
      </c>
      <c r="J375" t="s">
        <v>573</v>
      </c>
      <c r="K375" t="s">
        <v>11</v>
      </c>
      <c r="L375">
        <v>17093.330000000002</v>
      </c>
      <c r="M375">
        <v>48798.47</v>
      </c>
      <c r="P375">
        <v>0.25468600000000002</v>
      </c>
      <c r="Q375">
        <v>0</v>
      </c>
      <c r="R375">
        <v>168078.04</v>
      </c>
      <c r="S375">
        <v>643032.05000000005</v>
      </c>
      <c r="T375">
        <v>0</v>
      </c>
      <c r="U375">
        <v>3553012.2</v>
      </c>
      <c r="V375">
        <v>0</v>
      </c>
      <c r="W375">
        <v>804898.12</v>
      </c>
      <c r="X375">
        <v>46795.23</v>
      </c>
      <c r="Y375">
        <v>38287.629999999997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821560.86</v>
      </c>
      <c r="AF375">
        <v>0</v>
      </c>
      <c r="AG375">
        <v>0</v>
      </c>
      <c r="AH375">
        <v>0</v>
      </c>
      <c r="AI375">
        <v>127428.8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805384.81</v>
      </c>
      <c r="AQ375">
        <v>0</v>
      </c>
      <c r="AR375">
        <v>0</v>
      </c>
      <c r="AS375">
        <v>4106540016.0195298</v>
      </c>
    </row>
    <row r="376" spans="2:45" x14ac:dyDescent="0.25">
      <c r="B376" s="15" t="str" cm="1">
        <f t="array" ref="B376">INDEX(_xlfn.TEXTSPLIT($J376,"/"),3)</f>
        <v>EUn&amp;0&amp;cPVVE&amp;New&amp;Chiller__PumpCtrl</v>
      </c>
      <c r="C376" s="15" t="str" cm="1">
        <f t="array" ref="C376">INDEX(_xlfn.TEXTSPLIT($J376,"/"),2)</f>
        <v>CZ02</v>
      </c>
      <c r="D376" s="34">
        <f>$G$3*H376</f>
        <v>213.14850199999998</v>
      </c>
      <c r="F376" t="str" cm="1">
        <f t="array" ref="F376">INDEX(_xlfn.TEXTSPLIT($J376,"/"),4)</f>
        <v>NE-Chiller-PumpCtrl-Full-Std</v>
      </c>
      <c r="G376">
        <f>$P376</f>
        <v>0.30602800000000002</v>
      </c>
      <c r="H376">
        <f>$G$4*G376</f>
        <v>304.49786</v>
      </c>
      <c r="J376" t="s">
        <v>556</v>
      </c>
      <c r="K376" t="s">
        <v>12</v>
      </c>
      <c r="L376">
        <v>20539.16</v>
      </c>
      <c r="M376">
        <v>58635.73</v>
      </c>
      <c r="P376">
        <v>0.30602800000000002</v>
      </c>
      <c r="Q376">
        <v>0</v>
      </c>
      <c r="R376">
        <v>1400498.64</v>
      </c>
      <c r="S376">
        <v>643032.05000000005</v>
      </c>
      <c r="T376">
        <v>0</v>
      </c>
      <c r="U376">
        <v>3553012.2</v>
      </c>
      <c r="V376">
        <v>0</v>
      </c>
      <c r="W376">
        <v>945549.87</v>
      </c>
      <c r="X376">
        <v>240047.69</v>
      </c>
      <c r="Y376">
        <v>213968.66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873962.53</v>
      </c>
      <c r="AF376">
        <v>0</v>
      </c>
      <c r="AG376">
        <v>0</v>
      </c>
      <c r="AH376">
        <v>0</v>
      </c>
      <c r="AI376">
        <v>127428.8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739364.89</v>
      </c>
      <c r="AQ376">
        <v>0</v>
      </c>
      <c r="AR376">
        <v>0</v>
      </c>
      <c r="AS376">
        <v>6174790744.6125097</v>
      </c>
    </row>
    <row r="377" spans="2:45" x14ac:dyDescent="0.25">
      <c r="B377" s="15" t="str" cm="1">
        <f t="array" ref="B377">INDEX(_xlfn.TEXTSPLIT($J377,"/"),3)</f>
        <v>EUn&amp;0&amp;cPVVE&amp;New&amp;Chiller__PumpCtrl</v>
      </c>
      <c r="C377" s="15" t="str" cm="1">
        <f t="array" ref="C377">INDEX(_xlfn.TEXTSPLIT($J377,"/"),2)</f>
        <v>CZ03</v>
      </c>
      <c r="D377" s="34">
        <f>$G$3*H377</f>
        <v>206.52409049999997</v>
      </c>
      <c r="F377" t="str" cm="1">
        <f t="array" ref="F377">INDEX(_xlfn.TEXTSPLIT($J377,"/"),4)</f>
        <v>NE-Chiller-PumpCtrl-Full-Std</v>
      </c>
      <c r="G377">
        <f>$P377</f>
        <v>0.29651699999999998</v>
      </c>
      <c r="H377">
        <f>$G$4*G377</f>
        <v>295.03441499999997</v>
      </c>
      <c r="J377" t="s">
        <v>540</v>
      </c>
      <c r="K377" t="s">
        <v>13</v>
      </c>
      <c r="L377">
        <v>19900.84</v>
      </c>
      <c r="M377">
        <v>56813.42</v>
      </c>
      <c r="P377">
        <v>0.29651699999999998</v>
      </c>
      <c r="Q377">
        <v>0</v>
      </c>
      <c r="R377">
        <v>945251.9</v>
      </c>
      <c r="S377">
        <v>643032.05000000005</v>
      </c>
      <c r="T377">
        <v>0</v>
      </c>
      <c r="U377">
        <v>3553012.2</v>
      </c>
      <c r="V377">
        <v>0</v>
      </c>
      <c r="W377">
        <v>824788.68</v>
      </c>
      <c r="X377">
        <v>222058.84</v>
      </c>
      <c r="Y377">
        <v>204338.85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450181.72</v>
      </c>
      <c r="AF377">
        <v>0</v>
      </c>
      <c r="AG377">
        <v>0</v>
      </c>
      <c r="AH377">
        <v>0</v>
      </c>
      <c r="AI377">
        <v>127428.8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736789.26</v>
      </c>
      <c r="AQ377">
        <v>0</v>
      </c>
      <c r="AR377">
        <v>0</v>
      </c>
      <c r="AS377">
        <v>5496686037.9508896</v>
      </c>
    </row>
    <row r="378" spans="2:45" x14ac:dyDescent="0.25">
      <c r="B378" s="15" t="str" cm="1">
        <f t="array" ref="B378">INDEX(_xlfn.TEXTSPLIT($J378,"/"),3)</f>
        <v>EUn&amp;0&amp;cPVVE&amp;New&amp;Chiller__PumpCtrl</v>
      </c>
      <c r="C378" s="15" t="str" cm="1">
        <f t="array" ref="C378">INDEX(_xlfn.TEXTSPLIT($J378,"/"),2)</f>
        <v>CZ04</v>
      </c>
      <c r="D378" s="34">
        <f>$G$3*H378</f>
        <v>215.46297149999998</v>
      </c>
      <c r="F378" t="str" cm="1">
        <f t="array" ref="F378">INDEX(_xlfn.TEXTSPLIT($J378,"/"),4)</f>
        <v>NE-Chiller-PumpCtrl-Full-Std</v>
      </c>
      <c r="G378">
        <f>$P378</f>
        <v>0.30935099999999999</v>
      </c>
      <c r="H378">
        <f>$G$4*G378</f>
        <v>307.80424499999998</v>
      </c>
      <c r="J378" t="s">
        <v>524</v>
      </c>
      <c r="K378" t="s">
        <v>14</v>
      </c>
      <c r="L378">
        <v>20762.169999999998</v>
      </c>
      <c r="M378">
        <v>59272.37</v>
      </c>
      <c r="P378">
        <v>0.30935099999999999</v>
      </c>
      <c r="Q378">
        <v>0</v>
      </c>
      <c r="R378">
        <v>1585149.43</v>
      </c>
      <c r="S378">
        <v>643032.05000000005</v>
      </c>
      <c r="T378">
        <v>0</v>
      </c>
      <c r="U378">
        <v>3553012.2</v>
      </c>
      <c r="V378">
        <v>0</v>
      </c>
      <c r="W378">
        <v>945097.74</v>
      </c>
      <c r="X378">
        <v>274781.03000000003</v>
      </c>
      <c r="Y378">
        <v>253729.29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651151.22</v>
      </c>
      <c r="AF378">
        <v>0</v>
      </c>
      <c r="AG378">
        <v>0</v>
      </c>
      <c r="AH378">
        <v>0</v>
      </c>
      <c r="AI378">
        <v>127428.8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711030.46</v>
      </c>
      <c r="AQ378">
        <v>0</v>
      </c>
      <c r="AR378">
        <v>0</v>
      </c>
      <c r="AS378">
        <v>6187944841.0809498</v>
      </c>
    </row>
    <row r="379" spans="2:45" x14ac:dyDescent="0.25">
      <c r="B379" s="15" t="str" cm="1">
        <f t="array" ref="B379">INDEX(_xlfn.TEXTSPLIT($J379,"/"),3)</f>
        <v>EUn&amp;0&amp;cPVVE&amp;New&amp;Chiller__PumpCtrl</v>
      </c>
      <c r="C379" s="15" t="str" cm="1">
        <f t="array" ref="C379">INDEX(_xlfn.TEXTSPLIT($J379,"/"),2)</f>
        <v>CZ05</v>
      </c>
      <c r="D379" s="34">
        <f>$G$3*H379</f>
        <v>191.81818949999999</v>
      </c>
      <c r="F379" t="str" cm="1">
        <f t="array" ref="F379">INDEX(_xlfn.TEXTSPLIT($J379,"/"),4)</f>
        <v>NE-Chiller-PumpCtrl-Full-Std</v>
      </c>
      <c r="G379">
        <f>$P379</f>
        <v>0.27540300000000001</v>
      </c>
      <c r="H379">
        <f>$G$4*G379</f>
        <v>274.02598499999999</v>
      </c>
      <c r="J379" t="s">
        <v>506</v>
      </c>
      <c r="K379" t="s">
        <v>15</v>
      </c>
      <c r="L379">
        <v>18483.740000000002</v>
      </c>
      <c r="M379">
        <v>52767.87</v>
      </c>
      <c r="P379">
        <v>0.27540300000000001</v>
      </c>
      <c r="Q379">
        <v>0</v>
      </c>
      <c r="R379">
        <v>1054883.08</v>
      </c>
      <c r="S379">
        <v>643032.05000000005</v>
      </c>
      <c r="T379">
        <v>0</v>
      </c>
      <c r="U379">
        <v>3553012.2</v>
      </c>
      <c r="V379">
        <v>0</v>
      </c>
      <c r="W379">
        <v>861527.5</v>
      </c>
      <c r="X379">
        <v>222187.46</v>
      </c>
      <c r="Y379">
        <v>201863.33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512172.63</v>
      </c>
      <c r="AF379">
        <v>0</v>
      </c>
      <c r="AG379">
        <v>0</v>
      </c>
      <c r="AH379">
        <v>0</v>
      </c>
      <c r="AI379">
        <v>127428.8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736922.58</v>
      </c>
      <c r="AQ379">
        <v>0</v>
      </c>
      <c r="AR379">
        <v>0</v>
      </c>
      <c r="AS379">
        <v>3244715095.2863498</v>
      </c>
    </row>
    <row r="380" spans="2:45" x14ac:dyDescent="0.25">
      <c r="B380" s="15" t="str" cm="1">
        <f t="array" ref="B380">INDEX(_xlfn.TEXTSPLIT($J380,"/"),3)</f>
        <v>EUn&amp;0&amp;cPVVE&amp;New&amp;Chiller__PumpCtrl</v>
      </c>
      <c r="C380" s="15" t="str" cm="1">
        <f t="array" ref="C380">INDEX(_xlfn.TEXTSPLIT($J380,"/"),2)</f>
        <v>CZ06</v>
      </c>
      <c r="D380" s="34">
        <f>$G$3*H380</f>
        <v>201.45565999999997</v>
      </c>
      <c r="F380" t="str" cm="1">
        <f t="array" ref="F380">INDEX(_xlfn.TEXTSPLIT($J380,"/"),4)</f>
        <v>NE-Chiller-PumpCtrl-Full-Std</v>
      </c>
      <c r="G380">
        <f>$P380</f>
        <v>0.28924</v>
      </c>
      <c r="H380">
        <f>$G$4*G380</f>
        <v>287.79379999999998</v>
      </c>
      <c r="J380" t="s">
        <v>493</v>
      </c>
      <c r="K380" t="s">
        <v>16</v>
      </c>
      <c r="L380">
        <v>19412.43</v>
      </c>
      <c r="M380">
        <v>55419.11</v>
      </c>
      <c r="P380">
        <v>0.28924</v>
      </c>
      <c r="Q380">
        <v>0</v>
      </c>
      <c r="R380">
        <v>1917511.37</v>
      </c>
      <c r="S380">
        <v>643032.05000000005</v>
      </c>
      <c r="T380">
        <v>0</v>
      </c>
      <c r="U380">
        <v>3553012.2</v>
      </c>
      <c r="V380">
        <v>0</v>
      </c>
      <c r="W380">
        <v>928408.79</v>
      </c>
      <c r="X380">
        <v>341975.25</v>
      </c>
      <c r="Y380">
        <v>321422.06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288384.01</v>
      </c>
      <c r="AF380">
        <v>0</v>
      </c>
      <c r="AG380">
        <v>0</v>
      </c>
      <c r="AH380">
        <v>0</v>
      </c>
      <c r="AI380">
        <v>127428.8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678526.36</v>
      </c>
      <c r="AQ380">
        <v>0</v>
      </c>
      <c r="AR380">
        <v>0</v>
      </c>
      <c r="AS380">
        <v>3032740766.4741302</v>
      </c>
    </row>
    <row r="381" spans="2:45" x14ac:dyDescent="0.25">
      <c r="B381" s="15" t="str" cm="1">
        <f t="array" ref="B381">INDEX(_xlfn.TEXTSPLIT($J381,"/"),3)</f>
        <v>EUn&amp;0&amp;cPVVE&amp;New&amp;Chiller__PumpCtrl</v>
      </c>
      <c r="C381" s="15" t="str" cm="1">
        <f t="array" ref="C381">INDEX(_xlfn.TEXTSPLIT($J381,"/"),2)</f>
        <v>CZ07</v>
      </c>
      <c r="D381" s="34">
        <f>$G$3*H381</f>
        <v>208.19708349999996</v>
      </c>
      <c r="F381" t="str" cm="1">
        <f t="array" ref="F381">INDEX(_xlfn.TEXTSPLIT($J381,"/"),4)</f>
        <v>NE-Chiller-PumpCtrl-Full-Std</v>
      </c>
      <c r="G381">
        <f>$P381</f>
        <v>0.29891899999999999</v>
      </c>
      <c r="H381">
        <f>$G$4*G381</f>
        <v>297.42440499999998</v>
      </c>
      <c r="J381" t="s">
        <v>477</v>
      </c>
      <c r="K381" t="s">
        <v>17</v>
      </c>
      <c r="L381">
        <v>20062.05</v>
      </c>
      <c r="M381">
        <v>57273.67</v>
      </c>
      <c r="P381">
        <v>0.29891899999999999</v>
      </c>
      <c r="Q381">
        <v>0</v>
      </c>
      <c r="R381">
        <v>2226358.7599999998</v>
      </c>
      <c r="S381">
        <v>643032.05000000005</v>
      </c>
      <c r="T381">
        <v>0</v>
      </c>
      <c r="U381">
        <v>3553012.2</v>
      </c>
      <c r="V381">
        <v>0</v>
      </c>
      <c r="W381">
        <v>1004204.8</v>
      </c>
      <c r="X381">
        <v>364255.55</v>
      </c>
      <c r="Y381">
        <v>342529.22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508044.46</v>
      </c>
      <c r="AF381">
        <v>0</v>
      </c>
      <c r="AG381">
        <v>0</v>
      </c>
      <c r="AH381">
        <v>0</v>
      </c>
      <c r="AI381">
        <v>127428.8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669658.78</v>
      </c>
      <c r="AQ381">
        <v>0</v>
      </c>
      <c r="AR381">
        <v>0</v>
      </c>
      <c r="AS381">
        <v>3465629335.0835299</v>
      </c>
    </row>
    <row r="382" spans="2:45" x14ac:dyDescent="0.25">
      <c r="B382" s="15" t="str" cm="1">
        <f t="array" ref="B382">INDEX(_xlfn.TEXTSPLIT($J382,"/"),3)</f>
        <v>EUn&amp;0&amp;cPVVE&amp;New&amp;Chiller__PumpCtrl</v>
      </c>
      <c r="C382" s="15" t="str" cm="1">
        <f t="array" ref="C382">INDEX(_xlfn.TEXTSPLIT($J382,"/"),2)</f>
        <v>CZ08</v>
      </c>
      <c r="D382" s="34">
        <f>$G$3*H382</f>
        <v>217.52879050000001</v>
      </c>
      <c r="F382" t="str" cm="1">
        <f t="array" ref="F382">INDEX(_xlfn.TEXTSPLIT($J382,"/"),4)</f>
        <v>NE-Chiller-PumpCtrl-Full-Std</v>
      </c>
      <c r="G382">
        <f>$P382</f>
        <v>0.31231700000000001</v>
      </c>
      <c r="H382">
        <f>$G$4*G382</f>
        <v>310.75541500000003</v>
      </c>
      <c r="J382" t="s">
        <v>460</v>
      </c>
      <c r="K382" t="s">
        <v>18</v>
      </c>
      <c r="L382">
        <v>20961.27</v>
      </c>
      <c r="M382">
        <v>59840.78</v>
      </c>
      <c r="P382">
        <v>0.31231700000000001</v>
      </c>
      <c r="Q382">
        <v>0</v>
      </c>
      <c r="R382">
        <v>2344277.5</v>
      </c>
      <c r="S382">
        <v>643032.05000000005</v>
      </c>
      <c r="T382">
        <v>0</v>
      </c>
      <c r="U382">
        <v>3553012.2</v>
      </c>
      <c r="V382">
        <v>0</v>
      </c>
      <c r="W382">
        <v>1014804.48</v>
      </c>
      <c r="X382">
        <v>369697.77</v>
      </c>
      <c r="Y382">
        <v>346490.74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584045.68000000005</v>
      </c>
      <c r="AF382">
        <v>0</v>
      </c>
      <c r="AG382">
        <v>0</v>
      </c>
      <c r="AH382">
        <v>0</v>
      </c>
      <c r="AI382">
        <v>127428.8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668491.43000000005</v>
      </c>
      <c r="AQ382">
        <v>0</v>
      </c>
      <c r="AR382">
        <v>0</v>
      </c>
      <c r="AS382">
        <v>3555540453.40622</v>
      </c>
    </row>
    <row r="383" spans="2:45" x14ac:dyDescent="0.25">
      <c r="B383" s="15" t="str" cm="1">
        <f t="array" ref="B383">INDEX(_xlfn.TEXTSPLIT($J383,"/"),3)</f>
        <v>EUn&amp;0&amp;cPVVE&amp;New&amp;Chiller__PumpCtrl</v>
      </c>
      <c r="C383" s="15" t="str" cm="1">
        <f t="array" ref="C383">INDEX(_xlfn.TEXTSPLIT($J383,"/"),2)</f>
        <v>CZ09</v>
      </c>
      <c r="D383" s="34">
        <f>$G$3*H383</f>
        <v>214.36250149999998</v>
      </c>
      <c r="F383" t="str" cm="1">
        <f t="array" ref="F383">INDEX(_xlfn.TEXTSPLIT($J383,"/"),4)</f>
        <v>NE-Chiller-PumpCtrl-Full-Std</v>
      </c>
      <c r="G383">
        <f>$P383</f>
        <v>0.30777100000000002</v>
      </c>
      <c r="H383">
        <f>$G$4*G383</f>
        <v>306.232145</v>
      </c>
      <c r="J383" t="s">
        <v>444</v>
      </c>
      <c r="K383" t="s">
        <v>19</v>
      </c>
      <c r="L383">
        <v>20656.189999999999</v>
      </c>
      <c r="M383">
        <v>58969.81</v>
      </c>
      <c r="P383">
        <v>0.30777100000000002</v>
      </c>
      <c r="Q383">
        <v>0</v>
      </c>
      <c r="R383">
        <v>2496166.7200000002</v>
      </c>
      <c r="S383">
        <v>643032.05000000005</v>
      </c>
      <c r="T383">
        <v>0</v>
      </c>
      <c r="U383">
        <v>3553012.2</v>
      </c>
      <c r="V383">
        <v>0</v>
      </c>
      <c r="W383">
        <v>1074202.1599999999</v>
      </c>
      <c r="X383">
        <v>370950.87</v>
      </c>
      <c r="Y383">
        <v>348336.3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676142.77</v>
      </c>
      <c r="AF383">
        <v>0</v>
      </c>
      <c r="AG383">
        <v>0</v>
      </c>
      <c r="AH383">
        <v>0</v>
      </c>
      <c r="AI383">
        <v>127428.8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659241.31000000006</v>
      </c>
      <c r="AQ383">
        <v>0</v>
      </c>
      <c r="AR383">
        <v>0</v>
      </c>
      <c r="AS383">
        <v>3657400929.2098899</v>
      </c>
    </row>
    <row r="384" spans="2:45" x14ac:dyDescent="0.25">
      <c r="B384" s="15" t="str" cm="1">
        <f t="array" ref="B384">INDEX(_xlfn.TEXTSPLIT($J384,"/"),3)</f>
        <v>EUn&amp;0&amp;cPVVE&amp;New&amp;Chiller__PumpCtrl</v>
      </c>
      <c r="C384" s="15" t="str" cm="1">
        <f t="array" ref="C384">INDEX(_xlfn.TEXTSPLIT($J384,"/"),2)</f>
        <v>CZ10</v>
      </c>
      <c r="D384" s="34">
        <f>$G$3*H384</f>
        <v>235.23033799999999</v>
      </c>
      <c r="F384" t="str" cm="1">
        <f t="array" ref="F384">INDEX(_xlfn.TEXTSPLIT($J384,"/"),4)</f>
        <v>NE-Chiller-PumpCtrl-Full-Std</v>
      </c>
      <c r="G384">
        <f>$P384</f>
        <v>0.33773199999999998</v>
      </c>
      <c r="H384">
        <f>$G$4*G384</f>
        <v>336.04334</v>
      </c>
      <c r="J384" t="s">
        <v>427</v>
      </c>
      <c r="K384" t="s">
        <v>20</v>
      </c>
      <c r="L384">
        <v>22667</v>
      </c>
      <c r="M384">
        <v>64710.34</v>
      </c>
      <c r="P384">
        <v>0.33773199999999998</v>
      </c>
      <c r="Q384">
        <v>0</v>
      </c>
      <c r="R384">
        <v>2799205.11</v>
      </c>
      <c r="S384">
        <v>643032.05000000005</v>
      </c>
      <c r="T384">
        <v>0</v>
      </c>
      <c r="U384">
        <v>3553012.2</v>
      </c>
      <c r="V384">
        <v>0</v>
      </c>
      <c r="W384">
        <v>1173970.83</v>
      </c>
      <c r="X384">
        <v>386166.52</v>
      </c>
      <c r="Y384">
        <v>356369.11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1038148.45</v>
      </c>
      <c r="AF384">
        <v>0</v>
      </c>
      <c r="AG384">
        <v>0</v>
      </c>
      <c r="AH384">
        <v>0</v>
      </c>
      <c r="AI384">
        <v>127428.8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652983.9</v>
      </c>
      <c r="AQ384">
        <v>0</v>
      </c>
      <c r="AR384">
        <v>0</v>
      </c>
      <c r="AS384">
        <v>6135672770.7493</v>
      </c>
    </row>
    <row r="385" spans="2:45" x14ac:dyDescent="0.25">
      <c r="B385" s="15" t="str" cm="1">
        <f t="array" ref="B385">INDEX(_xlfn.TEXTSPLIT($J385,"/"),3)</f>
        <v>EUn&amp;0&amp;cPVVE&amp;New&amp;Chiller__PumpCtrl</v>
      </c>
      <c r="C385" s="15" t="str" cm="1">
        <f t="array" ref="C385">INDEX(_xlfn.TEXTSPLIT($J385,"/"),2)</f>
        <v>CZ11</v>
      </c>
      <c r="D385" s="34">
        <f>$G$3*H385</f>
        <v>230.80756299999999</v>
      </c>
      <c r="F385" t="str" cm="1">
        <f t="array" ref="F385">INDEX(_xlfn.TEXTSPLIT($J385,"/"),4)</f>
        <v>NE-Chiller-PumpCtrl-Full-Std</v>
      </c>
      <c r="G385">
        <f>$P385</f>
        <v>0.33138200000000001</v>
      </c>
      <c r="H385">
        <f>$G$4*G385</f>
        <v>329.72509000000002</v>
      </c>
      <c r="J385" t="s">
        <v>410</v>
      </c>
      <c r="K385" t="s">
        <v>21</v>
      </c>
      <c r="L385">
        <v>22240.799999999999</v>
      </c>
      <c r="M385">
        <v>63493.61</v>
      </c>
      <c r="P385">
        <v>0.33138200000000001</v>
      </c>
      <c r="Q385">
        <v>0</v>
      </c>
      <c r="R385">
        <v>2507176.33</v>
      </c>
      <c r="S385">
        <v>643032.05000000005</v>
      </c>
      <c r="T385">
        <v>0</v>
      </c>
      <c r="U385">
        <v>3553012.2</v>
      </c>
      <c r="V385">
        <v>0</v>
      </c>
      <c r="W385">
        <v>1188141.72</v>
      </c>
      <c r="X385">
        <v>326052.93</v>
      </c>
      <c r="Y385">
        <v>296699.83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1413156.27</v>
      </c>
      <c r="AF385">
        <v>0</v>
      </c>
      <c r="AG385">
        <v>0</v>
      </c>
      <c r="AH385">
        <v>0</v>
      </c>
      <c r="AI385">
        <v>127428.8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667241.1</v>
      </c>
      <c r="AQ385">
        <v>0</v>
      </c>
      <c r="AR385">
        <v>0</v>
      </c>
      <c r="AS385">
        <v>6166994330.7137699</v>
      </c>
    </row>
    <row r="386" spans="2:45" x14ac:dyDescent="0.25">
      <c r="B386" s="15" t="str" cm="1">
        <f t="array" ref="B386">INDEX(_xlfn.TEXTSPLIT($J386,"/"),3)</f>
        <v>EUn&amp;0&amp;cPVVE&amp;New&amp;Chiller__PumpCtrl</v>
      </c>
      <c r="C386" s="15" t="str" cm="1">
        <f t="array" ref="C386">INDEX(_xlfn.TEXTSPLIT($J386,"/"),2)</f>
        <v>CZ12</v>
      </c>
      <c r="D386" s="34">
        <f>$G$3*H386</f>
        <v>226.2740445</v>
      </c>
      <c r="F386" t="str" cm="1">
        <f t="array" ref="F386">INDEX(_xlfn.TEXTSPLIT($J386,"/"),4)</f>
        <v>NE-Chiller-PumpCtrl-Full-Std</v>
      </c>
      <c r="G386">
        <f>$P386</f>
        <v>0.32487300000000002</v>
      </c>
      <c r="H386">
        <f>$G$4*G386</f>
        <v>323.24863500000004</v>
      </c>
      <c r="J386" t="s">
        <v>396</v>
      </c>
      <c r="K386" t="s">
        <v>22</v>
      </c>
      <c r="L386">
        <v>21803.98</v>
      </c>
      <c r="M386">
        <v>62246.559999999998</v>
      </c>
      <c r="P386">
        <v>0.32487300000000002</v>
      </c>
      <c r="Q386">
        <v>0</v>
      </c>
      <c r="R386">
        <v>2304665.2799999998</v>
      </c>
      <c r="S386">
        <v>643032.05000000005</v>
      </c>
      <c r="T386">
        <v>0</v>
      </c>
      <c r="U386">
        <v>3553012.2</v>
      </c>
      <c r="V386">
        <v>0</v>
      </c>
      <c r="W386">
        <v>1125722.55</v>
      </c>
      <c r="X386">
        <v>313550.51</v>
      </c>
      <c r="Y386">
        <v>284593.65000000002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1251068.47</v>
      </c>
      <c r="AF386">
        <v>0</v>
      </c>
      <c r="AG386">
        <v>0</v>
      </c>
      <c r="AH386">
        <v>0</v>
      </c>
      <c r="AI386">
        <v>127428.8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686699.99</v>
      </c>
      <c r="AQ386">
        <v>0</v>
      </c>
      <c r="AR386">
        <v>0</v>
      </c>
      <c r="AS386">
        <v>6187484716.5249996</v>
      </c>
    </row>
    <row r="387" spans="2:45" x14ac:dyDescent="0.25">
      <c r="B387" s="15" t="str" cm="1">
        <f t="array" ref="B387">INDEX(_xlfn.TEXTSPLIT($J387,"/"),3)</f>
        <v>EUn&amp;0&amp;cPVVE&amp;New&amp;Chiller__PumpCtrl</v>
      </c>
      <c r="C387" s="15" t="str" cm="1">
        <f t="array" ref="C387">INDEX(_xlfn.TEXTSPLIT($J387,"/"),2)</f>
        <v>CZ13</v>
      </c>
      <c r="D387" s="34">
        <f>$G$3*H387</f>
        <v>235.84465099999997</v>
      </c>
      <c r="F387" t="str" cm="1">
        <f t="array" ref="F387">INDEX(_xlfn.TEXTSPLIT($J387,"/"),4)</f>
        <v>NE-Chiller-PumpCtrl-Full-Std</v>
      </c>
      <c r="G387">
        <f>$P387</f>
        <v>0.33861400000000003</v>
      </c>
      <c r="H387">
        <f>$G$4*G387</f>
        <v>336.92093</v>
      </c>
      <c r="J387" t="s">
        <v>380</v>
      </c>
      <c r="K387" t="s">
        <v>23</v>
      </c>
      <c r="L387">
        <v>22726.17</v>
      </c>
      <c r="M387">
        <v>64879.25</v>
      </c>
      <c r="P387">
        <v>0.33861400000000003</v>
      </c>
      <c r="Q387">
        <v>0</v>
      </c>
      <c r="R387">
        <v>2850866.64</v>
      </c>
      <c r="S387">
        <v>643032.05000000005</v>
      </c>
      <c r="T387">
        <v>0</v>
      </c>
      <c r="U387">
        <v>3553012.2</v>
      </c>
      <c r="V387">
        <v>0</v>
      </c>
      <c r="W387">
        <v>1207123.1599999999</v>
      </c>
      <c r="X387">
        <v>355267.86</v>
      </c>
      <c r="Y387">
        <v>326210.36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1334637.52</v>
      </c>
      <c r="AF387">
        <v>0</v>
      </c>
      <c r="AG387">
        <v>0</v>
      </c>
      <c r="AH387">
        <v>0</v>
      </c>
      <c r="AI387">
        <v>127428.8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647621.04</v>
      </c>
      <c r="AQ387">
        <v>0</v>
      </c>
      <c r="AR387">
        <v>0</v>
      </c>
      <c r="AS387">
        <v>6493868594.1099796</v>
      </c>
    </row>
    <row r="388" spans="2:45" x14ac:dyDescent="0.25">
      <c r="B388" s="15" t="str" cm="1">
        <f t="array" ref="B388">INDEX(_xlfn.TEXTSPLIT($J388,"/"),3)</f>
        <v>EUn&amp;0&amp;cPVVE&amp;New&amp;Chiller__PumpCtrl</v>
      </c>
      <c r="C388" s="15" t="str" cm="1">
        <f t="array" ref="C388">INDEX(_xlfn.TEXTSPLIT($J388,"/"),2)</f>
        <v>CZ14</v>
      </c>
      <c r="D388" s="34">
        <f>$G$3*H388</f>
        <v>236.62194499999995</v>
      </c>
      <c r="F388" t="str" cm="1">
        <f t="array" ref="F388">INDEX(_xlfn.TEXTSPLIT($J388,"/"),4)</f>
        <v>NE-Chiller-PumpCtrl-Full-Std</v>
      </c>
      <c r="G388">
        <f>$P388</f>
        <v>0.33972999999999998</v>
      </c>
      <c r="H388">
        <f>$G$4*G388</f>
        <v>338.03134999999997</v>
      </c>
      <c r="J388" t="s">
        <v>364</v>
      </c>
      <c r="K388" t="s">
        <v>24</v>
      </c>
      <c r="L388">
        <v>22801.119999999999</v>
      </c>
      <c r="M388">
        <v>65093.21</v>
      </c>
      <c r="P388">
        <v>0.33972999999999998</v>
      </c>
      <c r="Q388">
        <v>0</v>
      </c>
      <c r="R388">
        <v>3043881.34</v>
      </c>
      <c r="S388">
        <v>643032.05000000005</v>
      </c>
      <c r="T388">
        <v>0</v>
      </c>
      <c r="U388">
        <v>3553012.2</v>
      </c>
      <c r="V388">
        <v>0</v>
      </c>
      <c r="W388">
        <v>1395210.57</v>
      </c>
      <c r="X388">
        <v>390944.19</v>
      </c>
      <c r="Y388">
        <v>355898.69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1487238.3</v>
      </c>
      <c r="AF388">
        <v>0</v>
      </c>
      <c r="AG388">
        <v>0</v>
      </c>
      <c r="AH388">
        <v>0</v>
      </c>
      <c r="AI388">
        <v>127428.8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613688.38</v>
      </c>
      <c r="AQ388">
        <v>0</v>
      </c>
      <c r="AR388">
        <v>0</v>
      </c>
      <c r="AS388">
        <v>6390408987.4767303</v>
      </c>
    </row>
    <row r="389" spans="2:45" x14ac:dyDescent="0.25">
      <c r="B389" s="15" t="str" cm="1">
        <f t="array" ref="B389">INDEX(_xlfn.TEXTSPLIT($J389,"/"),3)</f>
        <v>EUn&amp;0&amp;cPVVE&amp;New&amp;Chiller__PumpCtrl</v>
      </c>
      <c r="C389" s="15" t="str" cm="1">
        <f t="array" ref="C389">INDEX(_xlfn.TEXTSPLIT($J389,"/"),2)</f>
        <v>CZ15</v>
      </c>
      <c r="D389" s="34">
        <f>$G$3*H389</f>
        <v>245.53644849999998</v>
      </c>
      <c r="F389" t="str" cm="1">
        <f t="array" ref="F389">INDEX(_xlfn.TEXTSPLIT($J389,"/"),4)</f>
        <v>NE-Chiller-PumpCtrl-Full-Std</v>
      </c>
      <c r="G389">
        <f>$P389</f>
        <v>0.35252899999999998</v>
      </c>
      <c r="H389">
        <f>$G$4*G389</f>
        <v>350.76635499999998</v>
      </c>
      <c r="J389" t="s">
        <v>350</v>
      </c>
      <c r="K389" t="s">
        <v>25</v>
      </c>
      <c r="L389">
        <v>23660.080000000002</v>
      </c>
      <c r="M389">
        <v>67545.41</v>
      </c>
      <c r="P389">
        <v>0.35252899999999998</v>
      </c>
      <c r="Q389">
        <v>0</v>
      </c>
      <c r="R389">
        <v>4362973.42</v>
      </c>
      <c r="S389">
        <v>643032.05000000005</v>
      </c>
      <c r="T389">
        <v>0</v>
      </c>
      <c r="U389">
        <v>3553012.2</v>
      </c>
      <c r="V389">
        <v>0</v>
      </c>
      <c r="W389">
        <v>1511317.08</v>
      </c>
      <c r="X389">
        <v>473025.49</v>
      </c>
      <c r="Y389">
        <v>441343.09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1873151.32</v>
      </c>
      <c r="AF389">
        <v>0</v>
      </c>
      <c r="AG389">
        <v>0</v>
      </c>
      <c r="AH389">
        <v>0</v>
      </c>
      <c r="AI389">
        <v>127428.8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544305.18999999994</v>
      </c>
      <c r="AQ389">
        <v>0</v>
      </c>
      <c r="AR389">
        <v>0</v>
      </c>
      <c r="AS389">
        <v>6773888755.4277096</v>
      </c>
    </row>
    <row r="390" spans="2:45" x14ac:dyDescent="0.25">
      <c r="B390" s="15" t="str" cm="1">
        <f t="array" ref="B390">INDEX(_xlfn.TEXTSPLIT($J390,"/"),3)</f>
        <v>EUn&amp;0&amp;cPVVE&amp;New&amp;Chiller__PumpCtrl</v>
      </c>
      <c r="C390" s="15" t="str" cm="1">
        <f t="array" ref="C390">INDEX(_xlfn.TEXTSPLIT($J390,"/"),2)</f>
        <v>CZ16</v>
      </c>
      <c r="D390" s="34">
        <f>$G$3*H390</f>
        <v>207.889927</v>
      </c>
      <c r="F390" t="str" cm="1">
        <f t="array" ref="F390">INDEX(_xlfn.TEXTSPLIT($J390,"/"),4)</f>
        <v>NE-Chiller-PumpCtrl-Full-Std</v>
      </c>
      <c r="G390">
        <f>$P390</f>
        <v>0.29847800000000002</v>
      </c>
      <c r="H390">
        <f>$G$4*G390</f>
        <v>296.98561000000001</v>
      </c>
      <c r="J390" t="s">
        <v>330</v>
      </c>
      <c r="K390" t="s">
        <v>26</v>
      </c>
      <c r="L390">
        <v>20032.47</v>
      </c>
      <c r="M390">
        <v>57189.2</v>
      </c>
      <c r="P390">
        <v>0.29847800000000002</v>
      </c>
      <c r="Q390">
        <v>0</v>
      </c>
      <c r="R390">
        <v>2112967.09</v>
      </c>
      <c r="S390">
        <v>643032.05000000005</v>
      </c>
      <c r="T390">
        <v>0</v>
      </c>
      <c r="U390">
        <v>3553012.2</v>
      </c>
      <c r="V390">
        <v>0</v>
      </c>
      <c r="W390">
        <v>1486055.13</v>
      </c>
      <c r="X390">
        <v>328535.53000000003</v>
      </c>
      <c r="Y390">
        <v>253518.22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1870567.2</v>
      </c>
      <c r="AF390">
        <v>0</v>
      </c>
      <c r="AG390">
        <v>0</v>
      </c>
      <c r="AH390">
        <v>0</v>
      </c>
      <c r="AI390">
        <v>127428.8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725604.58</v>
      </c>
      <c r="AQ390">
        <v>0</v>
      </c>
      <c r="AR390">
        <v>0</v>
      </c>
      <c r="AS390">
        <v>5828930414.9104605</v>
      </c>
    </row>
    <row r="391" spans="2:45" x14ac:dyDescent="0.25">
      <c r="B391" s="15" t="str" cm="1">
        <f t="array" ref="B391">INDEX(_xlfn.TEXTSPLIT($J391,"/"),3)</f>
        <v>Hsp&amp;0&amp;cPVVE&amp;Ex&amp;Chiller__PumpCtrl</v>
      </c>
      <c r="C391" s="15" t="str" cm="1">
        <f t="array" ref="C391">INDEX(_xlfn.TEXTSPLIT($J391,"/"),2)</f>
        <v>CZ01</v>
      </c>
      <c r="D391" s="34">
        <f>$G$3*H391</f>
        <v>116.99040849999999</v>
      </c>
      <c r="F391" t="str" cm="1">
        <f t="array" ref="F391">INDEX(_xlfn.TEXTSPLIT($J391,"/"),4)</f>
        <v>NE-Chiller-PumpCtrl-Full-Std</v>
      </c>
      <c r="G391">
        <f>$P391</f>
        <v>0.16796900000000001</v>
      </c>
      <c r="H391">
        <f>$G$4*G391</f>
        <v>167.129155</v>
      </c>
      <c r="J391" t="s">
        <v>311</v>
      </c>
      <c r="K391" t="s">
        <v>11</v>
      </c>
      <c r="L391">
        <v>11273.28</v>
      </c>
      <c r="M391">
        <v>32183.24</v>
      </c>
      <c r="P391">
        <v>0.16796900000000001</v>
      </c>
      <c r="Q391">
        <v>0</v>
      </c>
      <c r="R391">
        <v>331585.53999999998</v>
      </c>
      <c r="S391">
        <v>857863.39</v>
      </c>
      <c r="T391">
        <v>0</v>
      </c>
      <c r="U391">
        <v>1141299.43</v>
      </c>
      <c r="V391">
        <v>0</v>
      </c>
      <c r="W391">
        <v>209811.94</v>
      </c>
      <c r="X391">
        <v>328180.67</v>
      </c>
      <c r="Y391">
        <v>298785.99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515855.9</v>
      </c>
      <c r="AF391">
        <v>0</v>
      </c>
      <c r="AG391">
        <v>0</v>
      </c>
      <c r="AH391">
        <v>0</v>
      </c>
      <c r="AI391">
        <v>43737.51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299616.37</v>
      </c>
      <c r="AQ391">
        <v>0</v>
      </c>
      <c r="AR391">
        <v>0</v>
      </c>
      <c r="AS391">
        <v>1851890986.7426901</v>
      </c>
    </row>
    <row r="392" spans="2:45" x14ac:dyDescent="0.25">
      <c r="B392" s="15" t="str" cm="1">
        <f t="array" ref="B392">INDEX(_xlfn.TEXTSPLIT($J392,"/"),3)</f>
        <v>Hsp&amp;0&amp;cPVVE&amp;Ex&amp;Chiller__PumpCtrl</v>
      </c>
      <c r="C392" s="15" t="str" cm="1">
        <f t="array" ref="C392">INDEX(_xlfn.TEXTSPLIT($J392,"/"),2)</f>
        <v>CZ02</v>
      </c>
      <c r="D392" s="34">
        <f>$G$3*H392</f>
        <v>143.94635149999999</v>
      </c>
      <c r="F392" t="str" cm="1">
        <f t="array" ref="F392">INDEX(_xlfn.TEXTSPLIT($J392,"/"),4)</f>
        <v>NE-Chiller-PumpCtrl-Full-Std</v>
      </c>
      <c r="G392">
        <f>$P392</f>
        <v>0.20667099999999999</v>
      </c>
      <c r="H392">
        <f>$G$4*G392</f>
        <v>205.63764499999999</v>
      </c>
      <c r="J392" t="s">
        <v>296</v>
      </c>
      <c r="K392" t="s">
        <v>12</v>
      </c>
      <c r="L392">
        <v>13870.77</v>
      </c>
      <c r="M392">
        <v>39598.639999999999</v>
      </c>
      <c r="P392">
        <v>0.20667099999999999</v>
      </c>
      <c r="Q392">
        <v>0</v>
      </c>
      <c r="R392">
        <v>1154859.07</v>
      </c>
      <c r="S392">
        <v>857863.39</v>
      </c>
      <c r="T392">
        <v>0</v>
      </c>
      <c r="U392">
        <v>1141299.43</v>
      </c>
      <c r="V392">
        <v>0</v>
      </c>
      <c r="W392">
        <v>390995.22</v>
      </c>
      <c r="X392">
        <v>408776.06</v>
      </c>
      <c r="Y392">
        <v>359165.03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898569.79</v>
      </c>
      <c r="AF392">
        <v>0</v>
      </c>
      <c r="AG392">
        <v>0</v>
      </c>
      <c r="AH392">
        <v>0</v>
      </c>
      <c r="AI392">
        <v>43737.51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275281.77</v>
      </c>
      <c r="AQ392">
        <v>0</v>
      </c>
      <c r="AR392">
        <v>0</v>
      </c>
      <c r="AS392">
        <v>3211776437.34271</v>
      </c>
    </row>
    <row r="393" spans="2:45" x14ac:dyDescent="0.25">
      <c r="B393" s="15" t="str" cm="1">
        <f t="array" ref="B393">INDEX(_xlfn.TEXTSPLIT($J393,"/"),3)</f>
        <v>Hsp&amp;0&amp;cPVVE&amp;Ex&amp;Chiller__PumpCtrl</v>
      </c>
      <c r="C393" s="15" t="str" cm="1">
        <f t="array" ref="C393">INDEX(_xlfn.TEXTSPLIT($J393,"/"),2)</f>
        <v>CZ03</v>
      </c>
      <c r="D393" s="34">
        <f>$G$3*H393</f>
        <v>136.90543299999999</v>
      </c>
      <c r="F393" t="str" cm="1">
        <f t="array" ref="F393">INDEX(_xlfn.TEXTSPLIT($J393,"/"),4)</f>
        <v>NE-Chiller-PumpCtrl-Full-Std</v>
      </c>
      <c r="G393">
        <f>$P393</f>
        <v>0.19656199999999999</v>
      </c>
      <c r="H393">
        <f>$G$4*G393</f>
        <v>195.57918999999998</v>
      </c>
      <c r="J393" t="s">
        <v>279</v>
      </c>
      <c r="K393" t="s">
        <v>13</v>
      </c>
      <c r="L393">
        <v>13192.32</v>
      </c>
      <c r="M393">
        <v>37661.79</v>
      </c>
      <c r="P393">
        <v>0.19656199999999999</v>
      </c>
      <c r="Q393">
        <v>0</v>
      </c>
      <c r="R393">
        <v>843604.6</v>
      </c>
      <c r="S393">
        <v>857863.39</v>
      </c>
      <c r="T393">
        <v>0</v>
      </c>
      <c r="U393">
        <v>1141299.43</v>
      </c>
      <c r="V393">
        <v>0</v>
      </c>
      <c r="W393">
        <v>282004.45</v>
      </c>
      <c r="X393">
        <v>383433.28</v>
      </c>
      <c r="Y393">
        <v>351053.04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474426.96</v>
      </c>
      <c r="AF393">
        <v>0</v>
      </c>
      <c r="AG393">
        <v>0</v>
      </c>
      <c r="AH393">
        <v>0</v>
      </c>
      <c r="AI393">
        <v>43737.51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274235</v>
      </c>
      <c r="AQ393">
        <v>0</v>
      </c>
      <c r="AR393">
        <v>0</v>
      </c>
      <c r="AS393">
        <v>2886644157.5589499</v>
      </c>
    </row>
    <row r="394" spans="2:45" x14ac:dyDescent="0.25">
      <c r="B394" s="15" t="str" cm="1">
        <f t="array" ref="B394">INDEX(_xlfn.TEXTSPLIT($J394,"/"),3)</f>
        <v>Hsp&amp;0&amp;cPVVE&amp;Ex&amp;Chiller__PumpCtrl</v>
      </c>
      <c r="C394" s="15" t="str" cm="1">
        <f t="array" ref="C394">INDEX(_xlfn.TEXTSPLIT($J394,"/"),2)</f>
        <v>CZ04</v>
      </c>
      <c r="D394" s="34">
        <f>$G$3*H394</f>
        <v>145.8603335</v>
      </c>
      <c r="F394" t="str" cm="1">
        <f t="array" ref="F394">INDEX(_xlfn.TEXTSPLIT($J394,"/"),4)</f>
        <v>NE-Chiller-PumpCtrl-Full-Std</v>
      </c>
      <c r="G394">
        <f>$P394</f>
        <v>0.20941899999999999</v>
      </c>
      <c r="H394">
        <f>$G$4*G394</f>
        <v>208.371905</v>
      </c>
      <c r="J394" t="s">
        <v>264</v>
      </c>
      <c r="K394" t="s">
        <v>14</v>
      </c>
      <c r="L394">
        <v>14055.21</v>
      </c>
      <c r="M394">
        <v>40125.19</v>
      </c>
      <c r="P394">
        <v>0.20941899999999999</v>
      </c>
      <c r="Q394">
        <v>0</v>
      </c>
      <c r="R394">
        <v>1281350.47</v>
      </c>
      <c r="S394">
        <v>857863.39</v>
      </c>
      <c r="T394">
        <v>0</v>
      </c>
      <c r="U394">
        <v>1141299.43</v>
      </c>
      <c r="V394">
        <v>0</v>
      </c>
      <c r="W394">
        <v>408854.6</v>
      </c>
      <c r="X394">
        <v>414536.98</v>
      </c>
      <c r="Y394">
        <v>380107.7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756698.85</v>
      </c>
      <c r="AF394">
        <v>0</v>
      </c>
      <c r="AG394">
        <v>0</v>
      </c>
      <c r="AH394">
        <v>0</v>
      </c>
      <c r="AI394">
        <v>43737.51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264804.94</v>
      </c>
      <c r="AQ394">
        <v>0</v>
      </c>
      <c r="AR394">
        <v>0</v>
      </c>
      <c r="AS394">
        <v>3188777588.49652</v>
      </c>
    </row>
    <row r="395" spans="2:45" x14ac:dyDescent="0.25">
      <c r="B395" s="15" t="str" cm="1">
        <f t="array" ref="B395">INDEX(_xlfn.TEXTSPLIT($J395,"/"),3)</f>
        <v>Hsp&amp;0&amp;cPVVE&amp;Ex&amp;Chiller__PumpCtrl</v>
      </c>
      <c r="C395" s="15" t="str" cm="1">
        <f t="array" ref="C395">INDEX(_xlfn.TEXTSPLIT($J395,"/"),2)</f>
        <v>CZ05</v>
      </c>
      <c r="D395" s="34">
        <f>$G$3*H395</f>
        <v>132.024361</v>
      </c>
      <c r="F395" t="str" cm="1">
        <f t="array" ref="F395">INDEX(_xlfn.TEXTSPLIT($J395,"/"),4)</f>
        <v>NE-Chiller-PumpCtrl-Full-Std</v>
      </c>
      <c r="G395">
        <f>$P395</f>
        <v>0.189554</v>
      </c>
      <c r="H395">
        <f>$G$4*G395</f>
        <v>188.60623000000001</v>
      </c>
      <c r="J395" t="s">
        <v>248</v>
      </c>
      <c r="K395" t="s">
        <v>15</v>
      </c>
      <c r="L395">
        <v>12722</v>
      </c>
      <c r="M395">
        <v>36319.089999999997</v>
      </c>
      <c r="P395">
        <v>0.189554</v>
      </c>
      <c r="Q395">
        <v>0</v>
      </c>
      <c r="R395">
        <v>930906.33</v>
      </c>
      <c r="S395">
        <v>857863.39</v>
      </c>
      <c r="T395">
        <v>0</v>
      </c>
      <c r="U395">
        <v>1141299.43</v>
      </c>
      <c r="V395">
        <v>0</v>
      </c>
      <c r="W395">
        <v>335171.09999999998</v>
      </c>
      <c r="X395">
        <v>372012.3</v>
      </c>
      <c r="Y395">
        <v>333479.17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550871.74</v>
      </c>
      <c r="AF395">
        <v>0</v>
      </c>
      <c r="AG395">
        <v>0</v>
      </c>
      <c r="AH395">
        <v>0</v>
      </c>
      <c r="AI395">
        <v>43737.51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274264.18</v>
      </c>
      <c r="AQ395">
        <v>0</v>
      </c>
      <c r="AR395">
        <v>0</v>
      </c>
      <c r="AS395">
        <v>2199100243.9850402</v>
      </c>
    </row>
    <row r="396" spans="2:45" x14ac:dyDescent="0.25">
      <c r="B396" s="15" t="str" cm="1">
        <f t="array" ref="B396">INDEX(_xlfn.TEXTSPLIT($J396,"/"),3)</f>
        <v>Hsp&amp;0&amp;cPVVE&amp;Ex&amp;Chiller__PumpCtrl</v>
      </c>
      <c r="C396" s="15" t="str" cm="1">
        <f t="array" ref="C396">INDEX(_xlfn.TEXTSPLIT($J396,"/"),2)</f>
        <v>CZ06</v>
      </c>
      <c r="D396" s="34">
        <f>$G$3*H396</f>
        <v>137.38601800000001</v>
      </c>
      <c r="F396" t="str" cm="1">
        <f t="array" ref="F396">INDEX(_xlfn.TEXTSPLIT($J396,"/"),4)</f>
        <v>NE-Chiller-PumpCtrl-Full-Std</v>
      </c>
      <c r="G396">
        <f>$P396</f>
        <v>0.19725200000000001</v>
      </c>
      <c r="H396">
        <f>$G$4*G396</f>
        <v>196.26574000000002</v>
      </c>
      <c r="J396" t="s">
        <v>235</v>
      </c>
      <c r="K396" t="s">
        <v>16</v>
      </c>
      <c r="L396">
        <v>13238.61</v>
      </c>
      <c r="M396">
        <v>37793.910000000003</v>
      </c>
      <c r="P396">
        <v>0.19725200000000001</v>
      </c>
      <c r="Q396">
        <v>0</v>
      </c>
      <c r="R396">
        <v>1545982.61</v>
      </c>
      <c r="S396">
        <v>857863.39</v>
      </c>
      <c r="T396">
        <v>0</v>
      </c>
      <c r="U396">
        <v>1141299.43</v>
      </c>
      <c r="V396">
        <v>0</v>
      </c>
      <c r="W396">
        <v>350635.77</v>
      </c>
      <c r="X396">
        <v>407617.53</v>
      </c>
      <c r="Y396">
        <v>381605.1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355594.73</v>
      </c>
      <c r="AF396">
        <v>0</v>
      </c>
      <c r="AG396">
        <v>0</v>
      </c>
      <c r="AH396">
        <v>0</v>
      </c>
      <c r="AI396">
        <v>43737.51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252628.46</v>
      </c>
      <c r="AQ396">
        <v>0</v>
      </c>
      <c r="AR396">
        <v>0</v>
      </c>
      <c r="AS396">
        <v>2279115165.5387998</v>
      </c>
    </row>
    <row r="397" spans="2:45" x14ac:dyDescent="0.25">
      <c r="B397" s="15" t="str" cm="1">
        <f t="array" ref="B397">INDEX(_xlfn.TEXTSPLIT($J397,"/"),3)</f>
        <v>Hsp&amp;0&amp;cPVVE&amp;Ex&amp;Chiller__PumpCtrl</v>
      </c>
      <c r="C397" s="15" t="str" cm="1">
        <f t="array" ref="C397">INDEX(_xlfn.TEXTSPLIT($J397,"/"),2)</f>
        <v>CZ07</v>
      </c>
      <c r="D397" s="34">
        <f>$G$3*H397</f>
        <v>140.789117</v>
      </c>
      <c r="F397" t="str" cm="1">
        <f t="array" ref="F397">INDEX(_xlfn.TEXTSPLIT($J397,"/"),4)</f>
        <v>NE-Chiller-PumpCtrl-Full-Std</v>
      </c>
      <c r="G397">
        <f>$P397</f>
        <v>0.20213800000000001</v>
      </c>
      <c r="H397">
        <f>$G$4*G397</f>
        <v>201.12731000000002</v>
      </c>
      <c r="J397" t="s">
        <v>217</v>
      </c>
      <c r="K397" t="s">
        <v>17</v>
      </c>
      <c r="L397">
        <v>13566.54</v>
      </c>
      <c r="M397">
        <v>38730.120000000003</v>
      </c>
      <c r="P397">
        <v>0.20213800000000001</v>
      </c>
      <c r="Q397">
        <v>0</v>
      </c>
      <c r="R397">
        <v>1701708.7</v>
      </c>
      <c r="S397">
        <v>857863.39</v>
      </c>
      <c r="T397">
        <v>0</v>
      </c>
      <c r="U397">
        <v>1141299.43</v>
      </c>
      <c r="V397">
        <v>0</v>
      </c>
      <c r="W397">
        <v>411413.69</v>
      </c>
      <c r="X397">
        <v>421911.93</v>
      </c>
      <c r="Y397">
        <v>395585.27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525400.80000000005</v>
      </c>
      <c r="AF397">
        <v>0</v>
      </c>
      <c r="AG397">
        <v>0</v>
      </c>
      <c r="AH397">
        <v>0</v>
      </c>
      <c r="AI397">
        <v>43737.51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249462.94</v>
      </c>
      <c r="AQ397">
        <v>0</v>
      </c>
      <c r="AR397">
        <v>0</v>
      </c>
      <c r="AS397">
        <v>2581295111.4147501</v>
      </c>
    </row>
    <row r="398" spans="2:45" x14ac:dyDescent="0.25">
      <c r="B398" s="15" t="str" cm="1">
        <f t="array" ref="B398">INDEX(_xlfn.TEXTSPLIT($J398,"/"),3)</f>
        <v>Hsp&amp;0&amp;cPVVE&amp;Ex&amp;Chiller__PumpCtrl</v>
      </c>
      <c r="C398" s="15" t="str" cm="1">
        <f t="array" ref="C398">INDEX(_xlfn.TEXTSPLIT($J398,"/"),2)</f>
        <v>CZ08</v>
      </c>
      <c r="D398" s="34">
        <f>$G$3*H398</f>
        <v>147.94774399999997</v>
      </c>
      <c r="F398" t="str" cm="1">
        <f t="array" ref="F398">INDEX(_xlfn.TEXTSPLIT($J398,"/"),4)</f>
        <v>NE-Chiller-PumpCtrl-Full-Std</v>
      </c>
      <c r="G398">
        <f>$P398</f>
        <v>0.21241599999999999</v>
      </c>
      <c r="H398">
        <f>$G$4*G398</f>
        <v>211.35391999999999</v>
      </c>
      <c r="J398" t="s">
        <v>200</v>
      </c>
      <c r="K398" t="s">
        <v>18</v>
      </c>
      <c r="L398">
        <v>14256.37</v>
      </c>
      <c r="M398">
        <v>40699.46</v>
      </c>
      <c r="P398">
        <v>0.21241599999999999</v>
      </c>
      <c r="Q398">
        <v>0</v>
      </c>
      <c r="R398">
        <v>1824135.7</v>
      </c>
      <c r="S398">
        <v>857863.39</v>
      </c>
      <c r="T398">
        <v>0</v>
      </c>
      <c r="U398">
        <v>1141299.43</v>
      </c>
      <c r="V398">
        <v>0</v>
      </c>
      <c r="W398">
        <v>472077.41</v>
      </c>
      <c r="X398">
        <v>435106.53</v>
      </c>
      <c r="Y398">
        <v>403975.13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730856.31</v>
      </c>
      <c r="AF398">
        <v>0</v>
      </c>
      <c r="AG398">
        <v>0</v>
      </c>
      <c r="AH398">
        <v>0</v>
      </c>
      <c r="AI398">
        <v>43737.51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249031.9</v>
      </c>
      <c r="AQ398">
        <v>0</v>
      </c>
      <c r="AR398">
        <v>0</v>
      </c>
      <c r="AS398">
        <v>2474954366.0676198</v>
      </c>
    </row>
    <row r="399" spans="2:45" x14ac:dyDescent="0.25">
      <c r="B399" s="15" t="str" cm="1">
        <f t="array" ref="B399">INDEX(_xlfn.TEXTSPLIT($J399,"/"),3)</f>
        <v>Hsp&amp;0&amp;cPVVE&amp;Ex&amp;Chiller__PumpCtrl</v>
      </c>
      <c r="C399" s="15" t="str" cm="1">
        <f t="array" ref="C399">INDEX(_xlfn.TEXTSPLIT($J399,"/"),2)</f>
        <v>CZ09</v>
      </c>
      <c r="D399" s="34">
        <f>$G$3*H399</f>
        <v>151.03323900000001</v>
      </c>
      <c r="F399" t="str" cm="1">
        <f t="array" ref="F399">INDEX(_xlfn.TEXTSPLIT($J399,"/"),4)</f>
        <v>NE-Chiller-PumpCtrl-Full-Std</v>
      </c>
      <c r="G399">
        <f>$P399</f>
        <v>0.21684600000000001</v>
      </c>
      <c r="H399">
        <f>$G$4*G399</f>
        <v>215.76177000000001</v>
      </c>
      <c r="J399" t="s">
        <v>184</v>
      </c>
      <c r="K399" t="s">
        <v>19</v>
      </c>
      <c r="L399">
        <v>14553.7</v>
      </c>
      <c r="M399">
        <v>41548.28</v>
      </c>
      <c r="P399">
        <v>0.21684600000000001</v>
      </c>
      <c r="Q399">
        <v>0</v>
      </c>
      <c r="R399">
        <v>2006825.36</v>
      </c>
      <c r="S399">
        <v>857863.39</v>
      </c>
      <c r="T399">
        <v>0</v>
      </c>
      <c r="U399">
        <v>1141299.43</v>
      </c>
      <c r="V399">
        <v>0</v>
      </c>
      <c r="W399">
        <v>546499.79</v>
      </c>
      <c r="X399">
        <v>446188.21</v>
      </c>
      <c r="Y399">
        <v>415995.96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901610.23</v>
      </c>
      <c r="AF399">
        <v>0</v>
      </c>
      <c r="AG399">
        <v>0</v>
      </c>
      <c r="AH399">
        <v>0</v>
      </c>
      <c r="AI399">
        <v>43737.51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245614.97</v>
      </c>
      <c r="AQ399">
        <v>0</v>
      </c>
      <c r="AR399">
        <v>0</v>
      </c>
      <c r="AS399">
        <v>2626843715.77985</v>
      </c>
    </row>
    <row r="400" spans="2:45" x14ac:dyDescent="0.25">
      <c r="B400" s="15" t="str" cm="1">
        <f t="array" ref="B400">INDEX(_xlfn.TEXTSPLIT($J400,"/"),3)</f>
        <v>Hsp&amp;0&amp;cPVVE&amp;Ex&amp;Chiller__PumpCtrl</v>
      </c>
      <c r="C400" s="15" t="str" cm="1">
        <f t="array" ref="C400">INDEX(_xlfn.TEXTSPLIT($J400,"/"),2)</f>
        <v>CZ10</v>
      </c>
      <c r="D400" s="34">
        <f>$G$3*H400</f>
        <v>160.68046050000001</v>
      </c>
      <c r="F400" t="str" cm="1">
        <f t="array" ref="F400">INDEX(_xlfn.TEXTSPLIT($J400,"/"),4)</f>
        <v>NE-Chiller-PumpCtrl-Full-Std</v>
      </c>
      <c r="G400">
        <f>$P400</f>
        <v>0.23069700000000001</v>
      </c>
      <c r="H400">
        <f>$G$4*G400</f>
        <v>229.54351500000001</v>
      </c>
      <c r="J400" t="s">
        <v>167</v>
      </c>
      <c r="K400" t="s">
        <v>20</v>
      </c>
      <c r="L400">
        <v>15483.29</v>
      </c>
      <c r="M400">
        <v>44202.1</v>
      </c>
      <c r="P400">
        <v>0.23069700000000001</v>
      </c>
      <c r="Q400">
        <v>0</v>
      </c>
      <c r="R400">
        <v>2148299.02</v>
      </c>
      <c r="S400">
        <v>857863.39</v>
      </c>
      <c r="T400">
        <v>0</v>
      </c>
      <c r="U400">
        <v>1141299.43</v>
      </c>
      <c r="V400">
        <v>0</v>
      </c>
      <c r="W400">
        <v>627837.62</v>
      </c>
      <c r="X400">
        <v>471928.1</v>
      </c>
      <c r="Y400">
        <v>423924.31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1358412.55</v>
      </c>
      <c r="AF400">
        <v>0</v>
      </c>
      <c r="AG400">
        <v>0</v>
      </c>
      <c r="AH400">
        <v>0</v>
      </c>
      <c r="AI400">
        <v>43737.51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243580.3</v>
      </c>
      <c r="AQ400">
        <v>0</v>
      </c>
      <c r="AR400">
        <v>0</v>
      </c>
      <c r="AS400">
        <v>3621996474.0362601</v>
      </c>
    </row>
    <row r="401" spans="2:45" x14ac:dyDescent="0.25">
      <c r="B401" s="15" t="str" cm="1">
        <f t="array" ref="B401">INDEX(_xlfn.TEXTSPLIT($J401,"/"),3)</f>
        <v>Hsp&amp;0&amp;cPVVE&amp;Ex&amp;Chiller__PumpCtrl</v>
      </c>
      <c r="C401" s="15" t="str" cm="1">
        <f t="array" ref="C401">INDEX(_xlfn.TEXTSPLIT($J401,"/"),2)</f>
        <v>CZ11</v>
      </c>
      <c r="D401" s="34">
        <f>$G$3*H401</f>
        <v>158.45792899999998</v>
      </c>
      <c r="F401" t="str" cm="1">
        <f t="array" ref="F401">INDEX(_xlfn.TEXTSPLIT($J401,"/"),4)</f>
        <v>NE-Chiller-PumpCtrl-Full-Std</v>
      </c>
      <c r="G401">
        <f>$P401</f>
        <v>0.22750600000000001</v>
      </c>
      <c r="H401">
        <f>$G$4*G401</f>
        <v>226.36847</v>
      </c>
      <c r="J401" t="s">
        <v>152</v>
      </c>
      <c r="K401" t="s">
        <v>21</v>
      </c>
      <c r="L401">
        <v>15269.12</v>
      </c>
      <c r="M401">
        <v>43590.66</v>
      </c>
      <c r="P401">
        <v>0.22750600000000001</v>
      </c>
      <c r="Q401">
        <v>0</v>
      </c>
      <c r="R401">
        <v>1941455.47</v>
      </c>
      <c r="S401">
        <v>857863.39</v>
      </c>
      <c r="T401">
        <v>0</v>
      </c>
      <c r="U401">
        <v>1141299.43</v>
      </c>
      <c r="V401">
        <v>0</v>
      </c>
      <c r="W401">
        <v>602585.98</v>
      </c>
      <c r="X401">
        <v>467671.41</v>
      </c>
      <c r="Y401">
        <v>411873.7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1473011.16</v>
      </c>
      <c r="AF401">
        <v>0</v>
      </c>
      <c r="AG401">
        <v>0</v>
      </c>
      <c r="AH401">
        <v>0</v>
      </c>
      <c r="AI401">
        <v>43737.51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249128.61</v>
      </c>
      <c r="AQ401">
        <v>0</v>
      </c>
      <c r="AR401">
        <v>0</v>
      </c>
      <c r="AS401">
        <v>3534765047.12784</v>
      </c>
    </row>
    <row r="402" spans="2:45" x14ac:dyDescent="0.25">
      <c r="B402" s="15" t="str" cm="1">
        <f t="array" ref="B402">INDEX(_xlfn.TEXTSPLIT($J402,"/"),3)</f>
        <v>Hsp&amp;0&amp;cPVVE&amp;Ex&amp;Chiller__PumpCtrl</v>
      </c>
      <c r="C402" s="15" t="str" cm="1">
        <f t="array" ref="C402">INDEX(_xlfn.TEXTSPLIT($J402,"/"),2)</f>
        <v>CZ12</v>
      </c>
      <c r="D402" s="34">
        <f>$G$3*H402</f>
        <v>154.94617599999998</v>
      </c>
      <c r="F402" t="str" cm="1">
        <f t="array" ref="F402">INDEX(_xlfn.TEXTSPLIT($J402,"/"),4)</f>
        <v>NE-Chiller-PumpCtrl-Full-Std</v>
      </c>
      <c r="G402">
        <f>$P402</f>
        <v>0.222464</v>
      </c>
      <c r="H402">
        <f>$G$4*G402</f>
        <v>221.35167999999999</v>
      </c>
      <c r="J402" t="s">
        <v>136</v>
      </c>
      <c r="K402" t="s">
        <v>22</v>
      </c>
      <c r="L402">
        <v>14930.72</v>
      </c>
      <c r="M402">
        <v>42624.6</v>
      </c>
      <c r="P402">
        <v>0.222464</v>
      </c>
      <c r="Q402">
        <v>0</v>
      </c>
      <c r="R402">
        <v>1791928.08</v>
      </c>
      <c r="S402">
        <v>857863.39</v>
      </c>
      <c r="T402">
        <v>0</v>
      </c>
      <c r="U402">
        <v>1141299.43</v>
      </c>
      <c r="V402">
        <v>0</v>
      </c>
      <c r="W402">
        <v>552696.89</v>
      </c>
      <c r="X402">
        <v>450381.84</v>
      </c>
      <c r="Y402">
        <v>400124.3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1262619.82</v>
      </c>
      <c r="AF402">
        <v>0</v>
      </c>
      <c r="AG402">
        <v>0</v>
      </c>
      <c r="AH402">
        <v>0</v>
      </c>
      <c r="AI402">
        <v>43737.51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256096.06</v>
      </c>
      <c r="AQ402">
        <v>0</v>
      </c>
      <c r="AR402">
        <v>0</v>
      </c>
      <c r="AS402">
        <v>3568429715.0887799</v>
      </c>
    </row>
    <row r="403" spans="2:45" x14ac:dyDescent="0.25">
      <c r="B403" s="15" t="str" cm="1">
        <f t="array" ref="B403">INDEX(_xlfn.TEXTSPLIT($J403,"/"),3)</f>
        <v>Hsp&amp;0&amp;cPVVE&amp;Ex&amp;Chiller__PumpCtrl</v>
      </c>
      <c r="C403" s="15" t="str" cm="1">
        <f t="array" ref="C403">INDEX(_xlfn.TEXTSPLIT($J403,"/"),2)</f>
        <v>CZ13</v>
      </c>
      <c r="D403" s="34">
        <f>$G$3*H403</f>
        <v>160.10793749999999</v>
      </c>
      <c r="F403" t="str" cm="1">
        <f t="array" ref="F403">INDEX(_xlfn.TEXTSPLIT($J403,"/"),4)</f>
        <v>NE-Chiller-PumpCtrl-Full-Std</v>
      </c>
      <c r="G403">
        <f>$P403</f>
        <v>0.229875</v>
      </c>
      <c r="H403">
        <f>$G$4*G403</f>
        <v>228.72562500000001</v>
      </c>
      <c r="J403" t="s">
        <v>119</v>
      </c>
      <c r="K403" t="s">
        <v>23</v>
      </c>
      <c r="L403">
        <v>15428.13</v>
      </c>
      <c r="M403">
        <v>44044.61</v>
      </c>
      <c r="P403">
        <v>0.229875</v>
      </c>
      <c r="Q403">
        <v>0</v>
      </c>
      <c r="R403">
        <v>2156110.13</v>
      </c>
      <c r="S403">
        <v>857863.39</v>
      </c>
      <c r="T403">
        <v>0</v>
      </c>
      <c r="U403">
        <v>1141299.43</v>
      </c>
      <c r="V403">
        <v>0</v>
      </c>
      <c r="W403">
        <v>623386.30000000005</v>
      </c>
      <c r="X403">
        <v>473706.58</v>
      </c>
      <c r="Y403">
        <v>428939.12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1357933.99</v>
      </c>
      <c r="AF403">
        <v>0</v>
      </c>
      <c r="AG403">
        <v>0</v>
      </c>
      <c r="AH403">
        <v>0</v>
      </c>
      <c r="AI403">
        <v>43737.51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241881.52</v>
      </c>
      <c r="AQ403">
        <v>0</v>
      </c>
      <c r="AR403">
        <v>0</v>
      </c>
      <c r="AS403">
        <v>3723506922.7220702</v>
      </c>
    </row>
    <row r="404" spans="2:45" x14ac:dyDescent="0.25">
      <c r="B404" s="15" t="str" cm="1">
        <f t="array" ref="B404">INDEX(_xlfn.TEXTSPLIT($J404,"/"),3)</f>
        <v>Hsp&amp;0&amp;cPVVE&amp;Ex&amp;Chiller__PumpCtrl</v>
      </c>
      <c r="C404" s="15" t="str" cm="1">
        <f t="array" ref="C404">INDEX(_xlfn.TEXTSPLIT($J404,"/"),2)</f>
        <v>CZ14</v>
      </c>
      <c r="D404" s="34">
        <f>$G$3*H404</f>
        <v>159.33551900000001</v>
      </c>
      <c r="F404" t="str" cm="1">
        <f t="array" ref="F404">INDEX(_xlfn.TEXTSPLIT($J404,"/"),4)</f>
        <v>NE-Chiller-PumpCtrl-Full-Std</v>
      </c>
      <c r="G404">
        <f>$P404</f>
        <v>0.228766</v>
      </c>
      <c r="H404">
        <f>$G$4*G404</f>
        <v>227.62217000000001</v>
      </c>
      <c r="J404" t="s">
        <v>103</v>
      </c>
      <c r="K404" t="s">
        <v>24</v>
      </c>
      <c r="L404">
        <v>15353.69</v>
      </c>
      <c r="M404">
        <v>43832.1</v>
      </c>
      <c r="P404">
        <v>0.228766</v>
      </c>
      <c r="Q404">
        <v>0</v>
      </c>
      <c r="R404">
        <v>2211146.7999999998</v>
      </c>
      <c r="S404">
        <v>857863.39</v>
      </c>
      <c r="T404">
        <v>0</v>
      </c>
      <c r="U404">
        <v>1141299.43</v>
      </c>
      <c r="V404">
        <v>0</v>
      </c>
      <c r="W404">
        <v>750738.96</v>
      </c>
      <c r="X404">
        <v>477233.94</v>
      </c>
      <c r="Y404">
        <v>389189.39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1544955.31</v>
      </c>
      <c r="AF404">
        <v>0</v>
      </c>
      <c r="AG404">
        <v>0</v>
      </c>
      <c r="AH404">
        <v>0</v>
      </c>
      <c r="AI404">
        <v>43737.51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229429.89</v>
      </c>
      <c r="AQ404">
        <v>0</v>
      </c>
      <c r="AR404">
        <v>0</v>
      </c>
      <c r="AS404">
        <v>3552688032.8490901</v>
      </c>
    </row>
    <row r="405" spans="2:45" x14ac:dyDescent="0.25">
      <c r="B405" s="15" t="str" cm="1">
        <f t="array" ref="B405">INDEX(_xlfn.TEXTSPLIT($J405,"/"),3)</f>
        <v>Hsp&amp;0&amp;cPVVE&amp;Ex&amp;Chiller__PumpCtrl</v>
      </c>
      <c r="C405" s="15" t="str" cm="1">
        <f t="array" ref="C405">INDEX(_xlfn.TEXTSPLIT($J405,"/"),2)</f>
        <v>CZ15</v>
      </c>
      <c r="D405" s="34">
        <f>$G$3*H405</f>
        <v>164.45409749999999</v>
      </c>
      <c r="F405" t="str" cm="1">
        <f t="array" ref="F405">INDEX(_xlfn.TEXTSPLIT($J405,"/"),4)</f>
        <v>NE-Chiller-PumpCtrl-Full-Std</v>
      </c>
      <c r="G405">
        <f>$P405</f>
        <v>0.23611499999999999</v>
      </c>
      <c r="H405">
        <f>$G$4*G405</f>
        <v>234.934425</v>
      </c>
      <c r="J405" t="s">
        <v>87</v>
      </c>
      <c r="K405" t="s">
        <v>25</v>
      </c>
      <c r="L405">
        <v>15846.95</v>
      </c>
      <c r="M405">
        <v>45240.28</v>
      </c>
      <c r="P405">
        <v>0.23611499999999999</v>
      </c>
      <c r="Q405">
        <v>0</v>
      </c>
      <c r="R405">
        <v>3074388.43</v>
      </c>
      <c r="S405">
        <v>857863.39</v>
      </c>
      <c r="T405">
        <v>0</v>
      </c>
      <c r="U405">
        <v>1141299.43</v>
      </c>
      <c r="V405">
        <v>0</v>
      </c>
      <c r="W405">
        <v>801564.47</v>
      </c>
      <c r="X405">
        <v>493171.75</v>
      </c>
      <c r="Y405">
        <v>444161.65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1648602.24</v>
      </c>
      <c r="AF405">
        <v>0</v>
      </c>
      <c r="AG405">
        <v>0</v>
      </c>
      <c r="AH405">
        <v>0</v>
      </c>
      <c r="AI405">
        <v>43737.51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203701.21</v>
      </c>
      <c r="AQ405">
        <v>0</v>
      </c>
      <c r="AR405">
        <v>0</v>
      </c>
      <c r="AS405">
        <v>3768833553.5721798</v>
      </c>
    </row>
    <row r="406" spans="2:45" x14ac:dyDescent="0.25">
      <c r="B406" s="15" t="str" cm="1">
        <f t="array" ref="B406">INDEX(_xlfn.TEXTSPLIT($J406,"/"),3)</f>
        <v>Hsp&amp;0&amp;cPVVE&amp;Ex&amp;Chiller__PumpCtrl</v>
      </c>
      <c r="C406" s="15" t="str" cm="1">
        <f t="array" ref="C406">INDEX(_xlfn.TEXTSPLIT($J406,"/"),2)</f>
        <v>CZ16</v>
      </c>
      <c r="D406" s="34">
        <f>$G$3*H406</f>
        <v>144.34892849999997</v>
      </c>
      <c r="F406" t="str" cm="1">
        <f t="array" ref="F406">INDEX(_xlfn.TEXTSPLIT($J406,"/"),4)</f>
        <v>NE-Chiller-PumpCtrl-Full-Std</v>
      </c>
      <c r="G406">
        <f>$P406</f>
        <v>0.20724899999999999</v>
      </c>
      <c r="H406">
        <f>$G$4*G406</f>
        <v>206.21275499999999</v>
      </c>
      <c r="J406" t="s">
        <v>71</v>
      </c>
      <c r="K406" t="s">
        <v>26</v>
      </c>
      <c r="L406">
        <v>13909.61</v>
      </c>
      <c r="M406">
        <v>39709.5</v>
      </c>
      <c r="P406">
        <v>0.20724899999999999</v>
      </c>
      <c r="Q406">
        <v>0</v>
      </c>
      <c r="R406">
        <v>1615680.5</v>
      </c>
      <c r="S406">
        <v>857863.39</v>
      </c>
      <c r="T406">
        <v>0</v>
      </c>
      <c r="U406">
        <v>1141299.43</v>
      </c>
      <c r="V406">
        <v>0</v>
      </c>
      <c r="W406">
        <v>794392.67</v>
      </c>
      <c r="X406">
        <v>434750.09</v>
      </c>
      <c r="Y406">
        <v>274551.58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1729955.96</v>
      </c>
      <c r="AF406">
        <v>0</v>
      </c>
      <c r="AG406">
        <v>0</v>
      </c>
      <c r="AH406">
        <v>0</v>
      </c>
      <c r="AI406">
        <v>43737.51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270731.51</v>
      </c>
      <c r="AQ406">
        <v>0</v>
      </c>
      <c r="AR406">
        <v>0</v>
      </c>
      <c r="AS406">
        <v>2954414684.7699399</v>
      </c>
    </row>
    <row r="407" spans="2:45" x14ac:dyDescent="0.25">
      <c r="B407" s="15" t="str" cm="1">
        <f t="array" ref="B407">INDEX(_xlfn.TEXTSPLIT($J407,"/"),3)</f>
        <v>Hsp&amp;0&amp;cPVVE&amp;New&amp;Chiller__PumpCtrl</v>
      </c>
      <c r="C407" s="15" t="str" cm="1">
        <f t="array" ref="C407">INDEX(_xlfn.TEXTSPLIT($J407,"/"),2)</f>
        <v>CZ01</v>
      </c>
      <c r="D407" s="34">
        <f>$G$3*H407</f>
        <v>99.575818999999996</v>
      </c>
      <c r="F407" t="str" cm="1">
        <f t="array" ref="F407">INDEX(_xlfn.TEXTSPLIT($J407,"/"),4)</f>
        <v>NE-Chiller-PumpCtrl-Full-Std</v>
      </c>
      <c r="G407">
        <f>$P407</f>
        <v>0.14296600000000001</v>
      </c>
      <c r="H407">
        <f>$G$4*G407</f>
        <v>142.25117</v>
      </c>
      <c r="J407" t="s">
        <v>568</v>
      </c>
      <c r="K407" t="s">
        <v>11</v>
      </c>
      <c r="L407">
        <v>9595.2099999999991</v>
      </c>
      <c r="M407">
        <v>27392.65</v>
      </c>
      <c r="P407">
        <v>0.14296600000000001</v>
      </c>
      <c r="Q407">
        <v>0</v>
      </c>
      <c r="R407">
        <v>291153.12</v>
      </c>
      <c r="S407">
        <v>626942.71</v>
      </c>
      <c r="T407">
        <v>0</v>
      </c>
      <c r="U407">
        <v>1141299.43</v>
      </c>
      <c r="V407">
        <v>0</v>
      </c>
      <c r="W407">
        <v>178118.52</v>
      </c>
      <c r="X407">
        <v>279823.90999999997</v>
      </c>
      <c r="Y407">
        <v>254744.95999999999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363245.55</v>
      </c>
      <c r="AF407">
        <v>0</v>
      </c>
      <c r="AG407">
        <v>0</v>
      </c>
      <c r="AH407">
        <v>0</v>
      </c>
      <c r="AI407">
        <v>43737.51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299611.58</v>
      </c>
      <c r="AQ407">
        <v>0</v>
      </c>
      <c r="AR407">
        <v>0</v>
      </c>
      <c r="AS407">
        <v>1563118196.7704101</v>
      </c>
    </row>
    <row r="408" spans="2:45" x14ac:dyDescent="0.25">
      <c r="B408" s="15" t="str" cm="1">
        <f t="array" ref="B408">INDEX(_xlfn.TEXTSPLIT($J408,"/"),3)</f>
        <v>Hsp&amp;0&amp;cPVVE&amp;New&amp;Chiller__PumpCtrl</v>
      </c>
      <c r="C408" s="15" t="str" cm="1">
        <f t="array" ref="C408">INDEX(_xlfn.TEXTSPLIT($J408,"/"),2)</f>
        <v>CZ02</v>
      </c>
      <c r="D408" s="34">
        <f>$G$3*H408</f>
        <v>133.99336649999998</v>
      </c>
      <c r="F408" t="str" cm="1">
        <f t="array" ref="F408">INDEX(_xlfn.TEXTSPLIT($J408,"/"),4)</f>
        <v>NE-Chiller-PumpCtrl-Full-Std</v>
      </c>
      <c r="G408">
        <f>$P408</f>
        <v>0.192381</v>
      </c>
      <c r="H408">
        <f>$G$4*G408</f>
        <v>191.419095</v>
      </c>
      <c r="J408" t="s">
        <v>553</v>
      </c>
      <c r="K408" t="s">
        <v>12</v>
      </c>
      <c r="L408">
        <v>12911.69</v>
      </c>
      <c r="M408">
        <v>36860.620000000003</v>
      </c>
      <c r="P408">
        <v>0.192381</v>
      </c>
      <c r="Q408">
        <v>0</v>
      </c>
      <c r="R408">
        <v>1052972.8700000001</v>
      </c>
      <c r="S408">
        <v>626942.71</v>
      </c>
      <c r="T408">
        <v>0</v>
      </c>
      <c r="U408">
        <v>1141299.43</v>
      </c>
      <c r="V408">
        <v>0</v>
      </c>
      <c r="W408">
        <v>348246.36</v>
      </c>
      <c r="X408">
        <v>378907.12</v>
      </c>
      <c r="Y408">
        <v>332088.40999999997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1106906.5900000001</v>
      </c>
      <c r="AF408">
        <v>0</v>
      </c>
      <c r="AG408">
        <v>0</v>
      </c>
      <c r="AH408">
        <v>0</v>
      </c>
      <c r="AI408">
        <v>43737.51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275264.99</v>
      </c>
      <c r="AQ408">
        <v>0</v>
      </c>
      <c r="AR408">
        <v>0</v>
      </c>
      <c r="AS408">
        <v>2950463892.0782199</v>
      </c>
    </row>
    <row r="409" spans="2:45" x14ac:dyDescent="0.25">
      <c r="B409" s="15" t="str" cm="1">
        <f t="array" ref="B409">INDEX(_xlfn.TEXTSPLIT($J409,"/"),3)</f>
        <v>Hsp&amp;0&amp;cPVVE&amp;New&amp;Chiller__PumpCtrl</v>
      </c>
      <c r="C409" s="15" t="str" cm="1">
        <f t="array" ref="C409">INDEX(_xlfn.TEXTSPLIT($J409,"/"),2)</f>
        <v>CZ03</v>
      </c>
      <c r="D409" s="34">
        <f>$G$3*H409</f>
        <v>125.98779549999999</v>
      </c>
      <c r="F409" t="str" cm="1">
        <f t="array" ref="F409">INDEX(_xlfn.TEXTSPLIT($J409,"/"),4)</f>
        <v>NE-Chiller-PumpCtrl-Full-Std</v>
      </c>
      <c r="G409">
        <f>$P409</f>
        <v>0.18088699999999999</v>
      </c>
      <c r="H409">
        <f>$G$4*G409</f>
        <v>179.98256499999999</v>
      </c>
      <c r="J409" t="s">
        <v>536</v>
      </c>
      <c r="K409" t="s">
        <v>13</v>
      </c>
      <c r="L409">
        <v>12140.27</v>
      </c>
      <c r="M409">
        <v>34658.36</v>
      </c>
      <c r="P409">
        <v>0.18088699999999999</v>
      </c>
      <c r="Q409">
        <v>0</v>
      </c>
      <c r="R409">
        <v>757498.2</v>
      </c>
      <c r="S409">
        <v>626942.71</v>
      </c>
      <c r="T409">
        <v>0</v>
      </c>
      <c r="U409">
        <v>1141299.43</v>
      </c>
      <c r="V409">
        <v>0</v>
      </c>
      <c r="W409">
        <v>252759.62</v>
      </c>
      <c r="X409">
        <v>351806.61</v>
      </c>
      <c r="Y409">
        <v>322044.27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661267.93000000005</v>
      </c>
      <c r="AF409">
        <v>0</v>
      </c>
      <c r="AG409">
        <v>0</v>
      </c>
      <c r="AH409">
        <v>0</v>
      </c>
      <c r="AI409">
        <v>43737.51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274229.78000000003</v>
      </c>
      <c r="AQ409">
        <v>0</v>
      </c>
      <c r="AR409">
        <v>0</v>
      </c>
      <c r="AS409">
        <v>2572623618.1321502</v>
      </c>
    </row>
    <row r="410" spans="2:45" x14ac:dyDescent="0.25">
      <c r="B410" s="15" t="str" cm="1">
        <f t="array" ref="B410">INDEX(_xlfn.TEXTSPLIT($J410,"/"),3)</f>
        <v>Hsp&amp;0&amp;cPVVE&amp;New&amp;Chiller__PumpCtrl</v>
      </c>
      <c r="C410" s="15" t="str" cm="1">
        <f t="array" ref="C410">INDEX(_xlfn.TEXTSPLIT($J410,"/"),2)</f>
        <v>CZ04</v>
      </c>
      <c r="D410" s="34">
        <f>$G$3*H410</f>
        <v>135.60994299999999</v>
      </c>
      <c r="F410" t="str" cm="1">
        <f t="array" ref="F410">INDEX(_xlfn.TEXTSPLIT($J410,"/"),4)</f>
        <v>NE-Chiller-PumpCtrl-Full-Std</v>
      </c>
      <c r="G410">
        <f>$P410</f>
        <v>0.19470199999999999</v>
      </c>
      <c r="H410">
        <f>$G$4*G410</f>
        <v>193.72848999999999</v>
      </c>
      <c r="J410" t="s">
        <v>521</v>
      </c>
      <c r="K410" t="s">
        <v>14</v>
      </c>
      <c r="L410">
        <v>13067.48</v>
      </c>
      <c r="M410">
        <v>37305.379999999997</v>
      </c>
      <c r="P410">
        <v>0.19470199999999999</v>
      </c>
      <c r="Q410">
        <v>0</v>
      </c>
      <c r="R410">
        <v>1172809.26</v>
      </c>
      <c r="S410">
        <v>626942.71</v>
      </c>
      <c r="T410">
        <v>0</v>
      </c>
      <c r="U410">
        <v>1141299.43</v>
      </c>
      <c r="V410">
        <v>0</v>
      </c>
      <c r="W410">
        <v>357697.54</v>
      </c>
      <c r="X410">
        <v>384209.78</v>
      </c>
      <c r="Y410">
        <v>351777.19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894297.16</v>
      </c>
      <c r="AF410">
        <v>0</v>
      </c>
      <c r="AG410">
        <v>0</v>
      </c>
      <c r="AH410">
        <v>0</v>
      </c>
      <c r="AI410">
        <v>43737.51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264794.14</v>
      </c>
      <c r="AQ410">
        <v>0</v>
      </c>
      <c r="AR410">
        <v>0</v>
      </c>
      <c r="AS410">
        <v>2908486961.9923501</v>
      </c>
    </row>
    <row r="411" spans="2:45" x14ac:dyDescent="0.25">
      <c r="B411" s="15" t="str" cm="1">
        <f t="array" ref="B411">INDEX(_xlfn.TEXTSPLIT($J411,"/"),3)</f>
        <v>Hsp&amp;0&amp;cPVVE&amp;New&amp;Chiller__PumpCtrl</v>
      </c>
      <c r="C411" s="15" t="str" cm="1">
        <f t="array" ref="C411">INDEX(_xlfn.TEXTSPLIT($J411,"/"),2)</f>
        <v>CZ05</v>
      </c>
      <c r="D411" s="34">
        <f>$G$3*H411</f>
        <v>120.50076849999999</v>
      </c>
      <c r="F411" t="str" cm="1">
        <f t="array" ref="F411">INDEX(_xlfn.TEXTSPLIT($J411,"/"),4)</f>
        <v>NE-Chiller-PumpCtrl-Full-Std</v>
      </c>
      <c r="G411">
        <f>$P411</f>
        <v>0.173009</v>
      </c>
      <c r="H411">
        <f>$G$4*G411</f>
        <v>172.14395500000001</v>
      </c>
      <c r="J411" t="s">
        <v>504</v>
      </c>
      <c r="K411" t="s">
        <v>15</v>
      </c>
      <c r="L411">
        <v>11611.56</v>
      </c>
      <c r="M411">
        <v>33148.99</v>
      </c>
      <c r="P411">
        <v>0.173009</v>
      </c>
      <c r="Q411">
        <v>0</v>
      </c>
      <c r="R411">
        <v>831856.78</v>
      </c>
      <c r="S411">
        <v>626942.71</v>
      </c>
      <c r="T411">
        <v>0</v>
      </c>
      <c r="U411">
        <v>1141299.43</v>
      </c>
      <c r="V411">
        <v>0</v>
      </c>
      <c r="W411">
        <v>292475.81</v>
      </c>
      <c r="X411">
        <v>338947.28</v>
      </c>
      <c r="Y411">
        <v>303312.69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721607.57</v>
      </c>
      <c r="AF411">
        <v>0</v>
      </c>
      <c r="AG411">
        <v>0</v>
      </c>
      <c r="AH411">
        <v>0</v>
      </c>
      <c r="AI411">
        <v>43737.51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274265.32</v>
      </c>
      <c r="AQ411">
        <v>0</v>
      </c>
      <c r="AR411">
        <v>0</v>
      </c>
      <c r="AS411">
        <v>1964154800.5350699</v>
      </c>
    </row>
    <row r="412" spans="2:45" x14ac:dyDescent="0.25">
      <c r="B412" s="15" t="str" cm="1">
        <f t="array" ref="B412">INDEX(_xlfn.TEXTSPLIT($J412,"/"),3)</f>
        <v>Hsp&amp;0&amp;cPVVE&amp;New&amp;Chiller__PumpCtrl</v>
      </c>
      <c r="C412" s="15" t="str" cm="1">
        <f t="array" ref="C412">INDEX(_xlfn.TEXTSPLIT($J412,"/"),2)</f>
        <v>CZ06</v>
      </c>
      <c r="D412" s="34">
        <f>$G$3*H412</f>
        <v>126.4934545</v>
      </c>
      <c r="F412" t="str" cm="1">
        <f t="array" ref="F412">INDEX(_xlfn.TEXTSPLIT($J412,"/"),4)</f>
        <v>NE-Chiller-PumpCtrl-Full-Std</v>
      </c>
      <c r="G412">
        <f>$P412</f>
        <v>0.181613</v>
      </c>
      <c r="H412">
        <f>$G$4*G412</f>
        <v>180.70493500000001</v>
      </c>
      <c r="J412" t="s">
        <v>487</v>
      </c>
      <c r="K412" t="s">
        <v>16</v>
      </c>
      <c r="L412">
        <v>12189</v>
      </c>
      <c r="M412">
        <v>34797.47</v>
      </c>
      <c r="P412">
        <v>0.181613</v>
      </c>
      <c r="Q412">
        <v>0</v>
      </c>
      <c r="R412">
        <v>1413432.73</v>
      </c>
      <c r="S412">
        <v>626942.71</v>
      </c>
      <c r="T412">
        <v>0</v>
      </c>
      <c r="U412">
        <v>1141299.43</v>
      </c>
      <c r="V412">
        <v>0</v>
      </c>
      <c r="W412">
        <v>311901.3</v>
      </c>
      <c r="X412">
        <v>375562.47</v>
      </c>
      <c r="Y412">
        <v>351410.87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437016.52</v>
      </c>
      <c r="AF412">
        <v>0</v>
      </c>
      <c r="AG412">
        <v>0</v>
      </c>
      <c r="AH412">
        <v>0</v>
      </c>
      <c r="AI412">
        <v>43737.51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252644.44</v>
      </c>
      <c r="AQ412">
        <v>0</v>
      </c>
      <c r="AR412">
        <v>0</v>
      </c>
      <c r="AS412">
        <v>2046523317.28894</v>
      </c>
    </row>
    <row r="413" spans="2:45" x14ac:dyDescent="0.25">
      <c r="B413" s="15" t="str" cm="1">
        <f t="array" ref="B413">INDEX(_xlfn.TEXTSPLIT($J413,"/"),3)</f>
        <v>Hsp&amp;0&amp;cPVVE&amp;New&amp;Chiller__PumpCtrl</v>
      </c>
      <c r="C413" s="15" t="str" cm="1">
        <f t="array" ref="C413">INDEX(_xlfn.TEXTSPLIT($J413,"/"),2)</f>
        <v>CZ07</v>
      </c>
      <c r="D413" s="34">
        <f>$G$3*H413</f>
        <v>128.7501145</v>
      </c>
      <c r="F413" t="str" cm="1">
        <f t="array" ref="F413">INDEX(_xlfn.TEXTSPLIT($J413,"/"),4)</f>
        <v>NE-Chiller-PumpCtrl-Full-Std</v>
      </c>
      <c r="G413">
        <f>$P413</f>
        <v>0.18485299999999999</v>
      </c>
      <c r="H413">
        <f>$G$4*G413</f>
        <v>183.92873499999999</v>
      </c>
      <c r="J413" t="s">
        <v>471</v>
      </c>
      <c r="K413" t="s">
        <v>17</v>
      </c>
      <c r="L413">
        <v>12406.5</v>
      </c>
      <c r="M413">
        <v>35418.39</v>
      </c>
      <c r="P413">
        <v>0.18485299999999999</v>
      </c>
      <c r="Q413">
        <v>0</v>
      </c>
      <c r="R413">
        <v>1542167.84</v>
      </c>
      <c r="S413">
        <v>626942.71</v>
      </c>
      <c r="T413">
        <v>0</v>
      </c>
      <c r="U413">
        <v>1141299.43</v>
      </c>
      <c r="V413">
        <v>0</v>
      </c>
      <c r="W413">
        <v>361007.18</v>
      </c>
      <c r="X413">
        <v>385299.94</v>
      </c>
      <c r="Y413">
        <v>361102.34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567215.03</v>
      </c>
      <c r="AF413">
        <v>0</v>
      </c>
      <c r="AG413">
        <v>0</v>
      </c>
      <c r="AH413">
        <v>0</v>
      </c>
      <c r="AI413">
        <v>43737.51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249473.52</v>
      </c>
      <c r="AQ413">
        <v>0</v>
      </c>
      <c r="AR413">
        <v>0</v>
      </c>
      <c r="AS413">
        <v>2306904644.3975601</v>
      </c>
    </row>
    <row r="414" spans="2:45" x14ac:dyDescent="0.25">
      <c r="B414" s="15" t="str" cm="1">
        <f t="array" ref="B414">INDEX(_xlfn.TEXTSPLIT($J414,"/"),3)</f>
        <v>Hsp&amp;0&amp;cPVVE&amp;New&amp;Chiller__PumpCtrl</v>
      </c>
      <c r="C414" s="15" t="str" cm="1">
        <f t="array" ref="C414">INDEX(_xlfn.TEXTSPLIT($J414,"/"),2)</f>
        <v>CZ08</v>
      </c>
      <c r="D414" s="34">
        <f>$G$3*H414</f>
        <v>137.92232300000001</v>
      </c>
      <c r="F414" t="str" cm="1">
        <f t="array" ref="F414">INDEX(_xlfn.TEXTSPLIT($J414,"/"),4)</f>
        <v>NE-Chiller-PumpCtrl-Full-Std</v>
      </c>
      <c r="G414">
        <f>$P414</f>
        <v>0.198022</v>
      </c>
      <c r="H414">
        <f>$G$4*G414</f>
        <v>197.03189</v>
      </c>
      <c r="J414" t="s">
        <v>455</v>
      </c>
      <c r="K414" t="s">
        <v>18</v>
      </c>
      <c r="L414">
        <v>13290.28</v>
      </c>
      <c r="M414">
        <v>37941.440000000002</v>
      </c>
      <c r="P414">
        <v>0.198022</v>
      </c>
      <c r="Q414">
        <v>0</v>
      </c>
      <c r="R414">
        <v>1681621.13</v>
      </c>
      <c r="S414">
        <v>626942.71</v>
      </c>
      <c r="T414">
        <v>0</v>
      </c>
      <c r="U414">
        <v>1141299.43</v>
      </c>
      <c r="V414">
        <v>0</v>
      </c>
      <c r="W414">
        <v>413776.06</v>
      </c>
      <c r="X414">
        <v>404106.91</v>
      </c>
      <c r="Y414">
        <v>374929.01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808606.12</v>
      </c>
      <c r="AF414">
        <v>0</v>
      </c>
      <c r="AG414">
        <v>0</v>
      </c>
      <c r="AH414">
        <v>0</v>
      </c>
      <c r="AI414">
        <v>43737.51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249012.19</v>
      </c>
      <c r="AQ414">
        <v>0</v>
      </c>
      <c r="AR414">
        <v>0</v>
      </c>
      <c r="AS414">
        <v>2284622569.8924098</v>
      </c>
    </row>
    <row r="415" spans="2:45" x14ac:dyDescent="0.25">
      <c r="B415" s="15" t="str" cm="1">
        <f t="array" ref="B415">INDEX(_xlfn.TEXTSPLIT($J415,"/"),3)</f>
        <v>Hsp&amp;0&amp;cPVVE&amp;New&amp;Chiller__PumpCtrl</v>
      </c>
      <c r="C415" s="15" t="str" cm="1">
        <f t="array" ref="C415">INDEX(_xlfn.TEXTSPLIT($J415,"/"),2)</f>
        <v>CZ09</v>
      </c>
      <c r="D415" s="34">
        <f>$G$3*H415</f>
        <v>141.18263949999999</v>
      </c>
      <c r="F415" t="str" cm="1">
        <f t="array" ref="F415">INDEX(_xlfn.TEXTSPLIT($J415,"/"),4)</f>
        <v>NE-Chiller-PumpCtrl-Full-Std</v>
      </c>
      <c r="G415">
        <f>$P415</f>
        <v>0.20270299999999999</v>
      </c>
      <c r="H415">
        <f>$G$4*G415</f>
        <v>201.68948499999999</v>
      </c>
      <c r="J415" t="s">
        <v>439</v>
      </c>
      <c r="K415" t="s">
        <v>19</v>
      </c>
      <c r="L415">
        <v>13604.45</v>
      </c>
      <c r="M415">
        <v>38838.339999999997</v>
      </c>
      <c r="P415">
        <v>0.20270299999999999</v>
      </c>
      <c r="Q415">
        <v>0</v>
      </c>
      <c r="R415">
        <v>1852783.05</v>
      </c>
      <c r="S415">
        <v>626942.71</v>
      </c>
      <c r="T415">
        <v>0</v>
      </c>
      <c r="U415">
        <v>1141299.43</v>
      </c>
      <c r="V415">
        <v>0</v>
      </c>
      <c r="W415">
        <v>458076.56</v>
      </c>
      <c r="X415">
        <v>416361.27</v>
      </c>
      <c r="Y415">
        <v>388109.13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936450.21</v>
      </c>
      <c r="AF415">
        <v>0</v>
      </c>
      <c r="AG415">
        <v>0</v>
      </c>
      <c r="AH415">
        <v>0</v>
      </c>
      <c r="AI415">
        <v>43737.51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245610.2</v>
      </c>
      <c r="AQ415">
        <v>0</v>
      </c>
      <c r="AR415">
        <v>0</v>
      </c>
      <c r="AS415">
        <v>2420741575.40452</v>
      </c>
    </row>
    <row r="416" spans="2:45" x14ac:dyDescent="0.25">
      <c r="B416" s="15" t="str" cm="1">
        <f t="array" ref="B416">INDEX(_xlfn.TEXTSPLIT($J416,"/"),3)</f>
        <v>Hsp&amp;0&amp;cPVVE&amp;New&amp;Chiller__PumpCtrl</v>
      </c>
      <c r="C416" s="15" t="str" cm="1">
        <f t="array" ref="C416">INDEX(_xlfn.TEXTSPLIT($J416,"/"),2)</f>
        <v>CZ10</v>
      </c>
      <c r="D416" s="34">
        <f>$G$3*H416</f>
        <v>149.12552549999998</v>
      </c>
      <c r="F416" t="str" cm="1">
        <f t="array" ref="F416">INDEX(_xlfn.TEXTSPLIT($J416,"/"),4)</f>
        <v>NE-Chiller-PumpCtrl-Full-Std</v>
      </c>
      <c r="G416">
        <f>$P416</f>
        <v>0.21410699999999999</v>
      </c>
      <c r="H416">
        <f>$G$4*G416</f>
        <v>213.03646499999999</v>
      </c>
      <c r="J416" t="s">
        <v>424</v>
      </c>
      <c r="K416" t="s">
        <v>20</v>
      </c>
      <c r="L416">
        <v>14369.85</v>
      </c>
      <c r="M416">
        <v>41023.43</v>
      </c>
      <c r="P416">
        <v>0.21410699999999999</v>
      </c>
      <c r="Q416">
        <v>0</v>
      </c>
      <c r="R416">
        <v>1971755.74</v>
      </c>
      <c r="S416">
        <v>626942.71</v>
      </c>
      <c r="T416">
        <v>0</v>
      </c>
      <c r="U416">
        <v>1141299.43</v>
      </c>
      <c r="V416">
        <v>0</v>
      </c>
      <c r="W416">
        <v>521510.87</v>
      </c>
      <c r="X416">
        <v>436433.21</v>
      </c>
      <c r="Y416">
        <v>391617.49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1286353.17</v>
      </c>
      <c r="AF416">
        <v>0</v>
      </c>
      <c r="AG416">
        <v>0</v>
      </c>
      <c r="AH416">
        <v>0</v>
      </c>
      <c r="AI416">
        <v>43737.51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243572.76</v>
      </c>
      <c r="AQ416">
        <v>0</v>
      </c>
      <c r="AR416">
        <v>0</v>
      </c>
      <c r="AS416">
        <v>3301088319.0358801</v>
      </c>
    </row>
    <row r="417" spans="2:45" x14ac:dyDescent="0.25">
      <c r="B417" s="15" t="str" cm="1">
        <f t="array" ref="B417">INDEX(_xlfn.TEXTSPLIT($J417,"/"),3)</f>
        <v>Hsp&amp;0&amp;cPVVE&amp;New&amp;Chiller__PumpCtrl</v>
      </c>
      <c r="C417" s="15" t="str" cm="1">
        <f t="array" ref="C417">INDEX(_xlfn.TEXTSPLIT($J417,"/"),2)</f>
        <v>CZ11</v>
      </c>
      <c r="D417" s="34">
        <f>$G$3*H417</f>
        <v>129.66601199999999</v>
      </c>
      <c r="F417" t="str" cm="1">
        <f t="array" ref="F417">INDEX(_xlfn.TEXTSPLIT($J417,"/"),4)</f>
        <v>NE-Chiller-PumpCtrl-Full-Std</v>
      </c>
      <c r="G417">
        <f>$P417</f>
        <v>0.186168</v>
      </c>
      <c r="H417">
        <f>$G$4*G417</f>
        <v>185.23715999999999</v>
      </c>
      <c r="J417" t="s">
        <v>407</v>
      </c>
      <c r="K417" t="s">
        <v>21</v>
      </c>
      <c r="L417">
        <v>12494.7</v>
      </c>
      <c r="M417">
        <v>35670.199999999997</v>
      </c>
      <c r="P417">
        <v>0.186168</v>
      </c>
      <c r="Q417">
        <v>0</v>
      </c>
      <c r="R417">
        <v>1576758.7</v>
      </c>
      <c r="S417">
        <v>626942.71</v>
      </c>
      <c r="T417">
        <v>0</v>
      </c>
      <c r="U417">
        <v>1141299.43</v>
      </c>
      <c r="V417">
        <v>0</v>
      </c>
      <c r="W417">
        <v>450316.16</v>
      </c>
      <c r="X417">
        <v>382104.76</v>
      </c>
      <c r="Y417">
        <v>335602.48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884041.85</v>
      </c>
      <c r="AF417">
        <v>0</v>
      </c>
      <c r="AG417">
        <v>0</v>
      </c>
      <c r="AH417">
        <v>0</v>
      </c>
      <c r="AI417">
        <v>43737.51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249115.08</v>
      </c>
      <c r="AQ417">
        <v>0</v>
      </c>
      <c r="AR417">
        <v>0</v>
      </c>
      <c r="AS417">
        <v>2794127520.178</v>
      </c>
    </row>
    <row r="418" spans="2:45" x14ac:dyDescent="0.25">
      <c r="B418" s="15" t="str" cm="1">
        <f t="array" ref="B418">INDEX(_xlfn.TEXTSPLIT($J418,"/"),3)</f>
        <v>Hsp&amp;0&amp;cPVVE&amp;New&amp;Chiller__PumpCtrl</v>
      </c>
      <c r="C418" s="15" t="str" cm="1">
        <f t="array" ref="C418">INDEX(_xlfn.TEXTSPLIT($J418,"/"),2)</f>
        <v>CZ12</v>
      </c>
      <c r="D418" s="34">
        <f>$G$3*H418</f>
        <v>130.274753</v>
      </c>
      <c r="F418" t="str" cm="1">
        <f t="array" ref="F418">INDEX(_xlfn.TEXTSPLIT($J418,"/"),4)</f>
        <v>NE-Chiller-PumpCtrl-Full-Std</v>
      </c>
      <c r="G418">
        <f>$P418</f>
        <v>0.18704200000000001</v>
      </c>
      <c r="H418">
        <f>$G$4*G418</f>
        <v>186.10679000000002</v>
      </c>
      <c r="J418" t="s">
        <v>392</v>
      </c>
      <c r="K418" t="s">
        <v>22</v>
      </c>
      <c r="L418">
        <v>12553.37</v>
      </c>
      <c r="M418">
        <v>35837.67</v>
      </c>
      <c r="P418">
        <v>0.18704200000000001</v>
      </c>
      <c r="Q418">
        <v>0</v>
      </c>
      <c r="R418">
        <v>1498370.17</v>
      </c>
      <c r="S418">
        <v>626942.71</v>
      </c>
      <c r="T418">
        <v>0</v>
      </c>
      <c r="U418">
        <v>1141299.43</v>
      </c>
      <c r="V418">
        <v>0</v>
      </c>
      <c r="W418">
        <v>418068.31</v>
      </c>
      <c r="X418">
        <v>378989.89</v>
      </c>
      <c r="Y418">
        <v>334200.31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829744.65</v>
      </c>
      <c r="AF418">
        <v>0</v>
      </c>
      <c r="AG418">
        <v>0</v>
      </c>
      <c r="AH418">
        <v>0</v>
      </c>
      <c r="AI418">
        <v>43737.51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256101.77</v>
      </c>
      <c r="AQ418">
        <v>0</v>
      </c>
      <c r="AR418">
        <v>0</v>
      </c>
      <c r="AS418">
        <v>2898478708.0911198</v>
      </c>
    </row>
    <row r="419" spans="2:45" x14ac:dyDescent="0.25">
      <c r="B419" s="15" t="str" cm="1">
        <f t="array" ref="B419">INDEX(_xlfn.TEXTSPLIT($J419,"/"),3)</f>
        <v>Hsp&amp;0&amp;cPVVE&amp;New&amp;Chiller__PumpCtrl</v>
      </c>
      <c r="C419" s="15" t="str" cm="1">
        <f t="array" ref="C419">INDEX(_xlfn.TEXTSPLIT($J419,"/"),2)</f>
        <v>CZ13</v>
      </c>
      <c r="D419" s="34">
        <f>$G$3*H419</f>
        <v>133.30661749999999</v>
      </c>
      <c r="F419" t="str" cm="1">
        <f t="array" ref="F419">INDEX(_xlfn.TEXTSPLIT($J419,"/"),4)</f>
        <v>NE-Chiller-PumpCtrl-Full-Std</v>
      </c>
      <c r="G419">
        <f>$P419</f>
        <v>0.19139500000000001</v>
      </c>
      <c r="H419">
        <f>$G$4*G419</f>
        <v>190.43802500000001</v>
      </c>
      <c r="J419" t="s">
        <v>376</v>
      </c>
      <c r="K419" t="s">
        <v>23</v>
      </c>
      <c r="L419">
        <v>12845.57</v>
      </c>
      <c r="M419">
        <v>36671.870000000003</v>
      </c>
      <c r="P419">
        <v>0.19139500000000001</v>
      </c>
      <c r="Q419">
        <v>0</v>
      </c>
      <c r="R419">
        <v>1776299.41</v>
      </c>
      <c r="S419">
        <v>626942.71</v>
      </c>
      <c r="T419">
        <v>0</v>
      </c>
      <c r="U419">
        <v>1141299.43</v>
      </c>
      <c r="V419">
        <v>0</v>
      </c>
      <c r="W419">
        <v>468815.03</v>
      </c>
      <c r="X419">
        <v>394016.12</v>
      </c>
      <c r="Y419">
        <v>354792.61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874587.13</v>
      </c>
      <c r="AF419">
        <v>0</v>
      </c>
      <c r="AG419">
        <v>0</v>
      </c>
      <c r="AH419">
        <v>0</v>
      </c>
      <c r="AI419">
        <v>43737.51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241882.4</v>
      </c>
      <c r="AQ419">
        <v>0</v>
      </c>
      <c r="AR419">
        <v>0</v>
      </c>
      <c r="AS419">
        <v>2984038942.5895901</v>
      </c>
    </row>
    <row r="420" spans="2:45" x14ac:dyDescent="0.25">
      <c r="B420" s="15" t="str" cm="1">
        <f t="array" ref="B420">INDEX(_xlfn.TEXTSPLIT($J420,"/"),3)</f>
        <v>Hsp&amp;0&amp;cPVVE&amp;New&amp;Chiller__PumpCtrl</v>
      </c>
      <c r="C420" s="15" t="str" cm="1">
        <f t="array" ref="C420">INDEX(_xlfn.TEXTSPLIT($J420,"/"),2)</f>
        <v>CZ14</v>
      </c>
      <c r="D420" s="34">
        <f>$G$3*H420</f>
        <v>133.319851</v>
      </c>
      <c r="F420" t="str" cm="1">
        <f t="array" ref="F420">INDEX(_xlfn.TEXTSPLIT($J420,"/"),4)</f>
        <v>NE-Chiller-PumpCtrl-Full-Std</v>
      </c>
      <c r="G420">
        <f>$P420</f>
        <v>0.191414</v>
      </c>
      <c r="H420">
        <f>$G$4*G420</f>
        <v>190.45693</v>
      </c>
      <c r="J420" t="s">
        <v>360</v>
      </c>
      <c r="K420" t="s">
        <v>24</v>
      </c>
      <c r="L420">
        <v>12846.84</v>
      </c>
      <c r="M420">
        <v>36675.480000000003</v>
      </c>
      <c r="P420">
        <v>0.191414</v>
      </c>
      <c r="Q420">
        <v>0</v>
      </c>
      <c r="R420">
        <v>1816356.06</v>
      </c>
      <c r="S420">
        <v>626942.71</v>
      </c>
      <c r="T420">
        <v>0</v>
      </c>
      <c r="U420">
        <v>1141299.43</v>
      </c>
      <c r="V420">
        <v>0</v>
      </c>
      <c r="W420">
        <v>543575.62</v>
      </c>
      <c r="X420">
        <v>398604.79999999999</v>
      </c>
      <c r="Y420">
        <v>324910.26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989086.16</v>
      </c>
      <c r="AF420">
        <v>0</v>
      </c>
      <c r="AG420">
        <v>0</v>
      </c>
      <c r="AH420">
        <v>0</v>
      </c>
      <c r="AI420">
        <v>43737.51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229429.63</v>
      </c>
      <c r="AQ420">
        <v>0</v>
      </c>
      <c r="AR420">
        <v>0</v>
      </c>
      <c r="AS420">
        <v>2843665340.7523699</v>
      </c>
    </row>
    <row r="421" spans="2:45" x14ac:dyDescent="0.25">
      <c r="B421" s="15" t="str" cm="1">
        <f t="array" ref="B421">INDEX(_xlfn.TEXTSPLIT($J421,"/"),3)</f>
        <v>Hsp&amp;0&amp;cPVVE&amp;New&amp;Chiller__PumpCtrl</v>
      </c>
      <c r="C421" s="15" t="str" cm="1">
        <f t="array" ref="C421">INDEX(_xlfn.TEXTSPLIT($J421,"/"),2)</f>
        <v>CZ15</v>
      </c>
      <c r="D421" s="34">
        <f>$G$3*H421</f>
        <v>138.03794199999999</v>
      </c>
      <c r="F421" t="str" cm="1">
        <f t="array" ref="F421">INDEX(_xlfn.TEXTSPLIT($J421,"/"),4)</f>
        <v>NE-Chiller-PumpCtrl-Full-Std</v>
      </c>
      <c r="G421">
        <f>$P421</f>
        <v>0.198188</v>
      </c>
      <c r="H421">
        <f>$G$4*G421</f>
        <v>197.19705999999999</v>
      </c>
      <c r="J421" t="s">
        <v>344</v>
      </c>
      <c r="K421" t="s">
        <v>25</v>
      </c>
      <c r="L421">
        <v>13301.44</v>
      </c>
      <c r="M421">
        <v>37973.300000000003</v>
      </c>
      <c r="P421">
        <v>0.198188</v>
      </c>
      <c r="Q421">
        <v>0</v>
      </c>
      <c r="R421">
        <v>2528656.0299999998</v>
      </c>
      <c r="S421">
        <v>626942.71</v>
      </c>
      <c r="T421">
        <v>0</v>
      </c>
      <c r="U421">
        <v>1141299.43</v>
      </c>
      <c r="V421">
        <v>0</v>
      </c>
      <c r="W421">
        <v>565129.56000000006</v>
      </c>
      <c r="X421">
        <v>413918.81</v>
      </c>
      <c r="Y421">
        <v>372581.02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1091891.68</v>
      </c>
      <c r="AF421">
        <v>0</v>
      </c>
      <c r="AG421">
        <v>0</v>
      </c>
      <c r="AH421">
        <v>0</v>
      </c>
      <c r="AI421">
        <v>43737.51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203675.6</v>
      </c>
      <c r="AQ421">
        <v>0</v>
      </c>
      <c r="AR421">
        <v>0</v>
      </c>
      <c r="AS421">
        <v>3036834628.7740102</v>
      </c>
    </row>
    <row r="422" spans="2:45" x14ac:dyDescent="0.25">
      <c r="B422" s="15" t="str" cm="1">
        <f t="array" ref="B422">INDEX(_xlfn.TEXTSPLIT($J422,"/"),3)</f>
        <v>Hsp&amp;0&amp;cPVVE&amp;New&amp;Chiller__PumpCtrl</v>
      </c>
      <c r="C422" s="15" t="str" cm="1">
        <f t="array" ref="C422">INDEX(_xlfn.TEXTSPLIT($J422,"/"),2)</f>
        <v>CZ16</v>
      </c>
      <c r="D422" s="34">
        <f>$G$3*H422</f>
        <v>120.99319399999999</v>
      </c>
      <c r="F422" t="str" cm="1">
        <f t="array" ref="F422">INDEX(_xlfn.TEXTSPLIT($J422,"/"),4)</f>
        <v>NE-Chiller-PumpCtrl-Full-Std</v>
      </c>
      <c r="G422">
        <f>$P422</f>
        <v>0.17371600000000001</v>
      </c>
      <c r="H422">
        <f>$G$4*G422</f>
        <v>172.84742</v>
      </c>
      <c r="J422" t="s">
        <v>327</v>
      </c>
      <c r="K422" t="s">
        <v>26</v>
      </c>
      <c r="L422">
        <v>11658.98</v>
      </c>
      <c r="M422">
        <v>33284.370000000003</v>
      </c>
      <c r="P422">
        <v>0.17371600000000001</v>
      </c>
      <c r="Q422">
        <v>0</v>
      </c>
      <c r="R422">
        <v>1334117.21</v>
      </c>
      <c r="S422">
        <v>626942.71</v>
      </c>
      <c r="T422">
        <v>0</v>
      </c>
      <c r="U422">
        <v>1141299.43</v>
      </c>
      <c r="V422">
        <v>0</v>
      </c>
      <c r="W422">
        <v>583063.53</v>
      </c>
      <c r="X422">
        <v>363344.01</v>
      </c>
      <c r="Y422">
        <v>227542.72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1168821.8700000001</v>
      </c>
      <c r="AF422">
        <v>0</v>
      </c>
      <c r="AG422">
        <v>0</v>
      </c>
      <c r="AH422">
        <v>0</v>
      </c>
      <c r="AI422">
        <v>43737.51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270720.36</v>
      </c>
      <c r="AQ422">
        <v>0</v>
      </c>
      <c r="AR422">
        <v>0</v>
      </c>
      <c r="AS422">
        <v>2400106036.7550602</v>
      </c>
    </row>
    <row r="423" spans="2:45" x14ac:dyDescent="0.25">
      <c r="B423" s="15" t="str" cm="1">
        <f t="array" ref="B423">INDEX(_xlfn.TEXTSPLIT($J423,"/"),3)</f>
        <v>Htl&amp;0&amp;cPVVE&amp;Ex&amp;Chiller__PumpCtrl</v>
      </c>
      <c r="C423" s="15" t="str" cm="1">
        <f t="array" ref="C423">INDEX(_xlfn.TEXTSPLIT($J423,"/"),2)</f>
        <v>CZ01</v>
      </c>
      <c r="D423" s="34">
        <f>$G$3*H423</f>
        <v>11.944278500000001</v>
      </c>
      <c r="F423" t="str" cm="1">
        <f t="array" ref="F423">INDEX(_xlfn.TEXTSPLIT($J423,"/"),4)</f>
        <v>NE-Chiller-PumpCtrl-Full-Std</v>
      </c>
      <c r="G423">
        <f>$P423</f>
        <v>1.7149000000000001E-2</v>
      </c>
      <c r="H423">
        <f>$G$4*G423</f>
        <v>17.063255000000002</v>
      </c>
      <c r="J423" t="s">
        <v>606</v>
      </c>
      <c r="K423" t="s">
        <v>11</v>
      </c>
      <c r="L423">
        <v>1150.97</v>
      </c>
      <c r="M423">
        <v>3285.83</v>
      </c>
      <c r="P423">
        <v>1.7149000000000001E-2</v>
      </c>
      <c r="Q423">
        <v>0</v>
      </c>
      <c r="R423">
        <v>27895.759999999998</v>
      </c>
      <c r="S423">
        <v>125722.95</v>
      </c>
      <c r="T423">
        <v>0</v>
      </c>
      <c r="U423">
        <v>179632.92</v>
      </c>
      <c r="V423">
        <v>0</v>
      </c>
      <c r="W423">
        <v>39907.97</v>
      </c>
      <c r="X423">
        <v>3844.21</v>
      </c>
      <c r="Y423">
        <v>3199.63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101536.01</v>
      </c>
      <c r="AF423">
        <v>0</v>
      </c>
      <c r="AG423">
        <v>0</v>
      </c>
      <c r="AH423">
        <v>0</v>
      </c>
      <c r="AI423">
        <v>25988.9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12829.71</v>
      </c>
      <c r="AQ423">
        <v>0</v>
      </c>
      <c r="AR423">
        <v>0</v>
      </c>
      <c r="AS423">
        <v>366231263.71515799</v>
      </c>
    </row>
    <row r="424" spans="2:45" x14ac:dyDescent="0.25">
      <c r="B424" s="15" t="str" cm="1">
        <f t="array" ref="B424">INDEX(_xlfn.TEXTSPLIT($J424,"/"),3)</f>
        <v>Htl&amp;0&amp;cPVVE&amp;Ex&amp;Chiller__PumpCtrl</v>
      </c>
      <c r="C424" s="15" t="str" cm="1">
        <f t="array" ref="C424">INDEX(_xlfn.TEXTSPLIT($J424,"/"),2)</f>
        <v>CZ02</v>
      </c>
      <c r="D424" s="34">
        <f>$G$3*H424</f>
        <v>15.960297499999999</v>
      </c>
      <c r="F424" t="str" cm="1">
        <f t="array" ref="F424">INDEX(_xlfn.TEXTSPLIT($J424,"/"),4)</f>
        <v>NE-Chiller-PumpCtrl-Full-Std</v>
      </c>
      <c r="G424">
        <f>$P424</f>
        <v>2.2915000000000001E-2</v>
      </c>
      <c r="H424">
        <f>$G$4*G424</f>
        <v>22.800425000000001</v>
      </c>
      <c r="J424" t="s">
        <v>604</v>
      </c>
      <c r="K424" t="s">
        <v>12</v>
      </c>
      <c r="L424">
        <v>1537.96</v>
      </c>
      <c r="M424">
        <v>4390.62</v>
      </c>
      <c r="P424">
        <v>2.2915000000000001E-2</v>
      </c>
      <c r="Q424">
        <v>0</v>
      </c>
      <c r="R424">
        <v>150260.64000000001</v>
      </c>
      <c r="S424">
        <v>125722.95</v>
      </c>
      <c r="T424">
        <v>0</v>
      </c>
      <c r="U424">
        <v>179632.92</v>
      </c>
      <c r="V424">
        <v>0</v>
      </c>
      <c r="W424">
        <v>57206.96</v>
      </c>
      <c r="X424">
        <v>21005.91</v>
      </c>
      <c r="Y424">
        <v>18623.27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95468.55</v>
      </c>
      <c r="AF424">
        <v>0</v>
      </c>
      <c r="AG424">
        <v>0</v>
      </c>
      <c r="AH424">
        <v>0</v>
      </c>
      <c r="AI424">
        <v>25988.9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11913.4</v>
      </c>
      <c r="AQ424">
        <v>0</v>
      </c>
      <c r="AR424">
        <v>0</v>
      </c>
      <c r="AS424">
        <v>621713699.906299</v>
      </c>
    </row>
    <row r="425" spans="2:45" x14ac:dyDescent="0.25">
      <c r="B425" s="15" t="str" cm="1">
        <f t="array" ref="B425">INDEX(_xlfn.TEXTSPLIT($J425,"/"),3)</f>
        <v>Htl&amp;0&amp;cPVVE&amp;Ex&amp;Chiller__PumpCtrl</v>
      </c>
      <c r="C425" s="15" t="str" cm="1">
        <f t="array" ref="C425">INDEX(_xlfn.TEXTSPLIT($J425,"/"),2)</f>
        <v>CZ03</v>
      </c>
      <c r="D425" s="34">
        <f>$G$3*H425</f>
        <v>15.026290999999999</v>
      </c>
      <c r="F425" t="str" cm="1">
        <f t="array" ref="F425">INDEX(_xlfn.TEXTSPLIT($J425,"/"),4)</f>
        <v>NE-Chiller-PumpCtrl-Full-Std</v>
      </c>
      <c r="G425">
        <f>$P425</f>
        <v>2.1573999999999999E-2</v>
      </c>
      <c r="H425">
        <f>$G$4*G425</f>
        <v>21.46613</v>
      </c>
      <c r="J425" t="s">
        <v>600</v>
      </c>
      <c r="K425" t="s">
        <v>13</v>
      </c>
      <c r="L425">
        <v>1447.91</v>
      </c>
      <c r="M425">
        <v>4133.54</v>
      </c>
      <c r="P425">
        <v>2.1573999999999999E-2</v>
      </c>
      <c r="Q425">
        <v>0</v>
      </c>
      <c r="R425">
        <v>111421.12</v>
      </c>
      <c r="S425">
        <v>125722.95</v>
      </c>
      <c r="T425">
        <v>0</v>
      </c>
      <c r="U425">
        <v>179632.92</v>
      </c>
      <c r="V425">
        <v>0</v>
      </c>
      <c r="W425">
        <v>44489.53</v>
      </c>
      <c r="X425">
        <v>18747.13</v>
      </c>
      <c r="Y425">
        <v>17259.12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46222.73</v>
      </c>
      <c r="AF425">
        <v>0</v>
      </c>
      <c r="AG425">
        <v>0</v>
      </c>
      <c r="AH425">
        <v>0</v>
      </c>
      <c r="AI425">
        <v>25988.9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11862.67</v>
      </c>
      <c r="AQ425">
        <v>0</v>
      </c>
      <c r="AR425">
        <v>0</v>
      </c>
      <c r="AS425">
        <v>548153278.18091297</v>
      </c>
    </row>
    <row r="426" spans="2:45" x14ac:dyDescent="0.25">
      <c r="B426" s="15" t="str" cm="1">
        <f t="array" ref="B426">INDEX(_xlfn.TEXTSPLIT($J426,"/"),3)</f>
        <v>Htl&amp;0&amp;cPVVE&amp;Ex&amp;Chiller__PumpCtrl</v>
      </c>
      <c r="C426" s="15" t="str" cm="1">
        <f t="array" ref="C426">INDEX(_xlfn.TEXTSPLIT($J426,"/"),2)</f>
        <v>CZ04</v>
      </c>
      <c r="D426" s="34">
        <f>$G$3*H426</f>
        <v>16.183177499999996</v>
      </c>
      <c r="F426" t="str" cm="1">
        <f t="array" ref="F426">INDEX(_xlfn.TEXTSPLIT($J426,"/"),4)</f>
        <v>NE-Chiller-PumpCtrl-Full-Std</v>
      </c>
      <c r="G426">
        <f>$P426</f>
        <v>2.3234999999999999E-2</v>
      </c>
      <c r="H426">
        <f>$G$4*G426</f>
        <v>23.118824999999998</v>
      </c>
      <c r="J426" t="s">
        <v>601</v>
      </c>
      <c r="K426" t="s">
        <v>14</v>
      </c>
      <c r="L426">
        <v>1559.41</v>
      </c>
      <c r="M426">
        <v>4451.8500000000004</v>
      </c>
      <c r="P426">
        <v>2.3234999999999999E-2</v>
      </c>
      <c r="Q426">
        <v>0</v>
      </c>
      <c r="R426">
        <v>177414.1</v>
      </c>
      <c r="S426">
        <v>125722.95</v>
      </c>
      <c r="T426">
        <v>0</v>
      </c>
      <c r="U426">
        <v>179632.92</v>
      </c>
      <c r="V426">
        <v>0</v>
      </c>
      <c r="W426">
        <v>59851.85</v>
      </c>
      <c r="X426">
        <v>23876.27</v>
      </c>
      <c r="Y426">
        <v>21998.080000000002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67037.39</v>
      </c>
      <c r="AF426">
        <v>0</v>
      </c>
      <c r="AG426">
        <v>0</v>
      </c>
      <c r="AH426">
        <v>0</v>
      </c>
      <c r="AI426">
        <v>25988.9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11475.45</v>
      </c>
      <c r="AQ426">
        <v>0</v>
      </c>
      <c r="AR426">
        <v>0</v>
      </c>
      <c r="AS426">
        <v>641026242.99811697</v>
      </c>
    </row>
    <row r="427" spans="2:45" x14ac:dyDescent="0.25">
      <c r="B427" s="15" t="str" cm="1">
        <f t="array" ref="B427">INDEX(_xlfn.TEXTSPLIT($J427,"/"),3)</f>
        <v>Htl&amp;0&amp;cPVVE&amp;Ex&amp;Chiller__PumpCtrl</v>
      </c>
      <c r="C427" s="15" t="str" cm="1">
        <f t="array" ref="C427">INDEX(_xlfn.TEXTSPLIT($J427,"/"),2)</f>
        <v>CZ05</v>
      </c>
      <c r="D427" s="34">
        <f>$G$3*H427</f>
        <v>13.853385000000001</v>
      </c>
      <c r="F427" t="str" cm="1">
        <f t="array" ref="F427">INDEX(_xlfn.TEXTSPLIT($J427,"/"),4)</f>
        <v>NE-Chiller-PumpCtrl-Full-Std</v>
      </c>
      <c r="G427">
        <f>$P427</f>
        <v>1.9890000000000001E-2</v>
      </c>
      <c r="H427">
        <f>$G$4*G427</f>
        <v>19.790550000000003</v>
      </c>
      <c r="J427" t="s">
        <v>598</v>
      </c>
      <c r="K427" t="s">
        <v>15</v>
      </c>
      <c r="L427">
        <v>1334.91</v>
      </c>
      <c r="M427">
        <v>3810.92</v>
      </c>
      <c r="P427">
        <v>1.9890000000000001E-2</v>
      </c>
      <c r="Q427">
        <v>0</v>
      </c>
      <c r="R427">
        <v>120782.06</v>
      </c>
      <c r="S427">
        <v>125722.95</v>
      </c>
      <c r="T427">
        <v>0</v>
      </c>
      <c r="U427">
        <v>179632.92</v>
      </c>
      <c r="V427">
        <v>0</v>
      </c>
      <c r="W427">
        <v>48160.81</v>
      </c>
      <c r="X427">
        <v>18263.02</v>
      </c>
      <c r="Y427">
        <v>16566.400000000001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43669.37</v>
      </c>
      <c r="AF427">
        <v>0</v>
      </c>
      <c r="AG427">
        <v>0</v>
      </c>
      <c r="AH427">
        <v>0</v>
      </c>
      <c r="AI427">
        <v>25988.9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11835.46</v>
      </c>
      <c r="AQ427">
        <v>0</v>
      </c>
      <c r="AR427">
        <v>0</v>
      </c>
      <c r="AS427">
        <v>446995482.96724701</v>
      </c>
    </row>
    <row r="428" spans="2:45" x14ac:dyDescent="0.25">
      <c r="B428" s="15" t="str" cm="1">
        <f t="array" ref="B428">INDEX(_xlfn.TEXTSPLIT($J428,"/"),3)</f>
        <v>Htl&amp;0&amp;cPVVE&amp;Ex&amp;Chiller__PumpCtrl</v>
      </c>
      <c r="C428" s="15" t="str" cm="1">
        <f t="array" ref="C428">INDEX(_xlfn.TEXTSPLIT($J428,"/"),2)</f>
        <v>CZ06</v>
      </c>
      <c r="D428" s="34">
        <f>$G$3*H428</f>
        <v>14.6146595</v>
      </c>
      <c r="F428" t="str" cm="1">
        <f t="array" ref="F428">INDEX(_xlfn.TEXTSPLIT($J428,"/"),4)</f>
        <v>NE-Chiller-PumpCtrl-Full-Std</v>
      </c>
      <c r="G428">
        <f>$P428</f>
        <v>2.0983000000000002E-2</v>
      </c>
      <c r="H428">
        <f>$G$4*G428</f>
        <v>20.878085000000002</v>
      </c>
      <c r="J428" t="s">
        <v>595</v>
      </c>
      <c r="K428" t="s">
        <v>16</v>
      </c>
      <c r="L428">
        <v>1408.3</v>
      </c>
      <c r="M428">
        <v>4020.46</v>
      </c>
      <c r="P428">
        <v>2.0983000000000002E-2</v>
      </c>
      <c r="Q428">
        <v>0</v>
      </c>
      <c r="R428">
        <v>210983.17</v>
      </c>
      <c r="S428">
        <v>125722.95</v>
      </c>
      <c r="T428">
        <v>0</v>
      </c>
      <c r="U428">
        <v>179632.92</v>
      </c>
      <c r="V428">
        <v>0</v>
      </c>
      <c r="W428">
        <v>59483.27</v>
      </c>
      <c r="X428">
        <v>28529.22</v>
      </c>
      <c r="Y428">
        <v>26795.11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26211.74</v>
      </c>
      <c r="AF428">
        <v>0</v>
      </c>
      <c r="AG428">
        <v>0</v>
      </c>
      <c r="AH428">
        <v>0</v>
      </c>
      <c r="AI428">
        <v>25988.9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11000.94</v>
      </c>
      <c r="AQ428">
        <v>0</v>
      </c>
      <c r="AR428">
        <v>0</v>
      </c>
      <c r="AS428">
        <v>516843729.81154799</v>
      </c>
    </row>
    <row r="429" spans="2:45" x14ac:dyDescent="0.25">
      <c r="B429" s="15" t="str" cm="1">
        <f t="array" ref="B429">INDEX(_xlfn.TEXTSPLIT($J429,"/"),3)</f>
        <v>Htl&amp;0&amp;cPVVE&amp;Ex&amp;Chiller__PumpCtrl</v>
      </c>
      <c r="C429" s="15" t="str" cm="1">
        <f t="array" ref="C429">INDEX(_xlfn.TEXTSPLIT($J429,"/"),2)</f>
        <v>CZ07</v>
      </c>
      <c r="D429" s="34">
        <f>$G$3*H429</f>
        <v>14.903706999999999</v>
      </c>
      <c r="F429" t="str" cm="1">
        <f t="array" ref="F429">INDEX(_xlfn.TEXTSPLIT($J429,"/"),4)</f>
        <v>NE-Chiller-PumpCtrl-Full-Std</v>
      </c>
      <c r="G429">
        <f>$P429</f>
        <v>2.1398E-2</v>
      </c>
      <c r="H429">
        <f>$G$4*G429</f>
        <v>21.29101</v>
      </c>
      <c r="J429" t="s">
        <v>593</v>
      </c>
      <c r="K429" t="s">
        <v>17</v>
      </c>
      <c r="L429">
        <v>1436.16</v>
      </c>
      <c r="M429">
        <v>4099.97</v>
      </c>
      <c r="P429">
        <v>2.1398E-2</v>
      </c>
      <c r="Q429">
        <v>0</v>
      </c>
      <c r="R429">
        <v>238147.61</v>
      </c>
      <c r="S429">
        <v>125722.95</v>
      </c>
      <c r="T429">
        <v>0</v>
      </c>
      <c r="U429">
        <v>179632.92</v>
      </c>
      <c r="V429">
        <v>0</v>
      </c>
      <c r="W429">
        <v>69666.73</v>
      </c>
      <c r="X429">
        <v>30266.560000000001</v>
      </c>
      <c r="Y429">
        <v>28431.94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46965.01</v>
      </c>
      <c r="AF429">
        <v>0</v>
      </c>
      <c r="AG429">
        <v>0</v>
      </c>
      <c r="AH429">
        <v>0</v>
      </c>
      <c r="AI429">
        <v>25988.9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10849.82</v>
      </c>
      <c r="AQ429">
        <v>0</v>
      </c>
      <c r="AR429">
        <v>0</v>
      </c>
      <c r="AS429">
        <v>592590655.75157905</v>
      </c>
    </row>
    <row r="430" spans="2:45" x14ac:dyDescent="0.25">
      <c r="B430" s="15" t="str" cm="1">
        <f t="array" ref="B430">INDEX(_xlfn.TEXTSPLIT($J430,"/"),3)</f>
        <v>Htl&amp;0&amp;cPVVE&amp;Ex&amp;Chiller__PumpCtrl</v>
      </c>
      <c r="C430" s="15" t="str" cm="1">
        <f t="array" ref="C430">INDEX(_xlfn.TEXTSPLIT($J430,"/"),2)</f>
        <v>CZ08</v>
      </c>
      <c r="D430" s="34">
        <f>$G$3*H430</f>
        <v>16.351034000000002</v>
      </c>
      <c r="F430" t="str" cm="1">
        <f t="array" ref="F430">INDEX(_xlfn.TEXTSPLIT($J430,"/"),4)</f>
        <v>NE-Chiller-PumpCtrl-Full-Std</v>
      </c>
      <c r="G430">
        <f>$P430</f>
        <v>2.3476E-2</v>
      </c>
      <c r="H430">
        <f>$G$4*G430</f>
        <v>23.358620000000002</v>
      </c>
      <c r="J430" t="s">
        <v>594</v>
      </c>
      <c r="K430" t="s">
        <v>18</v>
      </c>
      <c r="L430">
        <v>1575.63</v>
      </c>
      <c r="M430">
        <v>4498.1400000000003</v>
      </c>
      <c r="P430">
        <v>2.3476E-2</v>
      </c>
      <c r="Q430">
        <v>0</v>
      </c>
      <c r="R430">
        <v>258576.06</v>
      </c>
      <c r="S430">
        <v>125722.95</v>
      </c>
      <c r="T430">
        <v>0</v>
      </c>
      <c r="U430">
        <v>179632.92</v>
      </c>
      <c r="V430">
        <v>0</v>
      </c>
      <c r="W430">
        <v>71389.61</v>
      </c>
      <c r="X430">
        <v>31853.08</v>
      </c>
      <c r="Y430">
        <v>29827.67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59860.47</v>
      </c>
      <c r="AF430">
        <v>0</v>
      </c>
      <c r="AG430">
        <v>0</v>
      </c>
      <c r="AH430">
        <v>0</v>
      </c>
      <c r="AI430">
        <v>25988.9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10790.14</v>
      </c>
      <c r="AQ430">
        <v>0</v>
      </c>
      <c r="AR430">
        <v>0</v>
      </c>
      <c r="AS430">
        <v>594888085.65891802</v>
      </c>
    </row>
    <row r="431" spans="2:45" x14ac:dyDescent="0.25">
      <c r="B431" s="15" t="str" cm="1">
        <f t="array" ref="B431">INDEX(_xlfn.TEXTSPLIT($J431,"/"),3)</f>
        <v>Htl&amp;0&amp;cPVVE&amp;Ex&amp;Chiller__PumpCtrl</v>
      </c>
      <c r="C431" s="15" t="str" cm="1">
        <f t="array" ref="C431">INDEX(_xlfn.TEXTSPLIT($J431,"/"),2)</f>
        <v>CZ09</v>
      </c>
      <c r="D431" s="34">
        <f>$G$3*H431</f>
        <v>16.3851625</v>
      </c>
      <c r="F431" t="str" cm="1">
        <f t="array" ref="F431">INDEX(_xlfn.TEXTSPLIT($J431,"/"),4)</f>
        <v>NE-Chiller-PumpCtrl-Full-Std</v>
      </c>
      <c r="G431">
        <f>$P431</f>
        <v>2.3525000000000001E-2</v>
      </c>
      <c r="H431">
        <f>$G$4*G431</f>
        <v>23.407375000000002</v>
      </c>
      <c r="J431" t="s">
        <v>590</v>
      </c>
      <c r="K431" t="s">
        <v>19</v>
      </c>
      <c r="L431">
        <v>1578.92</v>
      </c>
      <c r="M431">
        <v>4507.54</v>
      </c>
      <c r="P431">
        <v>2.3525000000000001E-2</v>
      </c>
      <c r="Q431">
        <v>0</v>
      </c>
      <c r="R431">
        <v>276899.93</v>
      </c>
      <c r="S431">
        <v>125722.95</v>
      </c>
      <c r="T431">
        <v>0</v>
      </c>
      <c r="U431">
        <v>179632.92</v>
      </c>
      <c r="V431">
        <v>0</v>
      </c>
      <c r="W431">
        <v>78307.3</v>
      </c>
      <c r="X431">
        <v>32544.58</v>
      </c>
      <c r="Y431">
        <v>30543.32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65004.959999999999</v>
      </c>
      <c r="AF431">
        <v>0</v>
      </c>
      <c r="AG431">
        <v>0</v>
      </c>
      <c r="AH431">
        <v>0</v>
      </c>
      <c r="AI431">
        <v>25988.9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10793.7</v>
      </c>
      <c r="AQ431">
        <v>0</v>
      </c>
      <c r="AR431">
        <v>0</v>
      </c>
      <c r="AS431">
        <v>615974957.18231797</v>
      </c>
    </row>
    <row r="432" spans="2:45" x14ac:dyDescent="0.25">
      <c r="B432" s="15" t="str" cm="1">
        <f t="array" ref="B432">INDEX(_xlfn.TEXTSPLIT($J432,"/"),3)</f>
        <v>Htl&amp;0&amp;cPVVE&amp;Ex&amp;Chiller__PumpCtrl</v>
      </c>
      <c r="C432" s="15" t="str" cm="1">
        <f t="array" ref="C432">INDEX(_xlfn.TEXTSPLIT($J432,"/"),2)</f>
        <v>CZ10</v>
      </c>
      <c r="D432" s="34">
        <f>$G$3*H432</f>
        <v>17.854080999999997</v>
      </c>
      <c r="F432" t="str" cm="1">
        <f t="array" ref="F432">INDEX(_xlfn.TEXTSPLIT($J432,"/"),4)</f>
        <v>NE-Chiller-PumpCtrl-Full-Std</v>
      </c>
      <c r="G432">
        <f>$P432</f>
        <v>2.5634000000000001E-2</v>
      </c>
      <c r="H432">
        <f>$G$4*G432</f>
        <v>25.50583</v>
      </c>
      <c r="J432" t="s">
        <v>587</v>
      </c>
      <c r="K432" t="s">
        <v>20</v>
      </c>
      <c r="L432">
        <v>1720.44</v>
      </c>
      <c r="M432">
        <v>4911.5600000000004</v>
      </c>
      <c r="P432">
        <v>2.5634000000000001E-2</v>
      </c>
      <c r="Q432">
        <v>0</v>
      </c>
      <c r="R432">
        <v>297674.76</v>
      </c>
      <c r="S432">
        <v>125722.95</v>
      </c>
      <c r="T432">
        <v>0</v>
      </c>
      <c r="U432">
        <v>179632.92</v>
      </c>
      <c r="V432">
        <v>0</v>
      </c>
      <c r="W432">
        <v>85893.14</v>
      </c>
      <c r="X432">
        <v>33206.83</v>
      </c>
      <c r="Y432">
        <v>30666.22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98561.16</v>
      </c>
      <c r="AF432">
        <v>0</v>
      </c>
      <c r="AG432">
        <v>0</v>
      </c>
      <c r="AH432">
        <v>0</v>
      </c>
      <c r="AI432">
        <v>25988.9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10585.48</v>
      </c>
      <c r="AQ432">
        <v>0</v>
      </c>
      <c r="AR432">
        <v>0</v>
      </c>
      <c r="AS432">
        <v>710491158.02423203</v>
      </c>
    </row>
    <row r="433" spans="2:45" x14ac:dyDescent="0.25">
      <c r="B433" s="15" t="str" cm="1">
        <f t="array" ref="B433">INDEX(_xlfn.TEXTSPLIT($J433,"/"),3)</f>
        <v>Htl&amp;0&amp;cPVVE&amp;Ex&amp;Chiller__PumpCtrl</v>
      </c>
      <c r="C433" s="15" t="str" cm="1">
        <f t="array" ref="C433">INDEX(_xlfn.TEXTSPLIT($J433,"/"),2)</f>
        <v>CZ11</v>
      </c>
      <c r="D433" s="34">
        <f>$G$3*H433</f>
        <v>18.487895999999999</v>
      </c>
      <c r="F433" t="str" cm="1">
        <f t="array" ref="F433">INDEX(_xlfn.TEXTSPLIT($J433,"/"),4)</f>
        <v>NE-Chiller-PumpCtrl-Full-Std</v>
      </c>
      <c r="G433">
        <f>$P433</f>
        <v>2.6544000000000002E-2</v>
      </c>
      <c r="H433">
        <f>$G$4*G433</f>
        <v>26.411280000000001</v>
      </c>
      <c r="J433" t="s">
        <v>586</v>
      </c>
      <c r="K433" t="s">
        <v>21</v>
      </c>
      <c r="L433">
        <v>1781.5</v>
      </c>
      <c r="M433">
        <v>5085.88</v>
      </c>
      <c r="P433">
        <v>2.6544000000000002E-2</v>
      </c>
      <c r="Q433">
        <v>0</v>
      </c>
      <c r="R433">
        <v>280072.07</v>
      </c>
      <c r="S433">
        <v>125722.95</v>
      </c>
      <c r="T433">
        <v>0</v>
      </c>
      <c r="U433">
        <v>179632.92</v>
      </c>
      <c r="V433">
        <v>0</v>
      </c>
      <c r="W433">
        <v>88090.44</v>
      </c>
      <c r="X433">
        <v>29906.95</v>
      </c>
      <c r="Y433">
        <v>27044.3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150379.35999999999</v>
      </c>
      <c r="AF433">
        <v>0</v>
      </c>
      <c r="AG433">
        <v>0</v>
      </c>
      <c r="AH433">
        <v>0</v>
      </c>
      <c r="AI433">
        <v>25988.9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10784.19</v>
      </c>
      <c r="AQ433">
        <v>0</v>
      </c>
      <c r="AR433">
        <v>0</v>
      </c>
      <c r="AS433">
        <v>770329904.16336501</v>
      </c>
    </row>
    <row r="434" spans="2:45" x14ac:dyDescent="0.25">
      <c r="B434" s="15" t="str" cm="1">
        <f t="array" ref="B434">INDEX(_xlfn.TEXTSPLIT($J434,"/"),3)</f>
        <v>Htl&amp;0&amp;cPVVE&amp;Ex&amp;Chiller__PumpCtrl</v>
      </c>
      <c r="C434" s="15" t="str" cm="1">
        <f t="array" ref="C434">INDEX(_xlfn.TEXTSPLIT($J434,"/"),2)</f>
        <v>CZ12</v>
      </c>
      <c r="D434" s="34">
        <f>$G$3*H434</f>
        <v>17.878458500000001</v>
      </c>
      <c r="F434" t="str" cm="1">
        <f t="array" ref="F434">INDEX(_xlfn.TEXTSPLIT($J434,"/"),4)</f>
        <v>NE-Chiller-PumpCtrl-Full-Std</v>
      </c>
      <c r="G434">
        <f>$P434</f>
        <v>2.5669000000000001E-2</v>
      </c>
      <c r="H434">
        <f>$G$4*G434</f>
        <v>25.540655000000001</v>
      </c>
      <c r="J434" t="s">
        <v>581</v>
      </c>
      <c r="K434" t="s">
        <v>22</v>
      </c>
      <c r="L434">
        <v>1722.77</v>
      </c>
      <c r="M434">
        <v>4918.2</v>
      </c>
      <c r="P434">
        <v>2.5669000000000001E-2</v>
      </c>
      <c r="Q434">
        <v>0</v>
      </c>
      <c r="R434">
        <v>252880.21</v>
      </c>
      <c r="S434">
        <v>125722.95</v>
      </c>
      <c r="T434">
        <v>0</v>
      </c>
      <c r="U434">
        <v>179632.92</v>
      </c>
      <c r="V434">
        <v>0</v>
      </c>
      <c r="W434">
        <v>76392.56</v>
      </c>
      <c r="X434">
        <v>28810.17</v>
      </c>
      <c r="Y434">
        <v>25933.119999999999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126633.28</v>
      </c>
      <c r="AF434">
        <v>0</v>
      </c>
      <c r="AG434">
        <v>0</v>
      </c>
      <c r="AH434">
        <v>0</v>
      </c>
      <c r="AI434">
        <v>25988.9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11104.25</v>
      </c>
      <c r="AQ434">
        <v>0</v>
      </c>
      <c r="AR434">
        <v>0</v>
      </c>
      <c r="AS434">
        <v>737120590.280532</v>
      </c>
    </row>
    <row r="435" spans="2:45" x14ac:dyDescent="0.25">
      <c r="B435" s="15" t="str" cm="1">
        <f t="array" ref="B435">INDEX(_xlfn.TEXTSPLIT($J435,"/"),3)</f>
        <v>Htl&amp;0&amp;cPVVE&amp;Ex&amp;Chiller__PumpCtrl</v>
      </c>
      <c r="C435" s="15" t="str" cm="1">
        <f t="array" ref="C435">INDEX(_xlfn.TEXTSPLIT($J435,"/"),2)</f>
        <v>CZ13</v>
      </c>
      <c r="D435" s="34">
        <f>$G$3*H435</f>
        <v>18.721223499999997</v>
      </c>
      <c r="F435" t="str" cm="1">
        <f t="array" ref="F435">INDEX(_xlfn.TEXTSPLIT($J435,"/"),4)</f>
        <v>NE-Chiller-PumpCtrl-Full-Std</v>
      </c>
      <c r="G435">
        <f>$P435</f>
        <v>2.6879E-2</v>
      </c>
      <c r="H435">
        <f>$G$4*G435</f>
        <v>26.744605</v>
      </c>
      <c r="J435" t="s">
        <v>584</v>
      </c>
      <c r="K435" t="s">
        <v>23</v>
      </c>
      <c r="L435">
        <v>1803.98</v>
      </c>
      <c r="M435">
        <v>5150.04</v>
      </c>
      <c r="P435">
        <v>2.6879E-2</v>
      </c>
      <c r="Q435">
        <v>0</v>
      </c>
      <c r="R435">
        <v>314839.34000000003</v>
      </c>
      <c r="S435">
        <v>125722.95</v>
      </c>
      <c r="T435">
        <v>0</v>
      </c>
      <c r="U435">
        <v>179632.92</v>
      </c>
      <c r="V435">
        <v>0</v>
      </c>
      <c r="W435">
        <v>89854.13</v>
      </c>
      <c r="X435">
        <v>32055.55</v>
      </c>
      <c r="Y435">
        <v>29266.5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127567.56</v>
      </c>
      <c r="AF435">
        <v>0</v>
      </c>
      <c r="AG435">
        <v>0</v>
      </c>
      <c r="AH435">
        <v>0</v>
      </c>
      <c r="AI435">
        <v>25988.9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10568.12</v>
      </c>
      <c r="AQ435">
        <v>0</v>
      </c>
      <c r="AR435">
        <v>0</v>
      </c>
      <c r="AS435">
        <v>795306813.98017395</v>
      </c>
    </row>
    <row r="436" spans="2:45" x14ac:dyDescent="0.25">
      <c r="B436" s="15" t="str" cm="1">
        <f t="array" ref="B436">INDEX(_xlfn.TEXTSPLIT($J436,"/"),3)</f>
        <v>Htl&amp;0&amp;cPVVE&amp;Ex&amp;Chiller__PumpCtrl</v>
      </c>
      <c r="C436" s="15" t="str" cm="1">
        <f t="array" ref="C436">INDEX(_xlfn.TEXTSPLIT($J436,"/"),2)</f>
        <v>CZ14</v>
      </c>
      <c r="D436" s="34">
        <f>$G$3*H436</f>
        <v>18.519934999999997</v>
      </c>
      <c r="F436" t="str" cm="1">
        <f t="array" ref="F436">INDEX(_xlfn.TEXTSPLIT($J436,"/"),4)</f>
        <v>NE-Chiller-PumpCtrl-Full-Std</v>
      </c>
      <c r="G436">
        <f>$P436</f>
        <v>2.6589999999999999E-2</v>
      </c>
      <c r="H436">
        <f>$G$4*G436</f>
        <v>26.457049999999999</v>
      </c>
      <c r="J436" t="s">
        <v>579</v>
      </c>
      <c r="K436" t="s">
        <v>24</v>
      </c>
      <c r="L436">
        <v>1784.58</v>
      </c>
      <c r="M436">
        <v>5094.66</v>
      </c>
      <c r="P436">
        <v>2.6589999999999999E-2</v>
      </c>
      <c r="Q436">
        <v>0</v>
      </c>
      <c r="R436">
        <v>327065.45</v>
      </c>
      <c r="S436">
        <v>125722.95</v>
      </c>
      <c r="T436">
        <v>0</v>
      </c>
      <c r="U436">
        <v>179632.92</v>
      </c>
      <c r="V436">
        <v>0</v>
      </c>
      <c r="W436">
        <v>102850.54</v>
      </c>
      <c r="X436">
        <v>34307.22</v>
      </c>
      <c r="Y436">
        <v>31084.97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111912.84</v>
      </c>
      <c r="AF436">
        <v>0</v>
      </c>
      <c r="AG436">
        <v>0</v>
      </c>
      <c r="AH436">
        <v>0</v>
      </c>
      <c r="AI436">
        <v>25988.9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10061.32</v>
      </c>
      <c r="AQ436">
        <v>0</v>
      </c>
      <c r="AR436">
        <v>0</v>
      </c>
      <c r="AS436">
        <v>814175516.42428899</v>
      </c>
    </row>
    <row r="437" spans="2:45" x14ac:dyDescent="0.25">
      <c r="B437" s="15" t="str" cm="1">
        <f t="array" ref="B437">INDEX(_xlfn.TEXTSPLIT($J437,"/"),3)</f>
        <v>Htl&amp;0&amp;cPVVE&amp;Ex&amp;Chiller__PumpCtrl</v>
      </c>
      <c r="C437" s="15" t="str" cm="1">
        <f t="array" ref="C437">INDEX(_xlfn.TEXTSPLIT($J437,"/"),2)</f>
        <v>CZ15</v>
      </c>
      <c r="D437" s="34">
        <f>$G$3*H437</f>
        <v>19.171858999999998</v>
      </c>
      <c r="F437" t="str" cm="1">
        <f t="array" ref="F437">INDEX(_xlfn.TEXTSPLIT($J437,"/"),4)</f>
        <v>NE-Chiller-PumpCtrl-Full-Std</v>
      </c>
      <c r="G437">
        <f>$P437</f>
        <v>2.7525999999999998E-2</v>
      </c>
      <c r="H437">
        <f>$G$4*G437</f>
        <v>27.388369999999998</v>
      </c>
      <c r="J437" t="s">
        <v>577</v>
      </c>
      <c r="K437" t="s">
        <v>25</v>
      </c>
      <c r="L437">
        <v>1847.44</v>
      </c>
      <c r="M437">
        <v>5274.1</v>
      </c>
      <c r="P437">
        <v>2.7525999999999998E-2</v>
      </c>
      <c r="Q437">
        <v>0</v>
      </c>
      <c r="R437">
        <v>460163.45</v>
      </c>
      <c r="S437">
        <v>125722.95</v>
      </c>
      <c r="T437">
        <v>0</v>
      </c>
      <c r="U437">
        <v>179632.92</v>
      </c>
      <c r="V437">
        <v>0</v>
      </c>
      <c r="W437">
        <v>113955.08</v>
      </c>
      <c r="X437">
        <v>41259.96</v>
      </c>
      <c r="Y437">
        <v>38463.839999999997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131080.57999999999</v>
      </c>
      <c r="AF437">
        <v>0</v>
      </c>
      <c r="AG437">
        <v>0</v>
      </c>
      <c r="AH437">
        <v>0</v>
      </c>
      <c r="AI437">
        <v>25988.9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9051.49</v>
      </c>
      <c r="AQ437">
        <v>0</v>
      </c>
      <c r="AR437">
        <v>0</v>
      </c>
      <c r="AS437">
        <v>827114020.915869</v>
      </c>
    </row>
    <row r="438" spans="2:45" x14ac:dyDescent="0.25">
      <c r="B438" s="15" t="str" cm="1">
        <f t="array" ref="B438">INDEX(_xlfn.TEXTSPLIT($J438,"/"),3)</f>
        <v>Htl&amp;0&amp;cPVVE&amp;Ex&amp;Chiller__PumpCtrl</v>
      </c>
      <c r="C438" s="15" t="str" cm="1">
        <f t="array" ref="C438">INDEX(_xlfn.TEXTSPLIT($J438,"/"),2)</f>
        <v>CZ16</v>
      </c>
      <c r="D438" s="34">
        <f>$G$3*H438</f>
        <v>16.156013999999999</v>
      </c>
      <c r="F438" t="str" cm="1">
        <f t="array" ref="F438">INDEX(_xlfn.TEXTSPLIT($J438,"/"),4)</f>
        <v>NE-Chiller-PumpCtrl-Full-Std</v>
      </c>
      <c r="G438">
        <f>$P438</f>
        <v>2.3196000000000001E-2</v>
      </c>
      <c r="H438">
        <f>$G$4*G438</f>
        <v>23.080020000000001</v>
      </c>
      <c r="J438" t="s">
        <v>575</v>
      </c>
      <c r="K438" t="s">
        <v>26</v>
      </c>
      <c r="L438">
        <v>1556.83</v>
      </c>
      <c r="M438">
        <v>4444.49</v>
      </c>
      <c r="P438">
        <v>2.3196000000000001E-2</v>
      </c>
      <c r="Q438">
        <v>0</v>
      </c>
      <c r="R438">
        <v>222981.8</v>
      </c>
      <c r="S438">
        <v>125722.95</v>
      </c>
      <c r="T438">
        <v>0</v>
      </c>
      <c r="U438">
        <v>179632.92</v>
      </c>
      <c r="V438">
        <v>0</v>
      </c>
      <c r="W438">
        <v>102731.31</v>
      </c>
      <c r="X438">
        <v>29039.31</v>
      </c>
      <c r="Y438">
        <v>22029.72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163901.23000000001</v>
      </c>
      <c r="AF438">
        <v>0</v>
      </c>
      <c r="AG438">
        <v>0</v>
      </c>
      <c r="AH438">
        <v>0</v>
      </c>
      <c r="AI438">
        <v>25988.9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11819.3</v>
      </c>
      <c r="AQ438">
        <v>0</v>
      </c>
      <c r="AR438">
        <v>0</v>
      </c>
      <c r="AS438">
        <v>627774788.17927301</v>
      </c>
    </row>
    <row r="439" spans="2:45" x14ac:dyDescent="0.25">
      <c r="B439" s="15" t="str" cm="1">
        <f t="array" ref="B439">INDEX(_xlfn.TEXTSPLIT($J439,"/"),3)</f>
        <v>Htl&amp;0&amp;cPVVE&amp;New&amp;Chiller__PumpCtrl</v>
      </c>
      <c r="C439" s="15" t="str" cm="1">
        <f t="array" ref="C439">INDEX(_xlfn.TEXTSPLIT($J439,"/"),2)</f>
        <v>CZ01</v>
      </c>
      <c r="D439" s="34">
        <f>$G$3*H439</f>
        <v>10.5345625</v>
      </c>
      <c r="F439" t="str" cm="1">
        <f t="array" ref="F439">INDEX(_xlfn.TEXTSPLIT($J439,"/"),4)</f>
        <v>NE-Chiller-PumpCtrl-Full-Std</v>
      </c>
      <c r="G439">
        <f>$P439</f>
        <v>1.5125E-2</v>
      </c>
      <c r="H439">
        <f>$G$4*G439</f>
        <v>15.049375</v>
      </c>
      <c r="J439" t="s">
        <v>637</v>
      </c>
      <c r="K439" t="s">
        <v>11</v>
      </c>
      <c r="L439">
        <v>1015.09</v>
      </c>
      <c r="M439">
        <v>2897.91</v>
      </c>
      <c r="P439">
        <v>1.5125E-2</v>
      </c>
      <c r="Q439">
        <v>0</v>
      </c>
      <c r="R439">
        <v>21744.45</v>
      </c>
      <c r="S439">
        <v>125722.95</v>
      </c>
      <c r="T439">
        <v>0</v>
      </c>
      <c r="U439">
        <v>179632.92</v>
      </c>
      <c r="V439">
        <v>0</v>
      </c>
      <c r="W439">
        <v>37639.49</v>
      </c>
      <c r="X439">
        <v>3347.89</v>
      </c>
      <c r="Y439">
        <v>2769.64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82492.23</v>
      </c>
      <c r="AF439">
        <v>0</v>
      </c>
      <c r="AG439">
        <v>0</v>
      </c>
      <c r="AH439">
        <v>0</v>
      </c>
      <c r="AI439">
        <v>25988.9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12885.23</v>
      </c>
      <c r="AQ439">
        <v>0</v>
      </c>
      <c r="AR439">
        <v>0</v>
      </c>
      <c r="AS439">
        <v>335013837.44376498</v>
      </c>
    </row>
    <row r="440" spans="2:45" x14ac:dyDescent="0.25">
      <c r="B440" s="15" t="str" cm="1">
        <f t="array" ref="B440">INDEX(_xlfn.TEXTSPLIT($J440,"/"),3)</f>
        <v>Htl&amp;0&amp;cPVVE&amp;New&amp;Chiller__PumpCtrl</v>
      </c>
      <c r="C440" s="15" t="str" cm="1">
        <f t="array" ref="C440">INDEX(_xlfn.TEXTSPLIT($J440,"/"),2)</f>
        <v>CZ02</v>
      </c>
      <c r="D440" s="34">
        <f>$G$3*H440</f>
        <v>13.754482000000001</v>
      </c>
      <c r="F440" t="str" cm="1">
        <f t="array" ref="F440">INDEX(_xlfn.TEXTSPLIT($J440,"/"),4)</f>
        <v>NE-Chiller-PumpCtrl-Full-Std</v>
      </c>
      <c r="G440">
        <f>$P440</f>
        <v>1.9748000000000002E-2</v>
      </c>
      <c r="H440">
        <f>$G$4*G440</f>
        <v>19.649260000000002</v>
      </c>
      <c r="J440" t="s">
        <v>636</v>
      </c>
      <c r="K440" t="s">
        <v>12</v>
      </c>
      <c r="L440">
        <v>1325.4</v>
      </c>
      <c r="M440">
        <v>3783.79</v>
      </c>
      <c r="P440">
        <v>1.9748000000000002E-2</v>
      </c>
      <c r="Q440">
        <v>0</v>
      </c>
      <c r="R440">
        <v>122942.73</v>
      </c>
      <c r="S440">
        <v>125722.95</v>
      </c>
      <c r="T440">
        <v>0</v>
      </c>
      <c r="U440">
        <v>179632.92</v>
      </c>
      <c r="V440">
        <v>0</v>
      </c>
      <c r="W440">
        <v>48978.1</v>
      </c>
      <c r="X440">
        <v>17993.41</v>
      </c>
      <c r="Y440">
        <v>15933.01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75658.149999999994</v>
      </c>
      <c r="AF440">
        <v>0</v>
      </c>
      <c r="AG440">
        <v>0</v>
      </c>
      <c r="AH440">
        <v>0</v>
      </c>
      <c r="AI440">
        <v>25988.9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11832.92</v>
      </c>
      <c r="AQ440">
        <v>0</v>
      </c>
      <c r="AR440">
        <v>0</v>
      </c>
      <c r="AS440">
        <v>539537028.85584199</v>
      </c>
    </row>
    <row r="441" spans="2:45" x14ac:dyDescent="0.25">
      <c r="B441" s="15" t="str" cm="1">
        <f t="array" ref="B441">INDEX(_xlfn.TEXTSPLIT($J441,"/"),3)</f>
        <v>Htl&amp;0&amp;cPVVE&amp;New&amp;Chiller__PumpCtrl</v>
      </c>
      <c r="C441" s="15" t="str" cm="1">
        <f t="array" ref="C441">INDEX(_xlfn.TEXTSPLIT($J441,"/"),2)</f>
        <v>CZ03</v>
      </c>
      <c r="D441" s="34">
        <f>$G$3*H441</f>
        <v>12.967436999999999</v>
      </c>
      <c r="F441" t="str" cm="1">
        <f t="array" ref="F441">INDEX(_xlfn.TEXTSPLIT($J441,"/"),4)</f>
        <v>NE-Chiller-PumpCtrl-Full-Std</v>
      </c>
      <c r="G441">
        <f>$P441</f>
        <v>1.8617999999999999E-2</v>
      </c>
      <c r="H441">
        <f>$G$4*G441</f>
        <v>18.524909999999998</v>
      </c>
      <c r="J441" t="s">
        <v>634</v>
      </c>
      <c r="K441" t="s">
        <v>13</v>
      </c>
      <c r="L441">
        <v>1249.57</v>
      </c>
      <c r="M441">
        <v>3567.31</v>
      </c>
      <c r="P441">
        <v>1.8617999999999999E-2</v>
      </c>
      <c r="Q441">
        <v>0</v>
      </c>
      <c r="R441">
        <v>90354.16</v>
      </c>
      <c r="S441">
        <v>125722.95</v>
      </c>
      <c r="T441">
        <v>0</v>
      </c>
      <c r="U441">
        <v>179632.92</v>
      </c>
      <c r="V441">
        <v>0</v>
      </c>
      <c r="W441">
        <v>38096.21</v>
      </c>
      <c r="X441">
        <v>16090.93</v>
      </c>
      <c r="Y441">
        <v>14811.85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39621.19</v>
      </c>
      <c r="AF441">
        <v>0</v>
      </c>
      <c r="AG441">
        <v>0</v>
      </c>
      <c r="AH441">
        <v>0</v>
      </c>
      <c r="AI441">
        <v>25988.9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11781.22</v>
      </c>
      <c r="AQ441">
        <v>0</v>
      </c>
      <c r="AR441">
        <v>0</v>
      </c>
      <c r="AS441">
        <v>481338408.37987399</v>
      </c>
    </row>
    <row r="442" spans="2:45" x14ac:dyDescent="0.25">
      <c r="B442" s="15" t="str" cm="1">
        <f t="array" ref="B442">INDEX(_xlfn.TEXTSPLIT($J442,"/"),3)</f>
        <v>Htl&amp;0&amp;cPVVE&amp;New&amp;Chiller__PumpCtrl</v>
      </c>
      <c r="C442" s="15" t="str" cm="1">
        <f t="array" ref="C442">INDEX(_xlfn.TEXTSPLIT($J442,"/"),2)</f>
        <v>CZ04</v>
      </c>
      <c r="D442" s="34">
        <f>$G$3*H442</f>
        <v>13.9446265</v>
      </c>
      <c r="F442" t="str" cm="1">
        <f t="array" ref="F442">INDEX(_xlfn.TEXTSPLIT($J442,"/"),4)</f>
        <v>NE-Chiller-PumpCtrl-Full-Std</v>
      </c>
      <c r="G442">
        <f>$P442</f>
        <v>2.0021000000000001E-2</v>
      </c>
      <c r="H442">
        <f>$G$4*G442</f>
        <v>19.920895000000002</v>
      </c>
      <c r="J442" t="s">
        <v>632</v>
      </c>
      <c r="K442" t="s">
        <v>14</v>
      </c>
      <c r="L442">
        <v>1343.73</v>
      </c>
      <c r="M442">
        <v>3836.12</v>
      </c>
      <c r="P442">
        <v>2.0021000000000001E-2</v>
      </c>
      <c r="Q442">
        <v>0</v>
      </c>
      <c r="R442">
        <v>144273.88</v>
      </c>
      <c r="S442">
        <v>125722.95</v>
      </c>
      <c r="T442">
        <v>0</v>
      </c>
      <c r="U442">
        <v>179632.92</v>
      </c>
      <c r="V442">
        <v>0</v>
      </c>
      <c r="W442">
        <v>50318.29</v>
      </c>
      <c r="X442">
        <v>20536.580000000002</v>
      </c>
      <c r="Y442">
        <v>18905.22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59922.33</v>
      </c>
      <c r="AF442">
        <v>0</v>
      </c>
      <c r="AG442">
        <v>0</v>
      </c>
      <c r="AH442">
        <v>0</v>
      </c>
      <c r="AI442">
        <v>25988.9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11484.59</v>
      </c>
      <c r="AQ442">
        <v>0</v>
      </c>
      <c r="AR442">
        <v>0</v>
      </c>
      <c r="AS442">
        <v>552095033.56440401</v>
      </c>
    </row>
    <row r="443" spans="2:45" x14ac:dyDescent="0.25">
      <c r="B443" s="15" t="str" cm="1">
        <f t="array" ref="B443">INDEX(_xlfn.TEXTSPLIT($J443,"/"),3)</f>
        <v>Htl&amp;0&amp;cPVVE&amp;New&amp;Chiller__PumpCtrl</v>
      </c>
      <c r="C443" s="15" t="str" cm="1">
        <f t="array" ref="C443">INDEX(_xlfn.TEXTSPLIT($J443,"/"),2)</f>
        <v>CZ05</v>
      </c>
      <c r="D443" s="34">
        <f>$G$3*H443</f>
        <v>12.030644499999999</v>
      </c>
      <c r="F443" t="str" cm="1">
        <f t="array" ref="F443">INDEX(_xlfn.TEXTSPLIT($J443,"/"),4)</f>
        <v>NE-Chiller-PumpCtrl-Full-Std</v>
      </c>
      <c r="G443">
        <f>$P443</f>
        <v>1.7273E-2</v>
      </c>
      <c r="H443">
        <f>$G$4*G443</f>
        <v>17.186634999999999</v>
      </c>
      <c r="J443" t="s">
        <v>630</v>
      </c>
      <c r="K443" t="s">
        <v>15</v>
      </c>
      <c r="L443">
        <v>1159.29</v>
      </c>
      <c r="M443">
        <v>3309.58</v>
      </c>
      <c r="P443">
        <v>1.7273E-2</v>
      </c>
      <c r="Q443">
        <v>0</v>
      </c>
      <c r="R443">
        <v>98000.93</v>
      </c>
      <c r="S443">
        <v>125722.95</v>
      </c>
      <c r="T443">
        <v>0</v>
      </c>
      <c r="U443">
        <v>179632.92</v>
      </c>
      <c r="V443">
        <v>0</v>
      </c>
      <c r="W443">
        <v>41582.080000000002</v>
      </c>
      <c r="X443">
        <v>15770.53</v>
      </c>
      <c r="Y443">
        <v>14307.86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43477.22</v>
      </c>
      <c r="AF443">
        <v>0</v>
      </c>
      <c r="AG443">
        <v>0</v>
      </c>
      <c r="AH443">
        <v>0</v>
      </c>
      <c r="AI443">
        <v>25988.9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11807.17</v>
      </c>
      <c r="AQ443">
        <v>0</v>
      </c>
      <c r="AR443">
        <v>0</v>
      </c>
      <c r="AS443">
        <v>400161779.14640301</v>
      </c>
    </row>
    <row r="444" spans="2:45" x14ac:dyDescent="0.25">
      <c r="B444" s="15" t="str" cm="1">
        <f t="array" ref="B444">INDEX(_xlfn.TEXTSPLIT($J444,"/"),3)</f>
        <v>Htl&amp;0&amp;cPVVE&amp;New&amp;Chiller__PumpCtrl</v>
      </c>
      <c r="C444" s="15" t="str" cm="1">
        <f t="array" ref="C444">INDEX(_xlfn.TEXTSPLIT($J444,"/"),2)</f>
        <v>CZ06</v>
      </c>
      <c r="D444" s="34">
        <f>$G$3*H444</f>
        <v>12.752218499999998</v>
      </c>
      <c r="F444" t="str" cm="1">
        <f t="array" ref="F444">INDEX(_xlfn.TEXTSPLIT($J444,"/"),4)</f>
        <v>NE-Chiller-PumpCtrl-Full-Std</v>
      </c>
      <c r="G444">
        <f>$P444</f>
        <v>1.8308999999999999E-2</v>
      </c>
      <c r="H444">
        <f>$G$4*G444</f>
        <v>18.217454999999998</v>
      </c>
      <c r="J444" t="s">
        <v>629</v>
      </c>
      <c r="K444" t="s">
        <v>16</v>
      </c>
      <c r="L444">
        <v>1228.83</v>
      </c>
      <c r="M444">
        <v>3508.11</v>
      </c>
      <c r="P444">
        <v>1.8308999999999999E-2</v>
      </c>
      <c r="Q444">
        <v>0</v>
      </c>
      <c r="R444">
        <v>173183.75</v>
      </c>
      <c r="S444">
        <v>125722.95</v>
      </c>
      <c r="T444">
        <v>0</v>
      </c>
      <c r="U444">
        <v>179632.92</v>
      </c>
      <c r="V444">
        <v>0</v>
      </c>
      <c r="W444">
        <v>49156.69</v>
      </c>
      <c r="X444">
        <v>24801.75</v>
      </c>
      <c r="Y444">
        <v>23284.27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27627.14</v>
      </c>
      <c r="AF444">
        <v>0</v>
      </c>
      <c r="AG444">
        <v>0</v>
      </c>
      <c r="AH444">
        <v>0</v>
      </c>
      <c r="AI444">
        <v>25988.9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10966.54</v>
      </c>
      <c r="AQ444">
        <v>0</v>
      </c>
      <c r="AR444">
        <v>0</v>
      </c>
      <c r="AS444">
        <v>462171163.30797303</v>
      </c>
    </row>
    <row r="445" spans="2:45" x14ac:dyDescent="0.25">
      <c r="B445" s="15" t="str" cm="1">
        <f t="array" ref="B445">INDEX(_xlfn.TEXTSPLIT($J445,"/"),3)</f>
        <v>Htl&amp;0&amp;cPVVE&amp;New&amp;Chiller__PumpCtrl</v>
      </c>
      <c r="C445" s="15" t="str" cm="1">
        <f t="array" ref="C445">INDEX(_xlfn.TEXTSPLIT($J445,"/"),2)</f>
        <v>CZ07</v>
      </c>
      <c r="D445" s="34">
        <f>$G$3*H445</f>
        <v>13.400659999999998</v>
      </c>
      <c r="F445" t="str" cm="1">
        <f t="array" ref="F445">INDEX(_xlfn.TEXTSPLIT($J445,"/"),4)</f>
        <v>NE-Chiller-PumpCtrl-Full-Std</v>
      </c>
      <c r="G445">
        <f>$P445</f>
        <v>1.924E-2</v>
      </c>
      <c r="H445">
        <f>$G$4*G445</f>
        <v>19.143799999999999</v>
      </c>
      <c r="J445" t="s">
        <v>626</v>
      </c>
      <c r="K445" t="s">
        <v>17</v>
      </c>
      <c r="L445">
        <v>1291.32</v>
      </c>
      <c r="M445">
        <v>3686.5</v>
      </c>
      <c r="P445">
        <v>1.924E-2</v>
      </c>
      <c r="Q445">
        <v>0</v>
      </c>
      <c r="R445">
        <v>201694.49</v>
      </c>
      <c r="S445">
        <v>125722.95</v>
      </c>
      <c r="T445">
        <v>0</v>
      </c>
      <c r="U445">
        <v>179632.92</v>
      </c>
      <c r="V445">
        <v>0</v>
      </c>
      <c r="W445">
        <v>59367.33</v>
      </c>
      <c r="X445">
        <v>27188.35</v>
      </c>
      <c r="Y445">
        <v>25533.75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50064.89</v>
      </c>
      <c r="AF445">
        <v>0</v>
      </c>
      <c r="AG445">
        <v>0</v>
      </c>
      <c r="AH445">
        <v>0</v>
      </c>
      <c r="AI445">
        <v>25988.9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10840.41</v>
      </c>
      <c r="AQ445">
        <v>0</v>
      </c>
      <c r="AR445">
        <v>0</v>
      </c>
      <c r="AS445">
        <v>538471669.48312902</v>
      </c>
    </row>
    <row r="446" spans="2:45" x14ac:dyDescent="0.25">
      <c r="B446" s="15" t="str" cm="1">
        <f t="array" ref="B446">INDEX(_xlfn.TEXTSPLIT($J446,"/"),3)</f>
        <v>Htl&amp;0&amp;cPVVE&amp;New&amp;Chiller__PumpCtrl</v>
      </c>
      <c r="C446" s="15" t="str" cm="1">
        <f t="array" ref="C446">INDEX(_xlfn.TEXTSPLIT($J446,"/"),2)</f>
        <v>CZ08</v>
      </c>
      <c r="D446" s="34">
        <f>$G$3*H446</f>
        <v>14.182829499999997</v>
      </c>
      <c r="F446" t="str" cm="1">
        <f t="array" ref="F446">INDEX(_xlfn.TEXTSPLIT($J446,"/"),4)</f>
        <v>NE-Chiller-PumpCtrl-Full-Std</v>
      </c>
      <c r="G446">
        <f>$P446</f>
        <v>2.0362999999999999E-2</v>
      </c>
      <c r="H446">
        <f>$G$4*G446</f>
        <v>20.261184999999998</v>
      </c>
      <c r="J446" t="s">
        <v>624</v>
      </c>
      <c r="K446" t="s">
        <v>18</v>
      </c>
      <c r="L446">
        <v>1366.69</v>
      </c>
      <c r="M446">
        <v>3901.66</v>
      </c>
      <c r="P446">
        <v>2.0362999999999999E-2</v>
      </c>
      <c r="Q446">
        <v>0</v>
      </c>
      <c r="R446">
        <v>211188.9</v>
      </c>
      <c r="S446">
        <v>125722.95</v>
      </c>
      <c r="T446">
        <v>0</v>
      </c>
      <c r="U446">
        <v>179632.92</v>
      </c>
      <c r="V446">
        <v>0</v>
      </c>
      <c r="W446">
        <v>58675.46</v>
      </c>
      <c r="X446">
        <v>27571.17</v>
      </c>
      <c r="Y446">
        <v>25808.42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58901.65</v>
      </c>
      <c r="AF446">
        <v>0</v>
      </c>
      <c r="AG446">
        <v>0</v>
      </c>
      <c r="AH446">
        <v>0</v>
      </c>
      <c r="AI446">
        <v>25988.9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10794.59</v>
      </c>
      <c r="AQ446">
        <v>0</v>
      </c>
      <c r="AR446">
        <v>0</v>
      </c>
      <c r="AS446">
        <v>521502247.82627898</v>
      </c>
    </row>
    <row r="447" spans="2:45" x14ac:dyDescent="0.25">
      <c r="B447" s="15" t="str" cm="1">
        <f t="array" ref="B447">INDEX(_xlfn.TEXTSPLIT($J447,"/"),3)</f>
        <v>Htl&amp;0&amp;cPVVE&amp;New&amp;Chiller__PumpCtrl</v>
      </c>
      <c r="C447" s="15" t="str" cm="1">
        <f t="array" ref="C447">INDEX(_xlfn.TEXTSPLIT($J447,"/"),2)</f>
        <v>CZ09</v>
      </c>
      <c r="D447" s="34">
        <f>$G$3*H447</f>
        <v>14.076961499999999</v>
      </c>
      <c r="F447" t="str" cm="1">
        <f t="array" ref="F447">INDEX(_xlfn.TEXTSPLIT($J447,"/"),4)</f>
        <v>NE-Chiller-PumpCtrl-Full-Std</v>
      </c>
      <c r="G447">
        <f>$P447</f>
        <v>2.0211E-2</v>
      </c>
      <c r="H447">
        <f>$G$4*G447</f>
        <v>20.109945</v>
      </c>
      <c r="J447" t="s">
        <v>622</v>
      </c>
      <c r="K447" t="s">
        <v>19</v>
      </c>
      <c r="L447">
        <v>1356.45</v>
      </c>
      <c r="M447">
        <v>3872.42</v>
      </c>
      <c r="P447">
        <v>2.0211E-2</v>
      </c>
      <c r="Q447">
        <v>0</v>
      </c>
      <c r="R447">
        <v>225211.53</v>
      </c>
      <c r="S447">
        <v>125722.95</v>
      </c>
      <c r="T447">
        <v>0</v>
      </c>
      <c r="U447">
        <v>179632.92</v>
      </c>
      <c r="V447">
        <v>0</v>
      </c>
      <c r="W447">
        <v>63533.01</v>
      </c>
      <c r="X447">
        <v>27920.73</v>
      </c>
      <c r="Y447">
        <v>26194.51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65489.85</v>
      </c>
      <c r="AF447">
        <v>0</v>
      </c>
      <c r="AG447">
        <v>0</v>
      </c>
      <c r="AH447">
        <v>0</v>
      </c>
      <c r="AI447">
        <v>25988.9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10687.59</v>
      </c>
      <c r="AQ447">
        <v>0</v>
      </c>
      <c r="AR447">
        <v>0</v>
      </c>
      <c r="AS447">
        <v>535089192.52543998</v>
      </c>
    </row>
    <row r="448" spans="2:45" x14ac:dyDescent="0.25">
      <c r="B448" s="15" t="str" cm="1">
        <f t="array" ref="B448">INDEX(_xlfn.TEXTSPLIT($J448,"/"),3)</f>
        <v>Htl&amp;0&amp;cPVVE&amp;New&amp;Chiller__PumpCtrl</v>
      </c>
      <c r="C448" s="15" t="str" cm="1">
        <f t="array" ref="C448">INDEX(_xlfn.TEXTSPLIT($J448,"/"),2)</f>
        <v>CZ10</v>
      </c>
      <c r="D448" s="34">
        <f>$G$3*H448</f>
        <v>15.786868999999998</v>
      </c>
      <c r="F448" t="str" cm="1">
        <f t="array" ref="F448">INDEX(_xlfn.TEXTSPLIT($J448,"/"),4)</f>
        <v>NE-Chiller-PumpCtrl-Full-Std</v>
      </c>
      <c r="G448">
        <f>$P448</f>
        <v>2.2665999999999999E-2</v>
      </c>
      <c r="H448">
        <f>$G$4*G448</f>
        <v>22.552669999999999</v>
      </c>
      <c r="J448" t="s">
        <v>620</v>
      </c>
      <c r="K448" t="s">
        <v>20</v>
      </c>
      <c r="L448">
        <v>1521.26</v>
      </c>
      <c r="M448">
        <v>4342.93</v>
      </c>
      <c r="P448">
        <v>2.2665999999999999E-2</v>
      </c>
      <c r="Q448">
        <v>0</v>
      </c>
      <c r="R448">
        <v>249178.1</v>
      </c>
      <c r="S448">
        <v>125722.95</v>
      </c>
      <c r="T448">
        <v>0</v>
      </c>
      <c r="U448">
        <v>179632.92</v>
      </c>
      <c r="V448">
        <v>0</v>
      </c>
      <c r="W448">
        <v>72376.240000000005</v>
      </c>
      <c r="X448">
        <v>29348.240000000002</v>
      </c>
      <c r="Y448">
        <v>27052.41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91607.8</v>
      </c>
      <c r="AF448">
        <v>0</v>
      </c>
      <c r="AG448">
        <v>0</v>
      </c>
      <c r="AH448">
        <v>0</v>
      </c>
      <c r="AI448">
        <v>25988.9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10589.37</v>
      </c>
      <c r="AQ448">
        <v>0</v>
      </c>
      <c r="AR448">
        <v>0</v>
      </c>
      <c r="AS448">
        <v>622785635.65801597</v>
      </c>
    </row>
    <row r="449" spans="2:45" x14ac:dyDescent="0.25">
      <c r="B449" s="15" t="str" cm="1">
        <f t="array" ref="B449">INDEX(_xlfn.TEXTSPLIT($J449,"/"),3)</f>
        <v>Htl&amp;0&amp;cPVVE&amp;New&amp;Chiller__PumpCtrl</v>
      </c>
      <c r="C449" s="15" t="str" cm="1">
        <f t="array" ref="C449">INDEX(_xlfn.TEXTSPLIT($J449,"/"),2)</f>
        <v>CZ11</v>
      </c>
      <c r="D449" s="34">
        <f>$G$3*H449</f>
        <v>15.980495999999999</v>
      </c>
      <c r="F449" t="str" cm="1">
        <f t="array" ref="F449">INDEX(_xlfn.TEXTSPLIT($J449,"/"),4)</f>
        <v>NE-Chiller-PumpCtrl-Full-Std</v>
      </c>
      <c r="G449">
        <f>$P449</f>
        <v>2.2943999999999999E-2</v>
      </c>
      <c r="H449">
        <f>$G$4*G449</f>
        <v>22.829280000000001</v>
      </c>
      <c r="J449" t="s">
        <v>618</v>
      </c>
      <c r="K449" t="s">
        <v>21</v>
      </c>
      <c r="L449">
        <v>1539.87</v>
      </c>
      <c r="M449">
        <v>4396.07</v>
      </c>
      <c r="P449">
        <v>2.2943999999999999E-2</v>
      </c>
      <c r="Q449">
        <v>0</v>
      </c>
      <c r="R449">
        <v>226967.71</v>
      </c>
      <c r="S449">
        <v>125722.95</v>
      </c>
      <c r="T449">
        <v>0</v>
      </c>
      <c r="U449">
        <v>179632.92</v>
      </c>
      <c r="V449">
        <v>0</v>
      </c>
      <c r="W449">
        <v>72990.399999999994</v>
      </c>
      <c r="X449">
        <v>25815.360000000001</v>
      </c>
      <c r="Y449">
        <v>23303.4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121791.8</v>
      </c>
      <c r="AF449">
        <v>0</v>
      </c>
      <c r="AG449">
        <v>0</v>
      </c>
      <c r="AH449">
        <v>0</v>
      </c>
      <c r="AI449">
        <v>25988.9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10763.43</v>
      </c>
      <c r="AQ449">
        <v>0</v>
      </c>
      <c r="AR449">
        <v>0</v>
      </c>
      <c r="AS449">
        <v>647966531.08955801</v>
      </c>
    </row>
    <row r="450" spans="2:45" x14ac:dyDescent="0.25">
      <c r="B450" s="15" t="str" cm="1">
        <f t="array" ref="B450">INDEX(_xlfn.TEXTSPLIT($J450,"/"),3)</f>
        <v>Htl&amp;0&amp;cPVVE&amp;New&amp;Chiller__PumpCtrl</v>
      </c>
      <c r="C450" s="15" t="str" cm="1">
        <f t="array" ref="C450">INDEX(_xlfn.TEXTSPLIT($J450,"/"),2)</f>
        <v>CZ12</v>
      </c>
      <c r="D450" s="34">
        <f>$G$3*H450</f>
        <v>15.75483</v>
      </c>
      <c r="F450" t="str" cm="1">
        <f t="array" ref="F450">INDEX(_xlfn.TEXTSPLIT($J450,"/"),4)</f>
        <v>NE-Chiller-PumpCtrl-Full-Std</v>
      </c>
      <c r="G450">
        <f>$P450</f>
        <v>2.2620000000000001E-2</v>
      </c>
      <c r="H450">
        <f>$G$4*G450</f>
        <v>22.506900000000002</v>
      </c>
      <c r="J450" t="s">
        <v>617</v>
      </c>
      <c r="K450" t="s">
        <v>22</v>
      </c>
      <c r="L450">
        <v>1518.14</v>
      </c>
      <c r="M450">
        <v>4334.04</v>
      </c>
      <c r="P450">
        <v>2.2620000000000001E-2</v>
      </c>
      <c r="Q450">
        <v>0</v>
      </c>
      <c r="R450">
        <v>211539.83</v>
      </c>
      <c r="S450">
        <v>125722.95</v>
      </c>
      <c r="T450">
        <v>0</v>
      </c>
      <c r="U450">
        <v>179632.92</v>
      </c>
      <c r="V450">
        <v>0</v>
      </c>
      <c r="W450">
        <v>65351.18</v>
      </c>
      <c r="X450">
        <v>25366.03</v>
      </c>
      <c r="Y450">
        <v>22778.06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105754</v>
      </c>
      <c r="AF450">
        <v>0</v>
      </c>
      <c r="AG450">
        <v>0</v>
      </c>
      <c r="AH450">
        <v>0</v>
      </c>
      <c r="AI450">
        <v>25988.9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11096.96</v>
      </c>
      <c r="AQ450">
        <v>0</v>
      </c>
      <c r="AR450">
        <v>0</v>
      </c>
      <c r="AS450">
        <v>636203404.38372898</v>
      </c>
    </row>
    <row r="451" spans="2:45" x14ac:dyDescent="0.25">
      <c r="B451" s="15" t="str" cm="1">
        <f t="array" ref="B451">INDEX(_xlfn.TEXTSPLIT($J451,"/"),3)</f>
        <v>Htl&amp;0&amp;cPVVE&amp;New&amp;Chiller__PumpCtrl</v>
      </c>
      <c r="C451" s="15" t="str" cm="1">
        <f t="array" ref="C451">INDEX(_xlfn.TEXTSPLIT($J451,"/"),2)</f>
        <v>CZ13</v>
      </c>
      <c r="D451" s="34">
        <f>$G$3*H451</f>
        <v>16.4374</v>
      </c>
      <c r="F451" t="str" cm="1">
        <f t="array" ref="F451">INDEX(_xlfn.TEXTSPLIT($J451,"/"),4)</f>
        <v>NE-Chiller-PumpCtrl-Full-Std</v>
      </c>
      <c r="G451">
        <f>$P451</f>
        <v>2.3599999999999999E-2</v>
      </c>
      <c r="H451">
        <f>$G$4*G451</f>
        <v>23.481999999999999</v>
      </c>
      <c r="J451" t="s">
        <v>614</v>
      </c>
      <c r="K451" t="s">
        <v>23</v>
      </c>
      <c r="L451">
        <v>1583.92</v>
      </c>
      <c r="M451">
        <v>4521.82</v>
      </c>
      <c r="P451">
        <v>2.3599999999999999E-2</v>
      </c>
      <c r="Q451">
        <v>0</v>
      </c>
      <c r="R451">
        <v>257903.84</v>
      </c>
      <c r="S451">
        <v>125722.95</v>
      </c>
      <c r="T451">
        <v>0</v>
      </c>
      <c r="U451">
        <v>179632.92</v>
      </c>
      <c r="V451">
        <v>0</v>
      </c>
      <c r="W451">
        <v>74757.41</v>
      </c>
      <c r="X451">
        <v>28081.25</v>
      </c>
      <c r="Y451">
        <v>25624.14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112613.94</v>
      </c>
      <c r="AF451">
        <v>0</v>
      </c>
      <c r="AG451">
        <v>0</v>
      </c>
      <c r="AH451">
        <v>0</v>
      </c>
      <c r="AI451">
        <v>25988.9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10534.92</v>
      </c>
      <c r="AQ451">
        <v>0</v>
      </c>
      <c r="AR451">
        <v>0</v>
      </c>
      <c r="AS451">
        <v>676485940.14308596</v>
      </c>
    </row>
    <row r="452" spans="2:45" x14ac:dyDescent="0.25">
      <c r="B452" s="15" t="str" cm="1">
        <f t="array" ref="B452">INDEX(_xlfn.TEXTSPLIT($J452,"/"),3)</f>
        <v>Htl&amp;0&amp;cPVVE&amp;New&amp;Chiller__PumpCtrl</v>
      </c>
      <c r="C452" s="15" t="str" cm="1">
        <f t="array" ref="C452">INDEX(_xlfn.TEXTSPLIT($J452,"/"),2)</f>
        <v>CZ14</v>
      </c>
      <c r="D452" s="34">
        <f>$G$3*H452</f>
        <v>16.50705</v>
      </c>
      <c r="F452" t="str" cm="1">
        <f t="array" ref="F452">INDEX(_xlfn.TEXTSPLIT($J452,"/"),4)</f>
        <v>NE-Chiller-PumpCtrl-Full-Std</v>
      </c>
      <c r="G452">
        <f>$P452</f>
        <v>2.3699999999999999E-2</v>
      </c>
      <c r="H452">
        <f>$G$4*G452</f>
        <v>23.581499999999998</v>
      </c>
      <c r="J452" t="s">
        <v>613</v>
      </c>
      <c r="K452" t="s">
        <v>24</v>
      </c>
      <c r="L452">
        <v>1590.65</v>
      </c>
      <c r="M452">
        <v>4541.03</v>
      </c>
      <c r="P452">
        <v>2.3699999999999999E-2</v>
      </c>
      <c r="Q452">
        <v>0</v>
      </c>
      <c r="R452">
        <v>270749.40999999997</v>
      </c>
      <c r="S452">
        <v>125722.95</v>
      </c>
      <c r="T452">
        <v>0</v>
      </c>
      <c r="U452">
        <v>179632.92</v>
      </c>
      <c r="V452">
        <v>0</v>
      </c>
      <c r="W452">
        <v>86274.32</v>
      </c>
      <c r="X452">
        <v>30550.37</v>
      </c>
      <c r="Y452">
        <v>27678.25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106881.05</v>
      </c>
      <c r="AF452">
        <v>0</v>
      </c>
      <c r="AG452">
        <v>0</v>
      </c>
      <c r="AH452">
        <v>0</v>
      </c>
      <c r="AI452">
        <v>25988.9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10008.469999999999</v>
      </c>
      <c r="AQ452">
        <v>0</v>
      </c>
      <c r="AR452">
        <v>0</v>
      </c>
      <c r="AS452">
        <v>696725166.22914195</v>
      </c>
    </row>
    <row r="453" spans="2:45" x14ac:dyDescent="0.25">
      <c r="B453" s="15" t="str" cm="1">
        <f t="array" ref="B453">INDEX(_xlfn.TEXTSPLIT($J453,"/"),3)</f>
        <v>Htl&amp;0&amp;cPVVE&amp;New&amp;Chiller__PumpCtrl</v>
      </c>
      <c r="C453" s="15" t="str" cm="1">
        <f t="array" ref="C453">INDEX(_xlfn.TEXTSPLIT($J453,"/"),2)</f>
        <v>CZ15</v>
      </c>
      <c r="D453" s="34">
        <f>$G$3*H453</f>
        <v>17.007136999999997</v>
      </c>
      <c r="F453" t="str" cm="1">
        <f t="array" ref="F453">INDEX(_xlfn.TEXTSPLIT($J453,"/"),4)</f>
        <v>NE-Chiller-PumpCtrl-Full-Std</v>
      </c>
      <c r="G453">
        <f>$P453</f>
        <v>2.4417999999999999E-2</v>
      </c>
      <c r="H453">
        <f>$G$4*G453</f>
        <v>24.295909999999999</v>
      </c>
      <c r="J453" t="s">
        <v>610</v>
      </c>
      <c r="K453" t="s">
        <v>25</v>
      </c>
      <c r="L453">
        <v>1638.85</v>
      </c>
      <c r="M453">
        <v>4678.63</v>
      </c>
      <c r="P453">
        <v>2.4417999999999999E-2</v>
      </c>
      <c r="Q453">
        <v>0</v>
      </c>
      <c r="R453">
        <v>382912.15</v>
      </c>
      <c r="S453">
        <v>125722.95</v>
      </c>
      <c r="T453">
        <v>0</v>
      </c>
      <c r="U453">
        <v>179632.92</v>
      </c>
      <c r="V453">
        <v>0</v>
      </c>
      <c r="W453">
        <v>94837.84</v>
      </c>
      <c r="X453">
        <v>36593.43</v>
      </c>
      <c r="Y453">
        <v>34096.11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126345.02</v>
      </c>
      <c r="AF453">
        <v>0</v>
      </c>
      <c r="AG453">
        <v>0</v>
      </c>
      <c r="AH453">
        <v>0</v>
      </c>
      <c r="AI453">
        <v>25988.9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9031.5499999999993</v>
      </c>
      <c r="AQ453">
        <v>0</v>
      </c>
      <c r="AR453">
        <v>0</v>
      </c>
      <c r="AS453">
        <v>712673989.05169106</v>
      </c>
    </row>
    <row r="454" spans="2:45" x14ac:dyDescent="0.25">
      <c r="B454" s="15" t="str" cm="1">
        <f t="array" ref="B454">INDEX(_xlfn.TEXTSPLIT($J454,"/"),3)</f>
        <v>Htl&amp;0&amp;cPVVE&amp;New&amp;Chiller__PumpCtrl</v>
      </c>
      <c r="C454" s="15" t="str" cm="1">
        <f t="array" ref="C454">INDEX(_xlfn.TEXTSPLIT($J454,"/"),2)</f>
        <v>CZ16</v>
      </c>
      <c r="D454" s="34">
        <f>$G$3*H454</f>
        <v>14.077657999999998</v>
      </c>
      <c r="F454" t="str" cm="1">
        <f t="array" ref="F454">INDEX(_xlfn.TEXTSPLIT($J454,"/"),4)</f>
        <v>NE-Chiller-PumpCtrl-Full-Std</v>
      </c>
      <c r="G454">
        <f>$P454</f>
        <v>2.0212000000000001E-2</v>
      </c>
      <c r="H454">
        <f>$G$4*G454</f>
        <v>20.110939999999999</v>
      </c>
      <c r="J454" t="s">
        <v>608</v>
      </c>
      <c r="K454" t="s">
        <v>26</v>
      </c>
      <c r="L454">
        <v>1356.51</v>
      </c>
      <c r="M454">
        <v>3872.59</v>
      </c>
      <c r="P454">
        <v>2.0212000000000001E-2</v>
      </c>
      <c r="Q454">
        <v>0</v>
      </c>
      <c r="R454">
        <v>177328.57</v>
      </c>
      <c r="S454">
        <v>125722.95</v>
      </c>
      <c r="T454">
        <v>0</v>
      </c>
      <c r="U454">
        <v>179632.92</v>
      </c>
      <c r="V454">
        <v>0</v>
      </c>
      <c r="W454">
        <v>85533.759999999995</v>
      </c>
      <c r="X454">
        <v>25002.35</v>
      </c>
      <c r="Y454">
        <v>18981.189999999999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139043.31</v>
      </c>
      <c r="AF454">
        <v>0</v>
      </c>
      <c r="AG454">
        <v>0</v>
      </c>
      <c r="AH454">
        <v>0</v>
      </c>
      <c r="AI454">
        <v>25988.9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11733.56</v>
      </c>
      <c r="AQ454">
        <v>0</v>
      </c>
      <c r="AR454">
        <v>0</v>
      </c>
      <c r="AS454">
        <v>545895568.74265599</v>
      </c>
    </row>
    <row r="455" spans="2:45" x14ac:dyDescent="0.25">
      <c r="B455" s="15" t="str" cm="1">
        <f t="array" ref="B455">INDEX(_xlfn.TEXTSPLIT($J455,"/"),3)</f>
        <v>Nrs&amp;0&amp;cPVVE&amp;Ex&amp;Chiller__PumpCtrl</v>
      </c>
      <c r="C455" s="15" t="str" cm="1">
        <f t="array" ref="C455">INDEX(_xlfn.TEXTSPLIT($J455,"/"),2)</f>
        <v>CZ01</v>
      </c>
      <c r="D455" s="34">
        <f>$G$3*H455</f>
        <v>14.9141545</v>
      </c>
      <c r="F455" t="str" cm="1">
        <f t="array" ref="F455">INDEX(_xlfn.TEXTSPLIT($J455,"/"),4)</f>
        <v>NE-Chiller-PumpCtrl-Full-Std</v>
      </c>
      <c r="G455">
        <f>$P455</f>
        <v>2.1413000000000001E-2</v>
      </c>
      <c r="H455">
        <f>$G$4*G455</f>
        <v>21.305935000000002</v>
      </c>
      <c r="J455" t="s">
        <v>308</v>
      </c>
      <c r="K455" t="s">
        <v>11</v>
      </c>
      <c r="L455">
        <v>1437.17</v>
      </c>
      <c r="M455">
        <v>4102.88</v>
      </c>
      <c r="P455">
        <v>2.1413000000000001E-2</v>
      </c>
      <c r="Q455">
        <v>0</v>
      </c>
      <c r="R455">
        <v>36734.699999999997</v>
      </c>
      <c r="S455">
        <v>201226.15</v>
      </c>
      <c r="T455">
        <v>0</v>
      </c>
      <c r="U455">
        <v>282049.05</v>
      </c>
      <c r="V455">
        <v>0</v>
      </c>
      <c r="W455">
        <v>71096.2</v>
      </c>
      <c r="X455">
        <v>5949.52</v>
      </c>
      <c r="Y455">
        <v>5026.82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178023.19</v>
      </c>
      <c r="AF455">
        <v>0</v>
      </c>
      <c r="AG455">
        <v>0</v>
      </c>
      <c r="AH455">
        <v>0</v>
      </c>
      <c r="AI455">
        <v>65854.75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137437.79</v>
      </c>
      <c r="AQ455">
        <v>0</v>
      </c>
      <c r="AR455">
        <v>0</v>
      </c>
      <c r="AS455">
        <v>355230656.95953202</v>
      </c>
    </row>
    <row r="456" spans="2:45" x14ac:dyDescent="0.25">
      <c r="B456" s="15" t="str" cm="1">
        <f t="array" ref="B456">INDEX(_xlfn.TEXTSPLIT($J456,"/"),3)</f>
        <v>Nrs&amp;0&amp;cPVVE&amp;Ex&amp;Chiller__PumpCtrl</v>
      </c>
      <c r="C456" s="15" t="str" cm="1">
        <f t="array" ref="C456">INDEX(_xlfn.TEXTSPLIT($J456,"/"),2)</f>
        <v>CZ02</v>
      </c>
      <c r="D456" s="34">
        <f>$G$3*H456</f>
        <v>18.968481000000001</v>
      </c>
      <c r="F456" t="str" cm="1">
        <f t="array" ref="F456">INDEX(_xlfn.TEXTSPLIT($J456,"/"),4)</f>
        <v>NE-Chiller-PumpCtrl-Full-Std</v>
      </c>
      <c r="G456">
        <f>$P456</f>
        <v>2.7234000000000001E-2</v>
      </c>
      <c r="H456">
        <f>$G$4*G456</f>
        <v>27.097830000000002</v>
      </c>
      <c r="J456" t="s">
        <v>292</v>
      </c>
      <c r="K456" t="s">
        <v>12</v>
      </c>
      <c r="L456">
        <v>1827.83</v>
      </c>
      <c r="M456">
        <v>5218.1499999999996</v>
      </c>
      <c r="P456">
        <v>2.7234000000000001E-2</v>
      </c>
      <c r="Q456">
        <v>0</v>
      </c>
      <c r="R456">
        <v>174241.16</v>
      </c>
      <c r="S456">
        <v>201226.15</v>
      </c>
      <c r="T456">
        <v>0</v>
      </c>
      <c r="U456">
        <v>282049.05</v>
      </c>
      <c r="V456">
        <v>0</v>
      </c>
      <c r="W456">
        <v>103681.61</v>
      </c>
      <c r="X456">
        <v>21259.54</v>
      </c>
      <c r="Y456">
        <v>18825.169999999998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185586.78</v>
      </c>
      <c r="AF456">
        <v>0</v>
      </c>
      <c r="AG456">
        <v>0</v>
      </c>
      <c r="AH456">
        <v>0</v>
      </c>
      <c r="AI456">
        <v>65854.75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126296.22</v>
      </c>
      <c r="AQ456">
        <v>0</v>
      </c>
      <c r="AR456">
        <v>0</v>
      </c>
      <c r="AS456">
        <v>590350218.66743898</v>
      </c>
    </row>
    <row r="457" spans="2:45" x14ac:dyDescent="0.25">
      <c r="B457" s="15" t="str" cm="1">
        <f t="array" ref="B457">INDEX(_xlfn.TEXTSPLIT($J457,"/"),3)</f>
        <v>Nrs&amp;0&amp;cPVVE&amp;Ex&amp;Chiller__PumpCtrl</v>
      </c>
      <c r="C457" s="15" t="str" cm="1">
        <f t="array" ref="C457">INDEX(_xlfn.TEXTSPLIT($J457,"/"),2)</f>
        <v>CZ03</v>
      </c>
      <c r="D457" s="34">
        <f>$G$3*H457</f>
        <v>17.949501499999997</v>
      </c>
      <c r="F457" t="str" cm="1">
        <f t="array" ref="F457">INDEX(_xlfn.TEXTSPLIT($J457,"/"),4)</f>
        <v>NE-Chiller-PumpCtrl-Full-Std</v>
      </c>
      <c r="G457">
        <f>$P457</f>
        <v>2.5770999999999999E-2</v>
      </c>
      <c r="H457">
        <f>$G$4*G457</f>
        <v>25.642144999999999</v>
      </c>
      <c r="J457" t="s">
        <v>278</v>
      </c>
      <c r="K457" t="s">
        <v>13</v>
      </c>
      <c r="L457">
        <v>1729.65</v>
      </c>
      <c r="M457">
        <v>4937.8500000000004</v>
      </c>
      <c r="P457">
        <v>2.5770999999999999E-2</v>
      </c>
      <c r="Q457">
        <v>0</v>
      </c>
      <c r="R457">
        <v>129270.11</v>
      </c>
      <c r="S457">
        <v>201226.15</v>
      </c>
      <c r="T457">
        <v>0</v>
      </c>
      <c r="U457">
        <v>282049.05</v>
      </c>
      <c r="V457">
        <v>0</v>
      </c>
      <c r="W457">
        <v>85261.98</v>
      </c>
      <c r="X457">
        <v>19883.88</v>
      </c>
      <c r="Y457">
        <v>18325.830000000002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96218.240000000005</v>
      </c>
      <c r="AF457">
        <v>0</v>
      </c>
      <c r="AG457">
        <v>0</v>
      </c>
      <c r="AH457">
        <v>0</v>
      </c>
      <c r="AI457">
        <v>65854.75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125820.31</v>
      </c>
      <c r="AQ457">
        <v>0</v>
      </c>
      <c r="AR457">
        <v>0</v>
      </c>
      <c r="AS457">
        <v>506757185.09518701</v>
      </c>
    </row>
    <row r="458" spans="2:45" x14ac:dyDescent="0.25">
      <c r="B458" s="15" t="str" cm="1">
        <f t="array" ref="B458">INDEX(_xlfn.TEXTSPLIT($J458,"/"),3)</f>
        <v>Nrs&amp;0&amp;cPVVE&amp;Ex&amp;Chiller__PumpCtrl</v>
      </c>
      <c r="C458" s="15" t="str" cm="1">
        <f t="array" ref="C458">INDEX(_xlfn.TEXTSPLIT($J458,"/"),2)</f>
        <v>CZ04</v>
      </c>
      <c r="D458" s="34">
        <f>$G$3*H458</f>
        <v>19.217131499999997</v>
      </c>
      <c r="F458" t="str" cm="1">
        <f t="array" ref="F458">INDEX(_xlfn.TEXTSPLIT($J458,"/"),4)</f>
        <v>NE-Chiller-PumpCtrl-Full-Std</v>
      </c>
      <c r="G458">
        <f>$P458</f>
        <v>2.7591000000000001E-2</v>
      </c>
      <c r="H458">
        <f>$G$4*G458</f>
        <v>27.453044999999999</v>
      </c>
      <c r="J458" t="s">
        <v>262</v>
      </c>
      <c r="K458" t="s">
        <v>14</v>
      </c>
      <c r="L458">
        <v>1851.81</v>
      </c>
      <c r="M458">
        <v>5286.59</v>
      </c>
      <c r="P458">
        <v>2.7591000000000001E-2</v>
      </c>
      <c r="Q458">
        <v>0</v>
      </c>
      <c r="R458">
        <v>198944.31</v>
      </c>
      <c r="S458">
        <v>201226.15</v>
      </c>
      <c r="T458">
        <v>0</v>
      </c>
      <c r="U458">
        <v>282049.05</v>
      </c>
      <c r="V458">
        <v>0</v>
      </c>
      <c r="W458">
        <v>107776.17</v>
      </c>
      <c r="X458">
        <v>24220.44</v>
      </c>
      <c r="Y458">
        <v>22343.38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122619.85</v>
      </c>
      <c r="AF458">
        <v>0</v>
      </c>
      <c r="AG458">
        <v>0</v>
      </c>
      <c r="AH458">
        <v>0</v>
      </c>
      <c r="AI458">
        <v>65854.75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121502.88</v>
      </c>
      <c r="AQ458">
        <v>0</v>
      </c>
      <c r="AR458">
        <v>0</v>
      </c>
      <c r="AS458">
        <v>618269519.41176295</v>
      </c>
    </row>
    <row r="459" spans="2:45" x14ac:dyDescent="0.25">
      <c r="B459" s="15" t="str" cm="1">
        <f t="array" ref="B459">INDEX(_xlfn.TEXTSPLIT($J459,"/"),3)</f>
        <v>Nrs&amp;0&amp;cPVVE&amp;Ex&amp;Chiller__PumpCtrl</v>
      </c>
      <c r="C459" s="15" t="str" cm="1">
        <f t="array" ref="C459">INDEX(_xlfn.TEXTSPLIT($J459,"/"),2)</f>
        <v>CZ05</v>
      </c>
      <c r="D459" s="34">
        <f>$G$3*H459</f>
        <v>16.872015999999999</v>
      </c>
      <c r="F459" t="str" cm="1">
        <f t="array" ref="F459">INDEX(_xlfn.TEXTSPLIT($J459,"/"),4)</f>
        <v>NE-Chiller-PumpCtrl-Full-Std</v>
      </c>
      <c r="G459">
        <f>$P459</f>
        <v>2.4223999999999999E-2</v>
      </c>
      <c r="H459">
        <f>$G$4*G459</f>
        <v>24.102879999999999</v>
      </c>
      <c r="J459" t="s">
        <v>245</v>
      </c>
      <c r="K459" t="s">
        <v>15</v>
      </c>
      <c r="L459">
        <v>1625.83</v>
      </c>
      <c r="M459">
        <v>4641.45</v>
      </c>
      <c r="P459">
        <v>2.4223999999999999E-2</v>
      </c>
      <c r="Q459">
        <v>0</v>
      </c>
      <c r="R459">
        <v>144597.54</v>
      </c>
      <c r="S459">
        <v>201226.15</v>
      </c>
      <c r="T459">
        <v>0</v>
      </c>
      <c r="U459">
        <v>282049.05</v>
      </c>
      <c r="V459">
        <v>0</v>
      </c>
      <c r="W459">
        <v>92316.81</v>
      </c>
      <c r="X459">
        <v>19690.830000000002</v>
      </c>
      <c r="Y459">
        <v>17856.21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98956.67</v>
      </c>
      <c r="AF459">
        <v>0</v>
      </c>
      <c r="AG459">
        <v>0</v>
      </c>
      <c r="AH459">
        <v>0</v>
      </c>
      <c r="AI459">
        <v>65854.75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125832.03</v>
      </c>
      <c r="AQ459">
        <v>0</v>
      </c>
      <c r="AR459">
        <v>0</v>
      </c>
      <c r="AS459">
        <v>412082466.745314</v>
      </c>
    </row>
    <row r="460" spans="2:45" x14ac:dyDescent="0.25">
      <c r="B460" s="15" t="str" cm="1">
        <f t="array" ref="B460">INDEX(_xlfn.TEXTSPLIT($J460,"/"),3)</f>
        <v>Nrs&amp;0&amp;cPVVE&amp;Ex&amp;Chiller__PumpCtrl</v>
      </c>
      <c r="C460" s="15" t="str" cm="1">
        <f t="array" ref="C460">INDEX(_xlfn.TEXTSPLIT($J460,"/"),2)</f>
        <v>CZ06</v>
      </c>
      <c r="D460" s="34">
        <f>$G$3*H460</f>
        <v>17.589410999999998</v>
      </c>
      <c r="F460" t="str" cm="1">
        <f t="array" ref="F460">INDEX(_xlfn.TEXTSPLIT($J460,"/"),4)</f>
        <v>NE-Chiller-PumpCtrl-Full-Std</v>
      </c>
      <c r="G460">
        <f>$P460</f>
        <v>2.5253999999999999E-2</v>
      </c>
      <c r="H460">
        <f>$G$4*G460</f>
        <v>25.12773</v>
      </c>
      <c r="J460" t="s">
        <v>230</v>
      </c>
      <c r="K460" t="s">
        <v>16</v>
      </c>
      <c r="L460">
        <v>1694.95</v>
      </c>
      <c r="M460">
        <v>4838.79</v>
      </c>
      <c r="P460">
        <v>2.5253999999999999E-2</v>
      </c>
      <c r="Q460">
        <v>0</v>
      </c>
      <c r="R460">
        <v>243585.64</v>
      </c>
      <c r="S460">
        <v>201226.15</v>
      </c>
      <c r="T460">
        <v>0</v>
      </c>
      <c r="U460">
        <v>282049.05</v>
      </c>
      <c r="V460">
        <v>0</v>
      </c>
      <c r="W460">
        <v>103261.54</v>
      </c>
      <c r="X460">
        <v>29620.54</v>
      </c>
      <c r="Y460">
        <v>27768.66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69266.960000000006</v>
      </c>
      <c r="AF460">
        <v>0</v>
      </c>
      <c r="AG460">
        <v>0</v>
      </c>
      <c r="AH460">
        <v>0</v>
      </c>
      <c r="AI460">
        <v>65854.75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115932.59</v>
      </c>
      <c r="AQ460">
        <v>0</v>
      </c>
      <c r="AR460">
        <v>0</v>
      </c>
      <c r="AS460">
        <v>347567082.35585499</v>
      </c>
    </row>
    <row r="461" spans="2:45" x14ac:dyDescent="0.25">
      <c r="B461" s="15" t="str" cm="1">
        <f t="array" ref="B461">INDEX(_xlfn.TEXTSPLIT($J461,"/"),3)</f>
        <v>Nrs&amp;0&amp;cPVVE&amp;Ex&amp;Chiller__PumpCtrl</v>
      </c>
      <c r="C461" s="15" t="str" cm="1">
        <f t="array" ref="C461">INDEX(_xlfn.TEXTSPLIT($J461,"/"),2)</f>
        <v>CZ07</v>
      </c>
      <c r="D461" s="34">
        <f>$G$3*H461</f>
        <v>17.918855499999999</v>
      </c>
      <c r="F461" t="str" cm="1">
        <f t="array" ref="F461">INDEX(_xlfn.TEXTSPLIT($J461,"/"),4)</f>
        <v>NE-Chiller-PumpCtrl-Full-Std</v>
      </c>
      <c r="G461">
        <f>$P461</f>
        <v>2.5727E-2</v>
      </c>
      <c r="H461">
        <f>$G$4*G461</f>
        <v>25.598365000000001</v>
      </c>
      <c r="J461" t="s">
        <v>214</v>
      </c>
      <c r="K461" t="s">
        <v>17</v>
      </c>
      <c r="L461">
        <v>1726.65</v>
      </c>
      <c r="M461">
        <v>4929.2700000000004</v>
      </c>
      <c r="P461">
        <v>2.5727E-2</v>
      </c>
      <c r="Q461">
        <v>0</v>
      </c>
      <c r="R461">
        <v>270774.34999999998</v>
      </c>
      <c r="S461">
        <v>201226.15</v>
      </c>
      <c r="T461">
        <v>0</v>
      </c>
      <c r="U461">
        <v>282049.05</v>
      </c>
      <c r="V461">
        <v>0</v>
      </c>
      <c r="W461">
        <v>111868.52</v>
      </c>
      <c r="X461">
        <v>31190.09</v>
      </c>
      <c r="Y461">
        <v>29222.62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88082.43</v>
      </c>
      <c r="AF461">
        <v>0</v>
      </c>
      <c r="AG461">
        <v>0</v>
      </c>
      <c r="AH461">
        <v>0</v>
      </c>
      <c r="AI461">
        <v>65854.75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114483.69</v>
      </c>
      <c r="AQ461">
        <v>0</v>
      </c>
      <c r="AR461">
        <v>0</v>
      </c>
      <c r="AS461">
        <v>400423417.22647798</v>
      </c>
    </row>
    <row r="462" spans="2:45" x14ac:dyDescent="0.25">
      <c r="B462" s="15" t="str" cm="1">
        <f t="array" ref="B462">INDEX(_xlfn.TEXTSPLIT($J462,"/"),3)</f>
        <v>Nrs&amp;0&amp;cPVVE&amp;Ex&amp;Chiller__PumpCtrl</v>
      </c>
      <c r="C462" s="15" t="str" cm="1">
        <f t="array" ref="C462">INDEX(_xlfn.TEXTSPLIT($J462,"/"),2)</f>
        <v>CZ08</v>
      </c>
      <c r="D462" s="34">
        <f>$G$3*H462</f>
        <v>19.281209499999996</v>
      </c>
      <c r="F462" t="str" cm="1">
        <f t="array" ref="F462">INDEX(_xlfn.TEXTSPLIT($J462,"/"),4)</f>
        <v>NE-Chiller-PumpCtrl-Full-Std</v>
      </c>
      <c r="G462">
        <f>$P462</f>
        <v>2.7682999999999999E-2</v>
      </c>
      <c r="H462">
        <f>$G$4*G462</f>
        <v>27.544584999999998</v>
      </c>
      <c r="J462" t="s">
        <v>198</v>
      </c>
      <c r="K462" t="s">
        <v>18</v>
      </c>
      <c r="L462">
        <v>1857.99</v>
      </c>
      <c r="M462">
        <v>5304.23</v>
      </c>
      <c r="P462">
        <v>2.7682999999999999E-2</v>
      </c>
      <c r="Q462">
        <v>0</v>
      </c>
      <c r="R462">
        <v>284369.14</v>
      </c>
      <c r="S462">
        <v>201226.15</v>
      </c>
      <c r="T462">
        <v>0</v>
      </c>
      <c r="U462">
        <v>282049.05</v>
      </c>
      <c r="V462">
        <v>0</v>
      </c>
      <c r="W462">
        <v>123117.58</v>
      </c>
      <c r="X462">
        <v>31849.59</v>
      </c>
      <c r="Y462">
        <v>29798.560000000001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105550.53</v>
      </c>
      <c r="AF462">
        <v>0</v>
      </c>
      <c r="AG462">
        <v>0</v>
      </c>
      <c r="AH462">
        <v>0</v>
      </c>
      <c r="AI462">
        <v>65854.75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114281.87</v>
      </c>
      <c r="AQ462">
        <v>0</v>
      </c>
      <c r="AR462">
        <v>0</v>
      </c>
      <c r="AS462">
        <v>413310361.46036297</v>
      </c>
    </row>
    <row r="463" spans="2:45" x14ac:dyDescent="0.25">
      <c r="B463" s="15" t="str" cm="1">
        <f t="array" ref="B463">INDEX(_xlfn.TEXTSPLIT($J463,"/"),3)</f>
        <v>Nrs&amp;0&amp;cPVVE&amp;Ex&amp;Chiller__PumpCtrl</v>
      </c>
      <c r="C463" s="15" t="str" cm="1">
        <f t="array" ref="C463">INDEX(_xlfn.TEXTSPLIT($J463,"/"),2)</f>
        <v>CZ09</v>
      </c>
      <c r="D463" s="34">
        <f>$G$3*H463</f>
        <v>19.418419999999998</v>
      </c>
      <c r="F463" t="str" cm="1">
        <f t="array" ref="F463">INDEX(_xlfn.TEXTSPLIT($J463,"/"),4)</f>
        <v>NE-Chiller-PumpCtrl-Full-Std</v>
      </c>
      <c r="G463">
        <f>$P463</f>
        <v>2.7879999999999999E-2</v>
      </c>
      <c r="H463">
        <f>$G$4*G463</f>
        <v>27.740599999999997</v>
      </c>
      <c r="J463" t="s">
        <v>183</v>
      </c>
      <c r="K463" t="s">
        <v>19</v>
      </c>
      <c r="L463">
        <v>1871.21</v>
      </c>
      <c r="M463">
        <v>5341.97</v>
      </c>
      <c r="P463">
        <v>2.7879999999999999E-2</v>
      </c>
      <c r="Q463">
        <v>0</v>
      </c>
      <c r="R463">
        <v>313885.81</v>
      </c>
      <c r="S463">
        <v>201226.15</v>
      </c>
      <c r="T463">
        <v>0</v>
      </c>
      <c r="U463">
        <v>282049.05</v>
      </c>
      <c r="V463">
        <v>0</v>
      </c>
      <c r="W463">
        <v>138596.95000000001</v>
      </c>
      <c r="X463">
        <v>32925.730000000003</v>
      </c>
      <c r="Y463">
        <v>30842.05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130686.94</v>
      </c>
      <c r="AF463">
        <v>0</v>
      </c>
      <c r="AG463">
        <v>0</v>
      </c>
      <c r="AH463">
        <v>0</v>
      </c>
      <c r="AI463">
        <v>65854.75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112721.09</v>
      </c>
      <c r="AQ463">
        <v>0</v>
      </c>
      <c r="AR463">
        <v>0</v>
      </c>
      <c r="AS463">
        <v>431599725.355928</v>
      </c>
    </row>
    <row r="464" spans="2:45" x14ac:dyDescent="0.25">
      <c r="B464" s="15" t="str" cm="1">
        <f t="array" ref="B464">INDEX(_xlfn.TEXTSPLIT($J464,"/"),3)</f>
        <v>Nrs&amp;0&amp;cPVVE&amp;Ex&amp;Chiller__PumpCtrl</v>
      </c>
      <c r="C464" s="15" t="str" cm="1">
        <f t="array" ref="C464">INDEX(_xlfn.TEXTSPLIT($J464,"/"),2)</f>
        <v>CZ10</v>
      </c>
      <c r="D464" s="34">
        <f>$G$3*H464</f>
        <v>20.469438499999995</v>
      </c>
      <c r="F464" t="str" cm="1">
        <f t="array" ref="F464">INDEX(_xlfn.TEXTSPLIT($J464,"/"),4)</f>
        <v>NE-Chiller-PumpCtrl-Full-Std</v>
      </c>
      <c r="G464">
        <f>$P464</f>
        <v>2.9388999999999998E-2</v>
      </c>
      <c r="H464">
        <f>$G$4*G464</f>
        <v>29.242054999999997</v>
      </c>
      <c r="J464" t="s">
        <v>166</v>
      </c>
      <c r="K464" t="s">
        <v>20</v>
      </c>
      <c r="L464">
        <v>1972.43</v>
      </c>
      <c r="M464">
        <v>5630.96</v>
      </c>
      <c r="P464">
        <v>2.9388999999999998E-2</v>
      </c>
      <c r="Q464">
        <v>0</v>
      </c>
      <c r="R464">
        <v>335484.39</v>
      </c>
      <c r="S464">
        <v>201226.15</v>
      </c>
      <c r="T464">
        <v>0</v>
      </c>
      <c r="U464">
        <v>282049.05</v>
      </c>
      <c r="V464">
        <v>0</v>
      </c>
      <c r="W464">
        <v>144678.09</v>
      </c>
      <c r="X464">
        <v>32042</v>
      </c>
      <c r="Y464">
        <v>29562.05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177736.19</v>
      </c>
      <c r="AF464">
        <v>0</v>
      </c>
      <c r="AG464">
        <v>0</v>
      </c>
      <c r="AH464">
        <v>0</v>
      </c>
      <c r="AI464">
        <v>65854.75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111792.34</v>
      </c>
      <c r="AQ464">
        <v>0</v>
      </c>
      <c r="AR464">
        <v>0</v>
      </c>
      <c r="AS464">
        <v>662741255.09346902</v>
      </c>
    </row>
    <row r="465" spans="2:45" x14ac:dyDescent="0.25">
      <c r="B465" s="15" t="str" cm="1">
        <f t="array" ref="B465">INDEX(_xlfn.TEXTSPLIT($J465,"/"),3)</f>
        <v>Nrs&amp;0&amp;cPVVE&amp;Ex&amp;Chiller__PumpCtrl</v>
      </c>
      <c r="C465" s="15" t="str" cm="1">
        <f t="array" ref="C465">INDEX(_xlfn.TEXTSPLIT($J465,"/"),2)</f>
        <v>CZ11</v>
      </c>
      <c r="D465" s="34">
        <f>$G$3*H465</f>
        <v>21.111611499999999</v>
      </c>
      <c r="F465" t="str" cm="1">
        <f t="array" ref="F465">INDEX(_xlfn.TEXTSPLIT($J465,"/"),4)</f>
        <v>NE-Chiller-PumpCtrl-Full-Std</v>
      </c>
      <c r="G465">
        <f>$P465</f>
        <v>3.0311000000000001E-2</v>
      </c>
      <c r="H465">
        <f>$G$4*G465</f>
        <v>30.159445000000002</v>
      </c>
      <c r="J465" t="s">
        <v>150</v>
      </c>
      <c r="K465" t="s">
        <v>21</v>
      </c>
      <c r="L465">
        <v>2034.33</v>
      </c>
      <c r="M465">
        <v>5807.66</v>
      </c>
      <c r="P465">
        <v>3.0311000000000001E-2</v>
      </c>
      <c r="Q465">
        <v>0</v>
      </c>
      <c r="R465">
        <v>329504.88</v>
      </c>
      <c r="S465">
        <v>201226.15</v>
      </c>
      <c r="T465">
        <v>0</v>
      </c>
      <c r="U465">
        <v>282049.05</v>
      </c>
      <c r="V465">
        <v>0</v>
      </c>
      <c r="W465">
        <v>153227.72</v>
      </c>
      <c r="X465">
        <v>28885.39</v>
      </c>
      <c r="Y465">
        <v>26210.73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299651.40999999997</v>
      </c>
      <c r="AF465">
        <v>0</v>
      </c>
      <c r="AG465">
        <v>0</v>
      </c>
      <c r="AH465">
        <v>0</v>
      </c>
      <c r="AI465">
        <v>65854.75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114325.87</v>
      </c>
      <c r="AQ465">
        <v>0</v>
      </c>
      <c r="AR465">
        <v>0</v>
      </c>
      <c r="AS465">
        <v>732505736.684376</v>
      </c>
    </row>
    <row r="466" spans="2:45" x14ac:dyDescent="0.25">
      <c r="B466" s="15" t="str" cm="1">
        <f t="array" ref="B466">INDEX(_xlfn.TEXTSPLIT($J466,"/"),3)</f>
        <v>Nrs&amp;0&amp;cPVVE&amp;Ex&amp;Chiller__PumpCtrl</v>
      </c>
      <c r="C466" s="15" t="str" cm="1">
        <f t="array" ref="C466">INDEX(_xlfn.TEXTSPLIT($J466,"/"),2)</f>
        <v>CZ12</v>
      </c>
      <c r="D466" s="34">
        <f>$G$3*H466</f>
        <v>20.355908999999997</v>
      </c>
      <c r="F466" t="str" cm="1">
        <f t="array" ref="F466">INDEX(_xlfn.TEXTSPLIT($J466,"/"),4)</f>
        <v>NE-Chiller-PumpCtrl-Full-Std</v>
      </c>
      <c r="G466">
        <f>$P466</f>
        <v>2.9225999999999999E-2</v>
      </c>
      <c r="H466">
        <f>$G$4*G466</f>
        <v>29.07987</v>
      </c>
      <c r="J466" t="s">
        <v>134</v>
      </c>
      <c r="K466" t="s">
        <v>22</v>
      </c>
      <c r="L466">
        <v>1961.54</v>
      </c>
      <c r="M466">
        <v>5599.86</v>
      </c>
      <c r="P466">
        <v>2.9225999999999999E-2</v>
      </c>
      <c r="Q466">
        <v>0</v>
      </c>
      <c r="R466">
        <v>288048.64000000001</v>
      </c>
      <c r="S466">
        <v>201226.15</v>
      </c>
      <c r="T466">
        <v>0</v>
      </c>
      <c r="U466">
        <v>282049.05</v>
      </c>
      <c r="V466">
        <v>0</v>
      </c>
      <c r="W466">
        <v>135156.62</v>
      </c>
      <c r="X466">
        <v>27487.66</v>
      </c>
      <c r="Y466">
        <v>24755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234984.06</v>
      </c>
      <c r="AF466">
        <v>0</v>
      </c>
      <c r="AG466">
        <v>0</v>
      </c>
      <c r="AH466">
        <v>0</v>
      </c>
      <c r="AI466">
        <v>65854.75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117529.83</v>
      </c>
      <c r="AQ466">
        <v>0</v>
      </c>
      <c r="AR466">
        <v>0</v>
      </c>
      <c r="AS466">
        <v>696370032.83233702</v>
      </c>
    </row>
    <row r="467" spans="2:45" x14ac:dyDescent="0.25">
      <c r="B467" s="15" t="str" cm="1">
        <f t="array" ref="B467">INDEX(_xlfn.TEXTSPLIT($J467,"/"),3)</f>
        <v>Nrs&amp;0&amp;cPVVE&amp;Ex&amp;Chiller__PumpCtrl</v>
      </c>
      <c r="C467" s="15" t="str" cm="1">
        <f t="array" ref="C467">INDEX(_xlfn.TEXTSPLIT($J467,"/"),2)</f>
        <v>CZ13</v>
      </c>
      <c r="D467" s="34">
        <f>$G$3*H467</f>
        <v>21.179172000000001</v>
      </c>
      <c r="F467" t="str" cm="1">
        <f t="array" ref="F467">INDEX(_xlfn.TEXTSPLIT($J467,"/"),4)</f>
        <v>NE-Chiller-PumpCtrl-Full-Std</v>
      </c>
      <c r="G467">
        <f>$P467</f>
        <v>3.0408000000000001E-2</v>
      </c>
      <c r="H467">
        <f>$G$4*G467</f>
        <v>30.255960000000002</v>
      </c>
      <c r="J467" t="s">
        <v>118</v>
      </c>
      <c r="K467" t="s">
        <v>23</v>
      </c>
      <c r="L467">
        <v>2040.85</v>
      </c>
      <c r="M467">
        <v>5826.28</v>
      </c>
      <c r="P467">
        <v>3.0408000000000001E-2</v>
      </c>
      <c r="Q467">
        <v>0</v>
      </c>
      <c r="R467">
        <v>360945.44</v>
      </c>
      <c r="S467">
        <v>201226.15</v>
      </c>
      <c r="T467">
        <v>0</v>
      </c>
      <c r="U467">
        <v>282049.05</v>
      </c>
      <c r="V467">
        <v>0</v>
      </c>
      <c r="W467">
        <v>154960.66</v>
      </c>
      <c r="X467">
        <v>30882.75</v>
      </c>
      <c r="Y467">
        <v>28312.63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240961.44</v>
      </c>
      <c r="AF467">
        <v>0</v>
      </c>
      <c r="AG467">
        <v>0</v>
      </c>
      <c r="AH467">
        <v>0</v>
      </c>
      <c r="AI467">
        <v>65854.75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111015.61</v>
      </c>
      <c r="AQ467">
        <v>0</v>
      </c>
      <c r="AR467">
        <v>0</v>
      </c>
      <c r="AS467">
        <v>751913841.57759404</v>
      </c>
    </row>
    <row r="468" spans="2:45" x14ac:dyDescent="0.25">
      <c r="B468" s="15" t="str" cm="1">
        <f t="array" ref="B468">INDEX(_xlfn.TEXTSPLIT($J468,"/"),3)</f>
        <v>Nrs&amp;0&amp;cPVVE&amp;Ex&amp;Chiller__PumpCtrl</v>
      </c>
      <c r="C468" s="15" t="str" cm="1">
        <f t="array" ref="C468">INDEX(_xlfn.TEXTSPLIT($J468,"/"),2)</f>
        <v>CZ14</v>
      </c>
      <c r="D468" s="34">
        <f>$G$3*H468</f>
        <v>21.308720999999998</v>
      </c>
      <c r="F468" t="str" cm="1">
        <f t="array" ref="F468">INDEX(_xlfn.TEXTSPLIT($J468,"/"),4)</f>
        <v>NE-Chiller-PumpCtrl-Full-Std</v>
      </c>
      <c r="G468">
        <f>$P468</f>
        <v>3.0594E-2</v>
      </c>
      <c r="H468">
        <f>$G$4*G468</f>
        <v>30.441030000000001</v>
      </c>
      <c r="J468" t="s">
        <v>101</v>
      </c>
      <c r="K468" t="s">
        <v>24</v>
      </c>
      <c r="L468">
        <v>2053.36</v>
      </c>
      <c r="M468">
        <v>5861.97</v>
      </c>
      <c r="P468">
        <v>3.0594E-2</v>
      </c>
      <c r="Q468">
        <v>0</v>
      </c>
      <c r="R468">
        <v>402758.54</v>
      </c>
      <c r="S468">
        <v>201226.15</v>
      </c>
      <c r="T468">
        <v>0</v>
      </c>
      <c r="U468">
        <v>282049.05</v>
      </c>
      <c r="V468">
        <v>0</v>
      </c>
      <c r="W468">
        <v>182469.21</v>
      </c>
      <c r="X468">
        <v>33562.129999999997</v>
      </c>
      <c r="Y468">
        <v>30417.119999999999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268693.42</v>
      </c>
      <c r="AF468">
        <v>0</v>
      </c>
      <c r="AG468">
        <v>0</v>
      </c>
      <c r="AH468">
        <v>0</v>
      </c>
      <c r="AI468">
        <v>65854.75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105318.83</v>
      </c>
      <c r="AQ468">
        <v>0</v>
      </c>
      <c r="AR468">
        <v>0</v>
      </c>
      <c r="AS468">
        <v>812767710.19093597</v>
      </c>
    </row>
    <row r="469" spans="2:45" x14ac:dyDescent="0.25">
      <c r="B469" s="15" t="str" cm="1">
        <f t="array" ref="B469">INDEX(_xlfn.TEXTSPLIT($J469,"/"),3)</f>
        <v>Nrs&amp;0&amp;cPVVE&amp;Ex&amp;Chiller__PumpCtrl</v>
      </c>
      <c r="C469" s="15" t="str" cm="1">
        <f t="array" ref="C469">INDEX(_xlfn.TEXTSPLIT($J469,"/"),2)</f>
        <v>CZ15</v>
      </c>
      <c r="D469" s="34">
        <f>$G$3*H469</f>
        <v>21.836667999999996</v>
      </c>
      <c r="F469" t="str" cm="1">
        <f t="array" ref="F469">INDEX(_xlfn.TEXTSPLIT($J469,"/"),4)</f>
        <v>NE-Chiller-PumpCtrl-Full-Std</v>
      </c>
      <c r="G469">
        <f>$P469</f>
        <v>3.1351999999999998E-2</v>
      </c>
      <c r="H469">
        <f>$G$4*G469</f>
        <v>31.195239999999998</v>
      </c>
      <c r="J469" t="s">
        <v>86</v>
      </c>
      <c r="K469" t="s">
        <v>25</v>
      </c>
      <c r="L469">
        <v>2104.1799999999998</v>
      </c>
      <c r="M469">
        <v>6007.07</v>
      </c>
      <c r="P469">
        <v>3.1351999999999998E-2</v>
      </c>
      <c r="Q469">
        <v>0</v>
      </c>
      <c r="R469">
        <v>561257.47</v>
      </c>
      <c r="S469">
        <v>201226.15</v>
      </c>
      <c r="T469">
        <v>0</v>
      </c>
      <c r="U469">
        <v>282049.05</v>
      </c>
      <c r="V469">
        <v>0</v>
      </c>
      <c r="W469">
        <v>202284.48</v>
      </c>
      <c r="X469">
        <v>39780.68</v>
      </c>
      <c r="Y469">
        <v>36981.57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289748.03999999998</v>
      </c>
      <c r="AF469">
        <v>0</v>
      </c>
      <c r="AG469">
        <v>0</v>
      </c>
      <c r="AH469">
        <v>0</v>
      </c>
      <c r="AI469">
        <v>65854.75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93543.25</v>
      </c>
      <c r="AQ469">
        <v>0</v>
      </c>
      <c r="AR469">
        <v>0</v>
      </c>
      <c r="AS469">
        <v>828668743.67681003</v>
      </c>
    </row>
    <row r="470" spans="2:45" x14ac:dyDescent="0.25">
      <c r="B470" s="15" t="str" cm="1">
        <f t="array" ref="B470">INDEX(_xlfn.TEXTSPLIT($J470,"/"),3)</f>
        <v>Nrs&amp;0&amp;cPVVE&amp;Ex&amp;Chiller__PumpCtrl</v>
      </c>
      <c r="C470" s="15" t="str" cm="1">
        <f t="array" ref="C470">INDEX(_xlfn.TEXTSPLIT($J470,"/"),2)</f>
        <v>CZ16</v>
      </c>
      <c r="D470" s="34">
        <f>$G$3*H470</f>
        <v>18.691273999999996</v>
      </c>
      <c r="F470" t="str" cm="1">
        <f t="array" ref="F470">INDEX(_xlfn.TEXTSPLIT($J470,"/"),4)</f>
        <v>NE-Chiller-PumpCtrl-Full-Std</v>
      </c>
      <c r="G470">
        <f>$P470</f>
        <v>2.6835999999999999E-2</v>
      </c>
      <c r="H470">
        <f>$G$4*G470</f>
        <v>26.701819999999998</v>
      </c>
      <c r="J470" t="s">
        <v>70</v>
      </c>
      <c r="K470" t="s">
        <v>26</v>
      </c>
      <c r="L470">
        <v>1801.12</v>
      </c>
      <c r="M470">
        <v>5141.88</v>
      </c>
      <c r="P470">
        <v>2.6835999999999999E-2</v>
      </c>
      <c r="Q470">
        <v>0</v>
      </c>
      <c r="R470">
        <v>274607.51</v>
      </c>
      <c r="S470">
        <v>201226.15</v>
      </c>
      <c r="T470">
        <v>0</v>
      </c>
      <c r="U470">
        <v>282049.05</v>
      </c>
      <c r="V470">
        <v>0</v>
      </c>
      <c r="W470">
        <v>181160.18</v>
      </c>
      <c r="X470">
        <v>28413.71</v>
      </c>
      <c r="Y470">
        <v>21550.91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390558.22</v>
      </c>
      <c r="AF470">
        <v>0</v>
      </c>
      <c r="AG470">
        <v>0</v>
      </c>
      <c r="AH470">
        <v>0</v>
      </c>
      <c r="AI470">
        <v>65854.75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124220.06</v>
      </c>
      <c r="AQ470">
        <v>0</v>
      </c>
      <c r="AR470">
        <v>0</v>
      </c>
      <c r="AS470">
        <v>622621425.76215303</v>
      </c>
    </row>
    <row r="471" spans="2:45" x14ac:dyDescent="0.25">
      <c r="B471" s="15" t="str" cm="1">
        <f t="array" ref="B471">INDEX(_xlfn.TEXTSPLIT($J471,"/"),3)</f>
        <v>Nrs&amp;0&amp;cPVVE&amp;New&amp;Chiller__PumpCtrl</v>
      </c>
      <c r="C471" s="15" t="str" cm="1">
        <f t="array" ref="C471">INDEX(_xlfn.TEXTSPLIT($J471,"/"),2)</f>
        <v>CZ01</v>
      </c>
      <c r="D471" s="34">
        <f>$G$3*H471</f>
        <v>10.662022</v>
      </c>
      <c r="F471" t="str" cm="1">
        <f t="array" ref="F471">INDEX(_xlfn.TEXTSPLIT($J471,"/"),4)</f>
        <v>NE-Chiller-PumpCtrl-Full-Std</v>
      </c>
      <c r="G471">
        <f>$P471</f>
        <v>1.5308E-2</v>
      </c>
      <c r="H471">
        <f>$G$4*G471</f>
        <v>15.23146</v>
      </c>
      <c r="J471" t="s">
        <v>566</v>
      </c>
      <c r="K471" t="s">
        <v>11</v>
      </c>
      <c r="L471">
        <v>1027.3800000000001</v>
      </c>
      <c r="M471">
        <v>2932.99</v>
      </c>
      <c r="P471">
        <v>1.5308E-2</v>
      </c>
      <c r="Q471">
        <v>0</v>
      </c>
      <c r="R471">
        <v>24023.66</v>
      </c>
      <c r="S471">
        <v>103288.37</v>
      </c>
      <c r="T471">
        <v>0</v>
      </c>
      <c r="U471">
        <v>282049.05</v>
      </c>
      <c r="V471">
        <v>0</v>
      </c>
      <c r="W471">
        <v>57385.14</v>
      </c>
      <c r="X471">
        <v>3299.17</v>
      </c>
      <c r="Y471">
        <v>2970.41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137329.1</v>
      </c>
      <c r="AF471">
        <v>0</v>
      </c>
      <c r="AG471">
        <v>0</v>
      </c>
      <c r="AH471">
        <v>0</v>
      </c>
      <c r="AI471">
        <v>65854.75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137432.10999999999</v>
      </c>
      <c r="AQ471">
        <v>0</v>
      </c>
      <c r="AR471">
        <v>0</v>
      </c>
      <c r="AS471">
        <v>259136210.48829001</v>
      </c>
    </row>
    <row r="472" spans="2:45" x14ac:dyDescent="0.25">
      <c r="B472" s="15" t="str" cm="1">
        <f t="array" ref="B472">INDEX(_xlfn.TEXTSPLIT($J472,"/"),3)</f>
        <v>Nrs&amp;0&amp;cPVVE&amp;New&amp;Chiller__PumpCtrl</v>
      </c>
      <c r="C472" s="15" t="str" cm="1">
        <f t="array" ref="C472">INDEX(_xlfn.TEXTSPLIT($J472,"/"),2)</f>
        <v>CZ02</v>
      </c>
      <c r="D472" s="34">
        <f>$G$3*H472</f>
        <v>13.721049999999998</v>
      </c>
      <c r="F472" t="str" cm="1">
        <f t="array" ref="F472">INDEX(_xlfn.TEXTSPLIT($J472,"/"),4)</f>
        <v>NE-Chiller-PumpCtrl-Full-Std</v>
      </c>
      <c r="G472">
        <f>$P472</f>
        <v>1.9699999999999999E-2</v>
      </c>
      <c r="H472">
        <f>$G$4*G472</f>
        <v>19.601499999999998</v>
      </c>
      <c r="J472" t="s">
        <v>549</v>
      </c>
      <c r="K472" t="s">
        <v>12</v>
      </c>
      <c r="L472">
        <v>1322.17</v>
      </c>
      <c r="M472">
        <v>3774.56</v>
      </c>
      <c r="P472">
        <v>1.9699999999999999E-2</v>
      </c>
      <c r="Q472">
        <v>0</v>
      </c>
      <c r="R472">
        <v>119979.2</v>
      </c>
      <c r="S472">
        <v>103288.37</v>
      </c>
      <c r="T472">
        <v>0</v>
      </c>
      <c r="U472">
        <v>282049.05</v>
      </c>
      <c r="V472">
        <v>0</v>
      </c>
      <c r="W472">
        <v>72982.210000000006</v>
      </c>
      <c r="X472">
        <v>14533.83</v>
      </c>
      <c r="Y472">
        <v>13097.58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107471.87</v>
      </c>
      <c r="AF472">
        <v>0</v>
      </c>
      <c r="AG472">
        <v>0</v>
      </c>
      <c r="AH472">
        <v>0</v>
      </c>
      <c r="AI472">
        <v>65854.75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126287.52</v>
      </c>
      <c r="AQ472">
        <v>0</v>
      </c>
      <c r="AR472">
        <v>0</v>
      </c>
      <c r="AS472">
        <v>428700192.99947101</v>
      </c>
    </row>
    <row r="473" spans="2:45" x14ac:dyDescent="0.25">
      <c r="B473" s="15" t="str" cm="1">
        <f t="array" ref="B473">INDEX(_xlfn.TEXTSPLIT($J473,"/"),3)</f>
        <v>Nrs&amp;0&amp;cPVVE&amp;New&amp;Chiller__PumpCtrl</v>
      </c>
      <c r="C473" s="15" t="str" cm="1">
        <f t="array" ref="C473">INDEX(_xlfn.TEXTSPLIT($J473,"/"),2)</f>
        <v>CZ03</v>
      </c>
      <c r="D473" s="34">
        <f>$G$3*H473</f>
        <v>13.258574000000001</v>
      </c>
      <c r="F473" t="str" cm="1">
        <f t="array" ref="F473">INDEX(_xlfn.TEXTSPLIT($J473,"/"),4)</f>
        <v>NE-Chiller-PumpCtrl-Full-Std</v>
      </c>
      <c r="G473">
        <f>$P473</f>
        <v>1.9036000000000001E-2</v>
      </c>
      <c r="H473">
        <f>$G$4*G473</f>
        <v>18.940820000000002</v>
      </c>
      <c r="J473" t="s">
        <v>534</v>
      </c>
      <c r="K473" t="s">
        <v>13</v>
      </c>
      <c r="L473">
        <v>1277.6400000000001</v>
      </c>
      <c r="M473">
        <v>3647.44</v>
      </c>
      <c r="P473">
        <v>1.9036000000000001E-2</v>
      </c>
      <c r="Q473">
        <v>0</v>
      </c>
      <c r="R473">
        <v>89576.99</v>
      </c>
      <c r="S473">
        <v>103288.37</v>
      </c>
      <c r="T473">
        <v>0</v>
      </c>
      <c r="U473">
        <v>282049.05</v>
      </c>
      <c r="V473">
        <v>0</v>
      </c>
      <c r="W473">
        <v>61202.89</v>
      </c>
      <c r="X473">
        <v>14069.01</v>
      </c>
      <c r="Y473">
        <v>12971.41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70728.5</v>
      </c>
      <c r="AF473">
        <v>0</v>
      </c>
      <c r="AG473">
        <v>0</v>
      </c>
      <c r="AH473">
        <v>0</v>
      </c>
      <c r="AI473">
        <v>65854.75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125808.94</v>
      </c>
      <c r="AQ473">
        <v>0</v>
      </c>
      <c r="AR473">
        <v>0</v>
      </c>
      <c r="AS473">
        <v>374146781.41604799</v>
      </c>
    </row>
    <row r="474" spans="2:45" x14ac:dyDescent="0.25">
      <c r="B474" s="15" t="str" cm="1">
        <f t="array" ref="B474">INDEX(_xlfn.TEXTSPLIT($J474,"/"),3)</f>
        <v>Nrs&amp;0&amp;cPVVE&amp;New&amp;Chiller__PumpCtrl</v>
      </c>
      <c r="C474" s="15" t="str" cm="1">
        <f t="array" ref="C474">INDEX(_xlfn.TEXTSPLIT($J474,"/"),2)</f>
        <v>CZ04</v>
      </c>
      <c r="D474" s="34">
        <f>$G$3*H474</f>
        <v>13.950198500000001</v>
      </c>
      <c r="F474" t="str" cm="1">
        <f t="array" ref="F474">INDEX(_xlfn.TEXTSPLIT($J474,"/"),4)</f>
        <v>NE-Chiller-PumpCtrl-Full-Std</v>
      </c>
      <c r="G474">
        <f>$P474</f>
        <v>2.0029000000000002E-2</v>
      </c>
      <c r="H474">
        <f>$G$4*G474</f>
        <v>19.928855000000002</v>
      </c>
      <c r="J474" t="s">
        <v>518</v>
      </c>
      <c r="K474" t="s">
        <v>14</v>
      </c>
      <c r="L474">
        <v>1344.24</v>
      </c>
      <c r="M474">
        <v>3837.58</v>
      </c>
      <c r="P474">
        <v>2.0029000000000002E-2</v>
      </c>
      <c r="Q474">
        <v>0</v>
      </c>
      <c r="R474">
        <v>140389.98000000001</v>
      </c>
      <c r="S474">
        <v>103288.37</v>
      </c>
      <c r="T474">
        <v>0</v>
      </c>
      <c r="U474">
        <v>282049.05</v>
      </c>
      <c r="V474">
        <v>0</v>
      </c>
      <c r="W474">
        <v>74878.39</v>
      </c>
      <c r="X474">
        <v>17105.34</v>
      </c>
      <c r="Y474">
        <v>15809.27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71959.820000000007</v>
      </c>
      <c r="AF474">
        <v>0</v>
      </c>
      <c r="AG474">
        <v>0</v>
      </c>
      <c r="AH474">
        <v>0</v>
      </c>
      <c r="AI474">
        <v>65854.75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121495.08</v>
      </c>
      <c r="AQ474">
        <v>0</v>
      </c>
      <c r="AR474">
        <v>0</v>
      </c>
      <c r="AS474">
        <v>443685321.16514999</v>
      </c>
    </row>
    <row r="475" spans="2:45" x14ac:dyDescent="0.25">
      <c r="B475" s="15" t="str" cm="1">
        <f t="array" ref="B475">INDEX(_xlfn.TEXTSPLIT($J475,"/"),3)</f>
        <v>Nrs&amp;0&amp;cPVVE&amp;New&amp;Chiller__PumpCtrl</v>
      </c>
      <c r="C475" s="15" t="str" cm="1">
        <f t="array" ref="C475">INDEX(_xlfn.TEXTSPLIT($J475,"/"),2)</f>
        <v>CZ05</v>
      </c>
      <c r="D475" s="34">
        <f>$G$3*H475</f>
        <v>12.2799915</v>
      </c>
      <c r="F475" t="str" cm="1">
        <f t="array" ref="F475">INDEX(_xlfn.TEXTSPLIT($J475,"/"),4)</f>
        <v>NE-Chiller-PumpCtrl-Full-Std</v>
      </c>
      <c r="G475">
        <f>$P475</f>
        <v>1.7631000000000001E-2</v>
      </c>
      <c r="H475">
        <f>$G$4*G475</f>
        <v>17.542845</v>
      </c>
      <c r="J475" t="s">
        <v>502</v>
      </c>
      <c r="K475" t="s">
        <v>15</v>
      </c>
      <c r="L475">
        <v>1183.31</v>
      </c>
      <c r="M475">
        <v>3378.13</v>
      </c>
      <c r="P475">
        <v>1.7631000000000001E-2</v>
      </c>
      <c r="Q475">
        <v>0</v>
      </c>
      <c r="R475">
        <v>98450.45</v>
      </c>
      <c r="S475">
        <v>103288.37</v>
      </c>
      <c r="T475">
        <v>0</v>
      </c>
      <c r="U475">
        <v>282049.05</v>
      </c>
      <c r="V475">
        <v>0</v>
      </c>
      <c r="W475">
        <v>65428.97</v>
      </c>
      <c r="X475">
        <v>13486.18</v>
      </c>
      <c r="Y475">
        <v>12318.18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75201.73</v>
      </c>
      <c r="AF475">
        <v>0</v>
      </c>
      <c r="AG475">
        <v>0</v>
      </c>
      <c r="AH475">
        <v>0</v>
      </c>
      <c r="AI475">
        <v>65854.75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125829.6</v>
      </c>
      <c r="AQ475">
        <v>0</v>
      </c>
      <c r="AR475">
        <v>0</v>
      </c>
      <c r="AS475">
        <v>300547478.831644</v>
      </c>
    </row>
    <row r="476" spans="2:45" x14ac:dyDescent="0.25">
      <c r="B476" s="15" t="str" cm="1">
        <f t="array" ref="B476">INDEX(_xlfn.TEXTSPLIT($J476,"/"),3)</f>
        <v>Nrs&amp;0&amp;cPVVE&amp;New&amp;Chiller__PumpCtrl</v>
      </c>
      <c r="C476" s="15" t="str" cm="1">
        <f t="array" ref="C476">INDEX(_xlfn.TEXTSPLIT($J476,"/"),2)</f>
        <v>CZ06</v>
      </c>
      <c r="D476" s="34">
        <f>$G$3*H476</f>
        <v>13.117184499999999</v>
      </c>
      <c r="F476" t="str" cm="1">
        <f t="array" ref="F476">INDEX(_xlfn.TEXTSPLIT($J476,"/"),4)</f>
        <v>NE-Chiller-PumpCtrl-Full-Std</v>
      </c>
      <c r="G476">
        <f>$P476</f>
        <v>1.8832999999999999E-2</v>
      </c>
      <c r="H476">
        <f>$G$4*G476</f>
        <v>18.738834999999998</v>
      </c>
      <c r="J476" t="s">
        <v>486</v>
      </c>
      <c r="K476" t="s">
        <v>16</v>
      </c>
      <c r="L476">
        <v>1263.98</v>
      </c>
      <c r="M476">
        <v>3608.44</v>
      </c>
      <c r="P476">
        <v>1.8832999999999999E-2</v>
      </c>
      <c r="Q476">
        <v>0</v>
      </c>
      <c r="R476">
        <v>172894.19</v>
      </c>
      <c r="S476">
        <v>103288.37</v>
      </c>
      <c r="T476">
        <v>0</v>
      </c>
      <c r="U476">
        <v>282049.05</v>
      </c>
      <c r="V476">
        <v>0</v>
      </c>
      <c r="W476">
        <v>71743.12</v>
      </c>
      <c r="X476">
        <v>21369.88</v>
      </c>
      <c r="Y476">
        <v>20018.43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42842.71</v>
      </c>
      <c r="AF476">
        <v>0</v>
      </c>
      <c r="AG476">
        <v>0</v>
      </c>
      <c r="AH476">
        <v>0</v>
      </c>
      <c r="AI476">
        <v>65854.75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115922.95</v>
      </c>
      <c r="AQ476">
        <v>0</v>
      </c>
      <c r="AR476">
        <v>0</v>
      </c>
      <c r="AS476">
        <v>259776094.435893</v>
      </c>
    </row>
    <row r="477" spans="2:45" x14ac:dyDescent="0.25">
      <c r="B477" s="15" t="str" cm="1">
        <f t="array" ref="B477">INDEX(_xlfn.TEXTSPLIT($J477,"/"),3)</f>
        <v>Nrs&amp;0&amp;cPVVE&amp;New&amp;Chiller__PumpCtrl</v>
      </c>
      <c r="C477" s="15" t="str" cm="1">
        <f t="array" ref="C477">INDEX(_xlfn.TEXTSPLIT($J477,"/"),2)</f>
        <v>CZ07</v>
      </c>
      <c r="D477" s="34">
        <f>$G$3*H477</f>
        <v>13.554586499999999</v>
      </c>
      <c r="F477" t="str" cm="1">
        <f t="array" ref="F477">INDEX(_xlfn.TEXTSPLIT($J477,"/"),4)</f>
        <v>NE-Chiller-PumpCtrl-Full-Std</v>
      </c>
      <c r="G477">
        <f>$P477</f>
        <v>1.9460999999999999E-2</v>
      </c>
      <c r="H477">
        <f>$G$4*G477</f>
        <v>19.363695</v>
      </c>
      <c r="J477" t="s">
        <v>470</v>
      </c>
      <c r="K477" t="s">
        <v>17</v>
      </c>
      <c r="L477">
        <v>1306.0999999999999</v>
      </c>
      <c r="M477">
        <v>3728.7</v>
      </c>
      <c r="P477">
        <v>1.9460999999999999E-2</v>
      </c>
      <c r="Q477">
        <v>0</v>
      </c>
      <c r="R477">
        <v>195658.16</v>
      </c>
      <c r="S477">
        <v>103288.37</v>
      </c>
      <c r="T477">
        <v>0</v>
      </c>
      <c r="U477">
        <v>282049.05</v>
      </c>
      <c r="V477">
        <v>0</v>
      </c>
      <c r="W477">
        <v>79227.73</v>
      </c>
      <c r="X477">
        <v>22953.599999999999</v>
      </c>
      <c r="Y477">
        <v>21518.240000000002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58342.87</v>
      </c>
      <c r="AF477">
        <v>0</v>
      </c>
      <c r="AG477">
        <v>0</v>
      </c>
      <c r="AH477">
        <v>0</v>
      </c>
      <c r="AI477">
        <v>65854.75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114471.79</v>
      </c>
      <c r="AQ477">
        <v>0</v>
      </c>
      <c r="AR477">
        <v>0</v>
      </c>
      <c r="AS477">
        <v>300612924.95854998</v>
      </c>
    </row>
    <row r="478" spans="2:45" x14ac:dyDescent="0.25">
      <c r="B478" s="15" t="str" cm="1">
        <f t="array" ref="B478">INDEX(_xlfn.TEXTSPLIT($J478,"/"),3)</f>
        <v>Nrs&amp;0&amp;cPVVE&amp;New&amp;Chiller__PumpCtrl</v>
      </c>
      <c r="C478" s="15" t="str" cm="1">
        <f t="array" ref="C478">INDEX(_xlfn.TEXTSPLIT($J478,"/"),2)</f>
        <v>CZ08</v>
      </c>
      <c r="D478" s="34">
        <f>$G$3*H478</f>
        <v>14.497647499999999</v>
      </c>
      <c r="F478" t="str" cm="1">
        <f t="array" ref="F478">INDEX(_xlfn.TEXTSPLIT($J478,"/"),4)</f>
        <v>NE-Chiller-PumpCtrl-Full-Std</v>
      </c>
      <c r="G478">
        <f>$P478</f>
        <v>2.0815E-2</v>
      </c>
      <c r="H478">
        <f>$G$4*G478</f>
        <v>20.710925</v>
      </c>
      <c r="J478" t="s">
        <v>454</v>
      </c>
      <c r="K478" t="s">
        <v>18</v>
      </c>
      <c r="L478">
        <v>1397.03</v>
      </c>
      <c r="M478">
        <v>3988.28</v>
      </c>
      <c r="P478">
        <v>2.0815E-2</v>
      </c>
      <c r="Q478">
        <v>0</v>
      </c>
      <c r="R478">
        <v>206841.31</v>
      </c>
      <c r="S478">
        <v>103288.37</v>
      </c>
      <c r="T478">
        <v>0</v>
      </c>
      <c r="U478">
        <v>282049.05</v>
      </c>
      <c r="V478">
        <v>0</v>
      </c>
      <c r="W478">
        <v>86864.4</v>
      </c>
      <c r="X478">
        <v>23255.49</v>
      </c>
      <c r="Y478">
        <v>21736.94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72415.62</v>
      </c>
      <c r="AF478">
        <v>0</v>
      </c>
      <c r="AG478">
        <v>0</v>
      </c>
      <c r="AH478">
        <v>0</v>
      </c>
      <c r="AI478">
        <v>65854.75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114272.45</v>
      </c>
      <c r="AQ478">
        <v>0</v>
      </c>
      <c r="AR478">
        <v>0</v>
      </c>
      <c r="AS478">
        <v>303037177.17788798</v>
      </c>
    </row>
    <row r="479" spans="2:45" x14ac:dyDescent="0.25">
      <c r="B479" s="15" t="str" cm="1">
        <f t="array" ref="B479">INDEX(_xlfn.TEXTSPLIT($J479,"/"),3)</f>
        <v>Nrs&amp;0&amp;cPVVE&amp;New&amp;Chiller__PumpCtrl</v>
      </c>
      <c r="C479" s="15" t="str" cm="1">
        <f t="array" ref="C479">INDEX(_xlfn.TEXTSPLIT($J479,"/"),2)</f>
        <v>CZ09</v>
      </c>
      <c r="D479" s="34">
        <f>$G$3*H479</f>
        <v>13.9446265</v>
      </c>
      <c r="F479" t="str" cm="1">
        <f t="array" ref="F479">INDEX(_xlfn.TEXTSPLIT($J479,"/"),4)</f>
        <v>NE-Chiller-PumpCtrl-Full-Std</v>
      </c>
      <c r="G479">
        <f>$P479</f>
        <v>2.0021000000000001E-2</v>
      </c>
      <c r="H479">
        <f>$G$4*G479</f>
        <v>19.920895000000002</v>
      </c>
      <c r="J479" t="s">
        <v>438</v>
      </c>
      <c r="K479" t="s">
        <v>19</v>
      </c>
      <c r="L479">
        <v>1343.73</v>
      </c>
      <c r="M479">
        <v>3836.13</v>
      </c>
      <c r="P479">
        <v>2.0021000000000001E-2</v>
      </c>
      <c r="Q479">
        <v>0</v>
      </c>
      <c r="R479">
        <v>216247.25</v>
      </c>
      <c r="S479">
        <v>103288.37</v>
      </c>
      <c r="T479">
        <v>0</v>
      </c>
      <c r="U479">
        <v>282049.05</v>
      </c>
      <c r="V479">
        <v>0</v>
      </c>
      <c r="W479">
        <v>89624.97</v>
      </c>
      <c r="X479">
        <v>23061.07</v>
      </c>
      <c r="Y479">
        <v>21587.759999999998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68959.289999999994</v>
      </c>
      <c r="AF479">
        <v>0</v>
      </c>
      <c r="AG479">
        <v>0</v>
      </c>
      <c r="AH479">
        <v>0</v>
      </c>
      <c r="AI479">
        <v>65854.75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112702.09</v>
      </c>
      <c r="AQ479">
        <v>0</v>
      </c>
      <c r="AR479">
        <v>0</v>
      </c>
      <c r="AS479">
        <v>295971892.69981599</v>
      </c>
    </row>
    <row r="480" spans="2:45" x14ac:dyDescent="0.25">
      <c r="B480" s="15" t="str" cm="1">
        <f t="array" ref="B480">INDEX(_xlfn.TEXTSPLIT($J480,"/"),3)</f>
        <v>Nrs&amp;0&amp;cPVVE&amp;New&amp;Chiller__PumpCtrl</v>
      </c>
      <c r="C480" s="15" t="str" cm="1">
        <f t="array" ref="C480">INDEX(_xlfn.TEXTSPLIT($J480,"/"),2)</f>
        <v>CZ10</v>
      </c>
      <c r="D480" s="34">
        <f>$G$3*H480</f>
        <v>15.689359</v>
      </c>
      <c r="F480" t="str" cm="1">
        <f t="array" ref="F480">INDEX(_xlfn.TEXTSPLIT($J480,"/"),4)</f>
        <v>NE-Chiller-PumpCtrl-Full-Std</v>
      </c>
      <c r="G480">
        <f>$P480</f>
        <v>2.2526000000000001E-2</v>
      </c>
      <c r="H480">
        <f>$G$4*G480</f>
        <v>22.41337</v>
      </c>
      <c r="J480" t="s">
        <v>422</v>
      </c>
      <c r="K480" t="s">
        <v>20</v>
      </c>
      <c r="L480">
        <v>1511.84</v>
      </c>
      <c r="M480">
        <v>4316.04</v>
      </c>
      <c r="P480">
        <v>2.2526000000000001E-2</v>
      </c>
      <c r="Q480">
        <v>0</v>
      </c>
      <c r="R480">
        <v>247977.31</v>
      </c>
      <c r="S480">
        <v>103288.37</v>
      </c>
      <c r="T480">
        <v>0</v>
      </c>
      <c r="U480">
        <v>282049.05</v>
      </c>
      <c r="V480">
        <v>0</v>
      </c>
      <c r="W480">
        <v>102238.1</v>
      </c>
      <c r="X480">
        <v>23870.65</v>
      </c>
      <c r="Y480">
        <v>22092.57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111491.4</v>
      </c>
      <c r="AF480">
        <v>0</v>
      </c>
      <c r="AG480">
        <v>0</v>
      </c>
      <c r="AH480">
        <v>0</v>
      </c>
      <c r="AI480">
        <v>65854.75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111777.7</v>
      </c>
      <c r="AQ480">
        <v>0</v>
      </c>
      <c r="AR480">
        <v>0</v>
      </c>
      <c r="AS480">
        <v>499867423.08571202</v>
      </c>
    </row>
    <row r="481" spans="2:45" x14ac:dyDescent="0.25">
      <c r="B481" s="15" t="str" cm="1">
        <f t="array" ref="B481">INDEX(_xlfn.TEXTSPLIT($J481,"/"),3)</f>
        <v>Nrs&amp;0&amp;cPVVE&amp;New&amp;Chiller__PumpCtrl</v>
      </c>
      <c r="C481" s="15" t="str" cm="1">
        <f t="array" ref="C481">INDEX(_xlfn.TEXTSPLIT($J481,"/"),2)</f>
        <v>CZ11</v>
      </c>
      <c r="D481" s="34">
        <f>$G$3*H481</f>
        <v>15.453941999999998</v>
      </c>
      <c r="F481" t="str" cm="1">
        <f t="array" ref="F481">INDEX(_xlfn.TEXTSPLIT($J481,"/"),4)</f>
        <v>NE-Chiller-PumpCtrl-Full-Std</v>
      </c>
      <c r="G481">
        <f>$P481</f>
        <v>2.2187999999999999E-2</v>
      </c>
      <c r="H481">
        <f>$G$4*G481</f>
        <v>22.077059999999999</v>
      </c>
      <c r="J481" t="s">
        <v>404</v>
      </c>
      <c r="K481" t="s">
        <v>21</v>
      </c>
      <c r="L481">
        <v>1489.18</v>
      </c>
      <c r="M481">
        <v>4251.34</v>
      </c>
      <c r="P481">
        <v>2.2187999999999999E-2</v>
      </c>
      <c r="Q481">
        <v>0</v>
      </c>
      <c r="R481">
        <v>229940.71</v>
      </c>
      <c r="S481">
        <v>103288.37</v>
      </c>
      <c r="T481">
        <v>0</v>
      </c>
      <c r="U481">
        <v>282049.05</v>
      </c>
      <c r="V481">
        <v>0</v>
      </c>
      <c r="W481">
        <v>103358.49</v>
      </c>
      <c r="X481">
        <v>20384.48</v>
      </c>
      <c r="Y481">
        <v>18442.63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172719.93</v>
      </c>
      <c r="AF481">
        <v>0</v>
      </c>
      <c r="AG481">
        <v>0</v>
      </c>
      <c r="AH481">
        <v>0</v>
      </c>
      <c r="AI481">
        <v>65854.75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114317.55</v>
      </c>
      <c r="AQ481">
        <v>0</v>
      </c>
      <c r="AR481">
        <v>0</v>
      </c>
      <c r="AS481">
        <v>532134823.11142498</v>
      </c>
    </row>
    <row r="482" spans="2:45" x14ac:dyDescent="0.25">
      <c r="B482" s="15" t="str" cm="1">
        <f t="array" ref="B482">INDEX(_xlfn.TEXTSPLIT($J482,"/"),3)</f>
        <v>Nrs&amp;0&amp;cPVVE&amp;New&amp;Chiller__PumpCtrl</v>
      </c>
      <c r="C482" s="15" t="str" cm="1">
        <f t="array" ref="C482">INDEX(_xlfn.TEXTSPLIT($J482,"/"),2)</f>
        <v>CZ12</v>
      </c>
      <c r="D482" s="34">
        <f>$G$3*H482</f>
        <v>15.248474499999999</v>
      </c>
      <c r="F482" t="str" cm="1">
        <f t="array" ref="F482">INDEX(_xlfn.TEXTSPLIT($J482,"/"),4)</f>
        <v>NE-Chiller-PumpCtrl-Full-Std</v>
      </c>
      <c r="G482">
        <f>$P482</f>
        <v>2.1892999999999999E-2</v>
      </c>
      <c r="H482">
        <f>$G$4*G482</f>
        <v>21.783535000000001</v>
      </c>
      <c r="J482" t="s">
        <v>388</v>
      </c>
      <c r="K482" t="s">
        <v>22</v>
      </c>
      <c r="L482">
        <v>1469.39</v>
      </c>
      <c r="M482">
        <v>4194.84</v>
      </c>
      <c r="P482">
        <v>2.1892999999999999E-2</v>
      </c>
      <c r="Q482">
        <v>0</v>
      </c>
      <c r="R482">
        <v>205622.33</v>
      </c>
      <c r="S482">
        <v>103288.37</v>
      </c>
      <c r="T482">
        <v>0</v>
      </c>
      <c r="U482">
        <v>282049.05</v>
      </c>
      <c r="V482">
        <v>0</v>
      </c>
      <c r="W482">
        <v>93199.64</v>
      </c>
      <c r="X482">
        <v>19623.759999999998</v>
      </c>
      <c r="Y482">
        <v>17781.18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146139.94</v>
      </c>
      <c r="AF482">
        <v>0</v>
      </c>
      <c r="AG482">
        <v>0</v>
      </c>
      <c r="AH482">
        <v>0</v>
      </c>
      <c r="AI482">
        <v>65854.75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117515.79</v>
      </c>
      <c r="AQ482">
        <v>0</v>
      </c>
      <c r="AR482">
        <v>0</v>
      </c>
      <c r="AS482">
        <v>512422210.86297899</v>
      </c>
    </row>
    <row r="483" spans="2:45" x14ac:dyDescent="0.25">
      <c r="B483" s="15" t="str" cm="1">
        <f t="array" ref="B483">INDEX(_xlfn.TEXTSPLIT($J483,"/"),3)</f>
        <v>Nrs&amp;0&amp;cPVVE&amp;New&amp;Chiller__PumpCtrl</v>
      </c>
      <c r="C483" s="15" t="str" cm="1">
        <f t="array" ref="C483">INDEX(_xlfn.TEXTSPLIT($J483,"/"),2)</f>
        <v>CZ13</v>
      </c>
      <c r="D483" s="34">
        <f>$G$3*H483</f>
        <v>15.990246999999998</v>
      </c>
      <c r="F483" t="str" cm="1">
        <f t="array" ref="F483">INDEX(_xlfn.TEXTSPLIT($J483,"/"),4)</f>
        <v>NE-Chiller-PumpCtrl-Full-Std</v>
      </c>
      <c r="G483">
        <f>$P483</f>
        <v>2.2957999999999999E-2</v>
      </c>
      <c r="H483">
        <f>$G$4*G483</f>
        <v>22.843209999999999</v>
      </c>
      <c r="J483" t="s">
        <v>374</v>
      </c>
      <c r="K483" t="s">
        <v>23</v>
      </c>
      <c r="L483">
        <v>1540.83</v>
      </c>
      <c r="M483">
        <v>4398.8</v>
      </c>
      <c r="P483">
        <v>2.2957999999999999E-2</v>
      </c>
      <c r="Q483">
        <v>0</v>
      </c>
      <c r="R483">
        <v>259182.22</v>
      </c>
      <c r="S483">
        <v>103288.37</v>
      </c>
      <c r="T483">
        <v>0</v>
      </c>
      <c r="U483">
        <v>282049.05</v>
      </c>
      <c r="V483">
        <v>0</v>
      </c>
      <c r="W483">
        <v>105782.36</v>
      </c>
      <c r="X483">
        <v>22476.46</v>
      </c>
      <c r="Y483">
        <v>20547.5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152637.39000000001</v>
      </c>
      <c r="AF483">
        <v>0</v>
      </c>
      <c r="AG483">
        <v>0</v>
      </c>
      <c r="AH483">
        <v>0</v>
      </c>
      <c r="AI483">
        <v>65854.75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111011.06</v>
      </c>
      <c r="AQ483">
        <v>0</v>
      </c>
      <c r="AR483">
        <v>0</v>
      </c>
      <c r="AS483">
        <v>547613522.339059</v>
      </c>
    </row>
    <row r="484" spans="2:45" x14ac:dyDescent="0.25">
      <c r="B484" s="15" t="str" cm="1">
        <f t="array" ref="B484">INDEX(_xlfn.TEXTSPLIT($J484,"/"),3)</f>
        <v>Nrs&amp;0&amp;cPVVE&amp;New&amp;Chiller__PumpCtrl</v>
      </c>
      <c r="C484" s="15" t="str" cm="1">
        <f t="array" ref="C484">INDEX(_xlfn.TEXTSPLIT($J484,"/"),2)</f>
        <v>CZ14</v>
      </c>
      <c r="D484" s="34">
        <f>$G$3*H484</f>
        <v>15.970744999999997</v>
      </c>
      <c r="F484" t="str" cm="1">
        <f t="array" ref="F484">INDEX(_xlfn.TEXTSPLIT($J484,"/"),4)</f>
        <v>NE-Chiller-PumpCtrl-Full-Std</v>
      </c>
      <c r="G484">
        <f>$P484</f>
        <v>2.2929999999999999E-2</v>
      </c>
      <c r="H484">
        <f>$G$4*G484</f>
        <v>22.815349999999999</v>
      </c>
      <c r="J484" t="s">
        <v>358</v>
      </c>
      <c r="K484" t="s">
        <v>24</v>
      </c>
      <c r="L484">
        <v>1538.95</v>
      </c>
      <c r="M484">
        <v>4393.43</v>
      </c>
      <c r="P484">
        <v>2.2929999999999999E-2</v>
      </c>
      <c r="Q484">
        <v>0</v>
      </c>
      <c r="R484">
        <v>289654.77</v>
      </c>
      <c r="S484">
        <v>103288.37</v>
      </c>
      <c r="T484">
        <v>0</v>
      </c>
      <c r="U484">
        <v>282049.05</v>
      </c>
      <c r="V484">
        <v>0</v>
      </c>
      <c r="W484">
        <v>123815.03</v>
      </c>
      <c r="X484">
        <v>24475.18</v>
      </c>
      <c r="Y484">
        <v>22157.06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164774.57</v>
      </c>
      <c r="AF484">
        <v>0</v>
      </c>
      <c r="AG484">
        <v>0</v>
      </c>
      <c r="AH484">
        <v>0</v>
      </c>
      <c r="AI484">
        <v>65854.75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105305.45</v>
      </c>
      <c r="AQ484">
        <v>0</v>
      </c>
      <c r="AR484">
        <v>0</v>
      </c>
      <c r="AS484">
        <v>616368118.246243</v>
      </c>
    </row>
    <row r="485" spans="2:45" x14ac:dyDescent="0.25">
      <c r="B485" s="15" t="str" cm="1">
        <f t="array" ref="B485">INDEX(_xlfn.TEXTSPLIT($J485,"/"),3)</f>
        <v>Nrs&amp;0&amp;cPVVE&amp;New&amp;Chiller__PumpCtrl</v>
      </c>
      <c r="C485" s="15" t="str" cm="1">
        <f t="array" ref="C485">INDEX(_xlfn.TEXTSPLIT($J485,"/"),2)</f>
        <v>CZ15</v>
      </c>
      <c r="D485" s="34">
        <f>$G$3*H485</f>
        <v>16.489637500000001</v>
      </c>
      <c r="F485" t="str" cm="1">
        <f t="array" ref="F485">INDEX(_xlfn.TEXTSPLIT($J485,"/"),4)</f>
        <v>NE-Chiller-PumpCtrl-Full-Std</v>
      </c>
      <c r="G485">
        <f>$P485</f>
        <v>2.3675000000000002E-2</v>
      </c>
      <c r="H485">
        <f>$G$4*G485</f>
        <v>23.556625</v>
      </c>
      <c r="J485" t="s">
        <v>342</v>
      </c>
      <c r="K485" t="s">
        <v>25</v>
      </c>
      <c r="L485">
        <v>1588.95</v>
      </c>
      <c r="M485">
        <v>4536.17</v>
      </c>
      <c r="P485">
        <v>2.3675000000000002E-2</v>
      </c>
      <c r="Q485">
        <v>0</v>
      </c>
      <c r="R485">
        <v>408190.59</v>
      </c>
      <c r="S485">
        <v>103288.37</v>
      </c>
      <c r="T485">
        <v>0</v>
      </c>
      <c r="U485">
        <v>282049.05</v>
      </c>
      <c r="V485">
        <v>0</v>
      </c>
      <c r="W485">
        <v>133711.67999999999</v>
      </c>
      <c r="X485">
        <v>29049.43</v>
      </c>
      <c r="Y485">
        <v>27056.21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175973.67</v>
      </c>
      <c r="AF485">
        <v>0</v>
      </c>
      <c r="AG485">
        <v>0</v>
      </c>
      <c r="AH485">
        <v>0</v>
      </c>
      <c r="AI485">
        <v>65854.75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93535.42</v>
      </c>
      <c r="AQ485">
        <v>0</v>
      </c>
      <c r="AR485">
        <v>0</v>
      </c>
      <c r="AS485">
        <v>590499642.07194197</v>
      </c>
    </row>
    <row r="486" spans="2:45" x14ac:dyDescent="0.25">
      <c r="B486" s="15" t="str" cm="1">
        <f t="array" ref="B486">INDEX(_xlfn.TEXTSPLIT($J486,"/"),3)</f>
        <v>Nrs&amp;0&amp;cPVVE&amp;New&amp;Chiller__PumpCtrl</v>
      </c>
      <c r="C486" s="15" t="str" cm="1">
        <f t="array" ref="C486">INDEX(_xlfn.TEXTSPLIT($J486,"/"),2)</f>
        <v>CZ16</v>
      </c>
      <c r="D486" s="34">
        <f>$G$3*H486</f>
        <v>13.778162999999999</v>
      </c>
      <c r="F486" t="str" cm="1">
        <f t="array" ref="F486">INDEX(_xlfn.TEXTSPLIT($J486,"/"),4)</f>
        <v>NE-Chiller-PumpCtrl-Full-Std</v>
      </c>
      <c r="G486">
        <f>$P486</f>
        <v>1.9782000000000001E-2</v>
      </c>
      <c r="H486">
        <f>$G$4*G486</f>
        <v>19.68309</v>
      </c>
      <c r="J486" t="s">
        <v>326</v>
      </c>
      <c r="K486" t="s">
        <v>26</v>
      </c>
      <c r="L486">
        <v>1327.7</v>
      </c>
      <c r="M486">
        <v>3790.34</v>
      </c>
      <c r="P486">
        <v>1.9782000000000001E-2</v>
      </c>
      <c r="Q486">
        <v>0</v>
      </c>
      <c r="R486">
        <v>188342.04</v>
      </c>
      <c r="S486">
        <v>103288.37</v>
      </c>
      <c r="T486">
        <v>0</v>
      </c>
      <c r="U486">
        <v>282049.05</v>
      </c>
      <c r="V486">
        <v>0</v>
      </c>
      <c r="W486">
        <v>125209.79</v>
      </c>
      <c r="X486">
        <v>19148.25</v>
      </c>
      <c r="Y486">
        <v>15118.81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245108.68</v>
      </c>
      <c r="AF486">
        <v>0</v>
      </c>
      <c r="AG486">
        <v>0</v>
      </c>
      <c r="AH486">
        <v>0</v>
      </c>
      <c r="AI486">
        <v>65854.75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124209.22</v>
      </c>
      <c r="AQ486">
        <v>0</v>
      </c>
      <c r="AR486">
        <v>0</v>
      </c>
      <c r="AS486">
        <v>459421449.19784498</v>
      </c>
    </row>
    <row r="487" spans="2:45" x14ac:dyDescent="0.25">
      <c r="B487" s="15" t="str" cm="1">
        <f t="array" ref="B487">INDEX(_xlfn.TEXTSPLIT($J487,"/"),3)</f>
        <v>OfL&amp;0&amp;cPVVE&amp;Ex&amp;Chiller__PumpCtrl</v>
      </c>
      <c r="C487" s="15" t="str" cm="1">
        <f t="array" ref="C487">INDEX(_xlfn.TEXTSPLIT($J487,"/"),2)</f>
        <v>CZ01</v>
      </c>
      <c r="D487" s="34">
        <f>$G$3*H487</f>
        <v>96.479179999999999</v>
      </c>
      <c r="F487" t="str" cm="1">
        <f t="array" ref="F487">INDEX(_xlfn.TEXTSPLIT($J487,"/"),4)</f>
        <v>NE-Chiller-PumpCtrl-Full-Std</v>
      </c>
      <c r="G487">
        <f>$P487</f>
        <v>0.13852</v>
      </c>
      <c r="H487">
        <f>$G$4*G487</f>
        <v>137.82740000000001</v>
      </c>
      <c r="J487" t="s">
        <v>310</v>
      </c>
      <c r="K487" t="s">
        <v>11</v>
      </c>
      <c r="L487">
        <v>9296.85</v>
      </c>
      <c r="M487">
        <v>26540.880000000001</v>
      </c>
      <c r="P487">
        <v>0.13852</v>
      </c>
      <c r="Q487">
        <v>0</v>
      </c>
      <c r="R487">
        <v>151713.66</v>
      </c>
      <c r="S487">
        <v>463682.79</v>
      </c>
      <c r="T487">
        <v>0</v>
      </c>
      <c r="U487">
        <v>831153.37</v>
      </c>
      <c r="V487">
        <v>0</v>
      </c>
      <c r="W487">
        <v>162578</v>
      </c>
      <c r="X487">
        <v>112374.17</v>
      </c>
      <c r="Y487">
        <v>98658.62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774104.7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126002.03</v>
      </c>
      <c r="AQ487">
        <v>0</v>
      </c>
      <c r="AR487">
        <v>0</v>
      </c>
      <c r="AS487">
        <v>1522269587.2402301</v>
      </c>
    </row>
    <row r="488" spans="2:45" x14ac:dyDescent="0.25">
      <c r="B488" s="15" t="str" cm="1">
        <f t="array" ref="B488">INDEX(_xlfn.TEXTSPLIT($J488,"/"),3)</f>
        <v>OfL&amp;0&amp;cPVVE&amp;Ex&amp;Chiller__PumpCtrl</v>
      </c>
      <c r="C488" s="15" t="str" cm="1">
        <f t="array" ref="C488">INDEX(_xlfn.TEXTSPLIT($J488,"/"),2)</f>
        <v>CZ02</v>
      </c>
      <c r="D488" s="34">
        <f>$G$3*H488</f>
        <v>120.220079</v>
      </c>
      <c r="F488" t="str" cm="1">
        <f t="array" ref="F488">INDEX(_xlfn.TEXTSPLIT($J488,"/"),4)</f>
        <v>NE-Chiller-PumpCtrl-Full-Std</v>
      </c>
      <c r="G488">
        <f>$P488</f>
        <v>0.17260600000000001</v>
      </c>
      <c r="H488">
        <f>$G$4*G488</f>
        <v>171.74297000000001</v>
      </c>
      <c r="J488" t="s">
        <v>293</v>
      </c>
      <c r="K488" t="s">
        <v>12</v>
      </c>
      <c r="L488">
        <v>11584.49</v>
      </c>
      <c r="M488">
        <v>33071.699999999997</v>
      </c>
      <c r="P488">
        <v>0.17260600000000001</v>
      </c>
      <c r="Q488">
        <v>0</v>
      </c>
      <c r="R488">
        <v>880084.54</v>
      </c>
      <c r="S488">
        <v>463682.79</v>
      </c>
      <c r="T488">
        <v>0</v>
      </c>
      <c r="U488">
        <v>831153.37</v>
      </c>
      <c r="V488">
        <v>0</v>
      </c>
      <c r="W488">
        <v>227509.45</v>
      </c>
      <c r="X488">
        <v>243404.11</v>
      </c>
      <c r="Y488">
        <v>212296.17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802130.94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115798.02</v>
      </c>
      <c r="AQ488">
        <v>0</v>
      </c>
      <c r="AR488">
        <v>0</v>
      </c>
      <c r="AS488">
        <v>2565232202.0202999</v>
      </c>
    </row>
    <row r="489" spans="2:45" x14ac:dyDescent="0.25">
      <c r="B489" s="15" t="str" cm="1">
        <f t="array" ref="B489">INDEX(_xlfn.TEXTSPLIT($J489,"/"),3)</f>
        <v>OfL&amp;0&amp;cPVVE&amp;Ex&amp;Chiller__PumpCtrl</v>
      </c>
      <c r="C489" s="15" t="str" cm="1">
        <f t="array" ref="C489">INDEX(_xlfn.TEXTSPLIT($J489,"/"),2)</f>
        <v>CZ03</v>
      </c>
      <c r="D489" s="34">
        <f>$G$3*H489</f>
        <v>113.64163649999999</v>
      </c>
      <c r="F489" t="str" cm="1">
        <f t="array" ref="F489">INDEX(_xlfn.TEXTSPLIT($J489,"/"),4)</f>
        <v>NE-Chiller-PumpCtrl-Full-Std</v>
      </c>
      <c r="G489">
        <f>$P489</f>
        <v>0.163161</v>
      </c>
      <c r="H489">
        <f>$G$4*G489</f>
        <v>162.34519499999999</v>
      </c>
      <c r="J489" t="s">
        <v>276</v>
      </c>
      <c r="K489" t="s">
        <v>13</v>
      </c>
      <c r="L489">
        <v>10950.58</v>
      </c>
      <c r="M489">
        <v>31261.98</v>
      </c>
      <c r="P489">
        <v>0.163161</v>
      </c>
      <c r="Q489">
        <v>0</v>
      </c>
      <c r="R489">
        <v>659057.89</v>
      </c>
      <c r="S489">
        <v>463682.79</v>
      </c>
      <c r="T489">
        <v>0</v>
      </c>
      <c r="U489">
        <v>831153.37</v>
      </c>
      <c r="V489">
        <v>0</v>
      </c>
      <c r="W489">
        <v>197111.43</v>
      </c>
      <c r="X489">
        <v>243903.09</v>
      </c>
      <c r="Y489">
        <v>224969.21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584898.89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115362.56</v>
      </c>
      <c r="AQ489">
        <v>0</v>
      </c>
      <c r="AR489">
        <v>0</v>
      </c>
      <c r="AS489">
        <v>2220037379.2280402</v>
      </c>
    </row>
    <row r="490" spans="2:45" x14ac:dyDescent="0.25">
      <c r="B490" s="15" t="str" cm="1">
        <f t="array" ref="B490">INDEX(_xlfn.TEXTSPLIT($J490,"/"),3)</f>
        <v>OfL&amp;0&amp;cPVVE&amp;Ex&amp;Chiller__PumpCtrl</v>
      </c>
      <c r="C490" s="15" t="str" cm="1">
        <f t="array" ref="C490">INDEX(_xlfn.TEXTSPLIT($J490,"/"),2)</f>
        <v>CZ04</v>
      </c>
      <c r="D490" s="34">
        <f>$G$3*H490</f>
        <v>121.03637699999999</v>
      </c>
      <c r="F490" t="str" cm="1">
        <f t="array" ref="F490">INDEX(_xlfn.TEXTSPLIT($J490,"/"),4)</f>
        <v>NE-Chiller-PumpCtrl-Full-Std</v>
      </c>
      <c r="G490">
        <f>$P490</f>
        <v>0.17377799999999999</v>
      </c>
      <c r="H490">
        <f>$G$4*G490</f>
        <v>172.90911</v>
      </c>
      <c r="J490" t="s">
        <v>261</v>
      </c>
      <c r="K490" t="s">
        <v>14</v>
      </c>
      <c r="L490">
        <v>11663.16</v>
      </c>
      <c r="M490">
        <v>33296.29</v>
      </c>
      <c r="P490">
        <v>0.17377799999999999</v>
      </c>
      <c r="Q490">
        <v>0</v>
      </c>
      <c r="R490">
        <v>992511.14</v>
      </c>
      <c r="S490">
        <v>463682.79</v>
      </c>
      <c r="T490">
        <v>0</v>
      </c>
      <c r="U490">
        <v>831153.37</v>
      </c>
      <c r="V490">
        <v>0</v>
      </c>
      <c r="W490">
        <v>239060.85</v>
      </c>
      <c r="X490">
        <v>269148.12</v>
      </c>
      <c r="Y490">
        <v>248101.87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659097.11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111403.58</v>
      </c>
      <c r="AQ490">
        <v>0</v>
      </c>
      <c r="AR490">
        <v>0</v>
      </c>
      <c r="AS490">
        <v>2596283486.6064901</v>
      </c>
    </row>
    <row r="491" spans="2:45" x14ac:dyDescent="0.25">
      <c r="B491" s="15" t="str" cm="1">
        <f t="array" ref="B491">INDEX(_xlfn.TEXTSPLIT($J491,"/"),3)</f>
        <v>OfL&amp;0&amp;cPVVE&amp;Ex&amp;Chiller__PumpCtrl</v>
      </c>
      <c r="C491" s="15" t="str" cm="1">
        <f t="array" ref="C491">INDEX(_xlfn.TEXTSPLIT($J491,"/"),2)</f>
        <v>CZ05</v>
      </c>
      <c r="D491" s="34">
        <f>$G$3*H491</f>
        <v>109.84292550000001</v>
      </c>
      <c r="F491" t="str" cm="1">
        <f t="array" ref="F491">INDEX(_xlfn.TEXTSPLIT($J491,"/"),4)</f>
        <v>NE-Chiller-PumpCtrl-Full-Std</v>
      </c>
      <c r="G491">
        <f>$P491</f>
        <v>0.15770700000000001</v>
      </c>
      <c r="H491">
        <f>$G$4*G491</f>
        <v>156.91846500000003</v>
      </c>
      <c r="J491" t="s">
        <v>244</v>
      </c>
      <c r="K491" t="s">
        <v>15</v>
      </c>
      <c r="L491">
        <v>10584.54</v>
      </c>
      <c r="M491">
        <v>30217.01</v>
      </c>
      <c r="P491">
        <v>0.15770700000000001</v>
      </c>
      <c r="Q491">
        <v>0</v>
      </c>
      <c r="R491">
        <v>707430.33</v>
      </c>
      <c r="S491">
        <v>463682.79</v>
      </c>
      <c r="T491">
        <v>0</v>
      </c>
      <c r="U491">
        <v>831153.37</v>
      </c>
      <c r="V491">
        <v>0</v>
      </c>
      <c r="W491">
        <v>215277.63</v>
      </c>
      <c r="X491">
        <v>232980.66</v>
      </c>
      <c r="Y491">
        <v>210536.27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552310.99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115373.97</v>
      </c>
      <c r="AQ491">
        <v>0</v>
      </c>
      <c r="AR491">
        <v>0</v>
      </c>
      <c r="AS491">
        <v>1769494770.7680399</v>
      </c>
    </row>
    <row r="492" spans="2:45" x14ac:dyDescent="0.25">
      <c r="B492" s="15" t="str" cm="1">
        <f t="array" ref="B492">INDEX(_xlfn.TEXTSPLIT($J492,"/"),3)</f>
        <v>OfL&amp;0&amp;cPVVE&amp;Ex&amp;Chiller__PumpCtrl</v>
      </c>
      <c r="C492" s="15" t="str" cm="1">
        <f t="array" ref="C492">INDEX(_xlfn.TEXTSPLIT($J492,"/"),2)</f>
        <v>CZ06</v>
      </c>
      <c r="D492" s="34">
        <f>$G$3*H492</f>
        <v>111.14746999999998</v>
      </c>
      <c r="F492" t="str" cm="1">
        <f t="array" ref="F492">INDEX(_xlfn.TEXTSPLIT($J492,"/"),4)</f>
        <v>NE-Chiller-PumpCtrl-Full-Std</v>
      </c>
      <c r="G492">
        <f>$P492</f>
        <v>0.15958</v>
      </c>
      <c r="H492">
        <f>$G$4*G492</f>
        <v>158.78209999999999</v>
      </c>
      <c r="J492" t="s">
        <v>229</v>
      </c>
      <c r="K492" t="s">
        <v>16</v>
      </c>
      <c r="L492">
        <v>10710.24</v>
      </c>
      <c r="M492">
        <v>30575.87</v>
      </c>
      <c r="P492">
        <v>0.15958</v>
      </c>
      <c r="Q492">
        <v>0</v>
      </c>
      <c r="R492">
        <v>1244850.69</v>
      </c>
      <c r="S492">
        <v>463682.79</v>
      </c>
      <c r="T492">
        <v>0</v>
      </c>
      <c r="U492">
        <v>831153.37</v>
      </c>
      <c r="V492">
        <v>0</v>
      </c>
      <c r="W492">
        <v>254474.02</v>
      </c>
      <c r="X492">
        <v>307826.68</v>
      </c>
      <c r="Y492">
        <v>289149.82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408826.6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106297.72</v>
      </c>
      <c r="AQ492">
        <v>0</v>
      </c>
      <c r="AR492">
        <v>0</v>
      </c>
      <c r="AS492">
        <v>1636878896.07989</v>
      </c>
    </row>
    <row r="493" spans="2:45" x14ac:dyDescent="0.25">
      <c r="B493" s="15" t="str" cm="1">
        <f t="array" ref="B493">INDEX(_xlfn.TEXTSPLIT($J493,"/"),3)</f>
        <v>OfL&amp;0&amp;cPVVE&amp;Ex&amp;Chiller__PumpCtrl</v>
      </c>
      <c r="C493" s="15" t="str" cm="1">
        <f t="array" ref="C493">INDEX(_xlfn.TEXTSPLIT($J493,"/"),2)</f>
        <v>CZ07</v>
      </c>
      <c r="D493" s="34">
        <f>$G$3*H493</f>
        <v>111.86486499999999</v>
      </c>
      <c r="F493" t="str" cm="1">
        <f t="array" ref="F493">INDEX(_xlfn.TEXTSPLIT($J493,"/"),4)</f>
        <v>NE-Chiller-PumpCtrl-Full-Std</v>
      </c>
      <c r="G493">
        <f>$P493</f>
        <v>0.16061</v>
      </c>
      <c r="H493">
        <f>$G$4*G493</f>
        <v>159.80695</v>
      </c>
      <c r="J493" t="s">
        <v>211</v>
      </c>
      <c r="K493" t="s">
        <v>17</v>
      </c>
      <c r="L493">
        <v>10779.37</v>
      </c>
      <c r="M493">
        <v>30773.22</v>
      </c>
      <c r="P493">
        <v>0.16061</v>
      </c>
      <c r="Q493">
        <v>0</v>
      </c>
      <c r="R493">
        <v>1355737.28</v>
      </c>
      <c r="S493">
        <v>463682.79</v>
      </c>
      <c r="T493">
        <v>0</v>
      </c>
      <c r="U493">
        <v>831153.37</v>
      </c>
      <c r="V493">
        <v>0</v>
      </c>
      <c r="W493">
        <v>279757.88</v>
      </c>
      <c r="X493">
        <v>312452.73</v>
      </c>
      <c r="Y493">
        <v>293480.56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491993.8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104968.26</v>
      </c>
      <c r="AQ493">
        <v>0</v>
      </c>
      <c r="AR493">
        <v>0</v>
      </c>
      <c r="AS493">
        <v>1958838226.0883501</v>
      </c>
    </row>
    <row r="494" spans="2:45" x14ac:dyDescent="0.25">
      <c r="B494" s="15" t="str" cm="1">
        <f t="array" ref="B494">INDEX(_xlfn.TEXTSPLIT($J494,"/"),3)</f>
        <v>OfL&amp;0&amp;cPVVE&amp;Ex&amp;Chiller__PumpCtrl</v>
      </c>
      <c r="C494" s="15" t="str" cm="1">
        <f t="array" ref="C494">INDEX(_xlfn.TEXTSPLIT($J494,"/"),2)</f>
        <v>CZ08</v>
      </c>
      <c r="D494" s="34">
        <f>$G$3*H494</f>
        <v>120.35171749999999</v>
      </c>
      <c r="F494" t="str" cm="1">
        <f t="array" ref="F494">INDEX(_xlfn.TEXTSPLIT($J494,"/"),4)</f>
        <v>NE-Chiller-PumpCtrl-Full-Std</v>
      </c>
      <c r="G494">
        <f>$P494</f>
        <v>0.172795</v>
      </c>
      <c r="H494">
        <f>$G$4*G494</f>
        <v>171.93102500000001</v>
      </c>
      <c r="J494" t="s">
        <v>195</v>
      </c>
      <c r="K494" t="s">
        <v>18</v>
      </c>
      <c r="L494">
        <v>11597.22</v>
      </c>
      <c r="M494">
        <v>33108.050000000003</v>
      </c>
      <c r="P494">
        <v>0.172795</v>
      </c>
      <c r="Q494">
        <v>0</v>
      </c>
      <c r="R494">
        <v>1433074.95</v>
      </c>
      <c r="S494">
        <v>463682.79</v>
      </c>
      <c r="T494">
        <v>0</v>
      </c>
      <c r="U494">
        <v>831153.37</v>
      </c>
      <c r="V494">
        <v>0</v>
      </c>
      <c r="W494">
        <v>280777.57</v>
      </c>
      <c r="X494">
        <v>320499.63</v>
      </c>
      <c r="Y494">
        <v>300312.61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556089.93000000005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104787.08</v>
      </c>
      <c r="AQ494">
        <v>0</v>
      </c>
      <c r="AR494">
        <v>0</v>
      </c>
      <c r="AS494">
        <v>1990275185.1292801</v>
      </c>
    </row>
    <row r="495" spans="2:45" x14ac:dyDescent="0.25">
      <c r="B495" s="15" t="str" cm="1">
        <f t="array" ref="B495">INDEX(_xlfn.TEXTSPLIT($J495,"/"),3)</f>
        <v>OfL&amp;0&amp;cPVVE&amp;Ex&amp;Chiller__PumpCtrl</v>
      </c>
      <c r="C495" s="15" t="str" cm="1">
        <f t="array" ref="C495">INDEX(_xlfn.TEXTSPLIT($J495,"/"),2)</f>
        <v>CZ09</v>
      </c>
      <c r="D495" s="34">
        <f>$G$3*H495</f>
        <v>122.99702449999999</v>
      </c>
      <c r="F495" t="str" cm="1">
        <f t="array" ref="F495">INDEX(_xlfn.TEXTSPLIT($J495,"/"),4)</f>
        <v>NE-Chiller-PumpCtrl-Full-Std</v>
      </c>
      <c r="G495">
        <f>$P495</f>
        <v>0.176593</v>
      </c>
      <c r="H495">
        <f>$G$4*G495</f>
        <v>175.710035</v>
      </c>
      <c r="J495" t="s">
        <v>180</v>
      </c>
      <c r="K495" t="s">
        <v>19</v>
      </c>
      <c r="L495">
        <v>11852.09</v>
      </c>
      <c r="M495">
        <v>33835.660000000003</v>
      </c>
      <c r="P495">
        <v>0.176593</v>
      </c>
      <c r="Q495">
        <v>0</v>
      </c>
      <c r="R495">
        <v>1554097.25</v>
      </c>
      <c r="S495">
        <v>463682.79</v>
      </c>
      <c r="T495">
        <v>0</v>
      </c>
      <c r="U495">
        <v>831153.37</v>
      </c>
      <c r="V495">
        <v>0</v>
      </c>
      <c r="W495">
        <v>293444.90000000002</v>
      </c>
      <c r="X495">
        <v>331645.63</v>
      </c>
      <c r="Y495">
        <v>311332.12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612322.9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103352.53</v>
      </c>
      <c r="AQ495">
        <v>0</v>
      </c>
      <c r="AR495">
        <v>0</v>
      </c>
      <c r="AS495">
        <v>2160527166.9786801</v>
      </c>
    </row>
    <row r="496" spans="2:45" x14ac:dyDescent="0.25">
      <c r="B496" s="15" t="str" cm="1">
        <f t="array" ref="B496">INDEX(_xlfn.TEXTSPLIT($J496,"/"),3)</f>
        <v>OfL&amp;0&amp;cPVVE&amp;Ex&amp;Chiller__PumpCtrl</v>
      </c>
      <c r="C496" s="15" t="str" cm="1">
        <f t="array" ref="C496">INDEX(_xlfn.TEXTSPLIT($J496,"/"),2)</f>
        <v>CZ10</v>
      </c>
      <c r="D496" s="34">
        <f>$G$3*H496</f>
        <v>123.08896249999999</v>
      </c>
      <c r="F496" t="str" cm="1">
        <f t="array" ref="F496">INDEX(_xlfn.TEXTSPLIT($J496,"/"),4)</f>
        <v>NE-Chiller-PumpCtrl-Full-Std</v>
      </c>
      <c r="G496">
        <f>$P496</f>
        <v>0.17672499999999999</v>
      </c>
      <c r="H496">
        <f>$G$4*G496</f>
        <v>175.841375</v>
      </c>
      <c r="J496" t="s">
        <v>163</v>
      </c>
      <c r="K496" t="s">
        <v>20</v>
      </c>
      <c r="L496">
        <v>11860.99</v>
      </c>
      <c r="M496">
        <v>33861.050000000003</v>
      </c>
      <c r="P496">
        <v>0.17672499999999999</v>
      </c>
      <c r="Q496">
        <v>0</v>
      </c>
      <c r="R496">
        <v>1537486.32</v>
      </c>
      <c r="S496">
        <v>463682.79</v>
      </c>
      <c r="T496">
        <v>0</v>
      </c>
      <c r="U496">
        <v>831153.37</v>
      </c>
      <c r="V496">
        <v>0</v>
      </c>
      <c r="W496">
        <v>293924.5</v>
      </c>
      <c r="X496">
        <v>309061.40999999997</v>
      </c>
      <c r="Y496">
        <v>282829.58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686074.56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102505.1</v>
      </c>
      <c r="AQ496">
        <v>0</v>
      </c>
      <c r="AR496">
        <v>0</v>
      </c>
      <c r="AS496">
        <v>2791655686.9377398</v>
      </c>
    </row>
    <row r="497" spans="2:45" x14ac:dyDescent="0.25">
      <c r="B497" s="15" t="str" cm="1">
        <f t="array" ref="B497">INDEX(_xlfn.TEXTSPLIT($J497,"/"),3)</f>
        <v>OfL&amp;0&amp;cPVVE&amp;Ex&amp;Chiller__PumpCtrl</v>
      </c>
      <c r="C497" s="15" t="str" cm="1">
        <f t="array" ref="C497">INDEX(_xlfn.TEXTSPLIT($J497,"/"),2)</f>
        <v>CZ11</v>
      </c>
      <c r="D497" s="34">
        <f>$G$3*H497</f>
        <v>130.128488</v>
      </c>
      <c r="F497" t="str" cm="1">
        <f t="array" ref="F497">INDEX(_xlfn.TEXTSPLIT($J497,"/"),4)</f>
        <v>NE-Chiller-PumpCtrl-Full-Std</v>
      </c>
      <c r="G497">
        <f>$P497</f>
        <v>0.186832</v>
      </c>
      <c r="H497">
        <f>$G$4*G497</f>
        <v>185.89784</v>
      </c>
      <c r="J497" t="s">
        <v>148</v>
      </c>
      <c r="K497" t="s">
        <v>21</v>
      </c>
      <c r="L497">
        <v>12539.31</v>
      </c>
      <c r="M497">
        <v>35797.56</v>
      </c>
      <c r="P497">
        <v>0.186832</v>
      </c>
      <c r="Q497">
        <v>0</v>
      </c>
      <c r="R497">
        <v>1460746.82</v>
      </c>
      <c r="S497">
        <v>463682.79</v>
      </c>
      <c r="T497">
        <v>0</v>
      </c>
      <c r="U497">
        <v>831153.37</v>
      </c>
      <c r="V497">
        <v>0</v>
      </c>
      <c r="W497">
        <v>292110.81</v>
      </c>
      <c r="X497">
        <v>289813.93</v>
      </c>
      <c r="Y497">
        <v>258441.60000000001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970577.35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104843.26</v>
      </c>
      <c r="AQ497">
        <v>0</v>
      </c>
      <c r="AR497">
        <v>0</v>
      </c>
      <c r="AS497">
        <v>2934981020.7658601</v>
      </c>
    </row>
    <row r="498" spans="2:45" x14ac:dyDescent="0.25">
      <c r="B498" s="15" t="str" cm="1">
        <f t="array" ref="B498">INDEX(_xlfn.TEXTSPLIT($J498,"/"),3)</f>
        <v>OfL&amp;0&amp;cPVVE&amp;Ex&amp;Chiller__PumpCtrl</v>
      </c>
      <c r="C498" s="15" t="str" cm="1">
        <f t="array" ref="C498">INDEX(_xlfn.TEXTSPLIT($J498,"/"),2)</f>
        <v>CZ12</v>
      </c>
      <c r="D498" s="34">
        <f>$G$3*H498</f>
        <v>125.63884899999999</v>
      </c>
      <c r="F498" t="str" cm="1">
        <f t="array" ref="F498">INDEX(_xlfn.TEXTSPLIT($J498,"/"),4)</f>
        <v>NE-Chiller-PumpCtrl-Full-Std</v>
      </c>
      <c r="G498">
        <f>$P498</f>
        <v>0.18038599999999999</v>
      </c>
      <c r="H498">
        <f>$G$4*G498</f>
        <v>179.48407</v>
      </c>
      <c r="J498" t="s">
        <v>131</v>
      </c>
      <c r="K498" t="s">
        <v>22</v>
      </c>
      <c r="L498">
        <v>12106.63</v>
      </c>
      <c r="M498">
        <v>34562.33</v>
      </c>
      <c r="P498">
        <v>0.18038599999999999</v>
      </c>
      <c r="Q498">
        <v>0</v>
      </c>
      <c r="R498">
        <v>1341565.8999999999</v>
      </c>
      <c r="S498">
        <v>463682.79</v>
      </c>
      <c r="T498">
        <v>0</v>
      </c>
      <c r="U498">
        <v>831153.37</v>
      </c>
      <c r="V498">
        <v>0</v>
      </c>
      <c r="W498">
        <v>272988.51</v>
      </c>
      <c r="X498">
        <v>278407.34000000003</v>
      </c>
      <c r="Y498">
        <v>247020.75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841582.42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107768.44</v>
      </c>
      <c r="AQ498">
        <v>0</v>
      </c>
      <c r="AR498">
        <v>0</v>
      </c>
      <c r="AS498">
        <v>2936322780.33916</v>
      </c>
    </row>
    <row r="499" spans="2:45" x14ac:dyDescent="0.25">
      <c r="B499" s="15" t="str" cm="1">
        <f t="array" ref="B499">INDEX(_xlfn.TEXTSPLIT($J499,"/"),3)</f>
        <v>OfL&amp;0&amp;cPVVE&amp;Ex&amp;Chiller__PumpCtrl</v>
      </c>
      <c r="C499" s="15" t="str" cm="1">
        <f t="array" ref="C499">INDEX(_xlfn.TEXTSPLIT($J499,"/"),2)</f>
        <v>CZ13</v>
      </c>
      <c r="D499" s="34">
        <f>$G$3*H499</f>
        <v>128.62474449999999</v>
      </c>
      <c r="F499" t="str" cm="1">
        <f t="array" ref="F499">INDEX(_xlfn.TEXTSPLIT($J499,"/"),4)</f>
        <v>NE-Chiller-PumpCtrl-Full-Std</v>
      </c>
      <c r="G499">
        <f>$P499</f>
        <v>0.184673</v>
      </c>
      <c r="H499">
        <f>$G$4*G499</f>
        <v>183.74963500000001</v>
      </c>
      <c r="J499" t="s">
        <v>117</v>
      </c>
      <c r="K499" t="s">
        <v>23</v>
      </c>
      <c r="L499">
        <v>12394.4</v>
      </c>
      <c r="M499">
        <v>35383.86</v>
      </c>
      <c r="P499">
        <v>0.184673</v>
      </c>
      <c r="Q499">
        <v>0</v>
      </c>
      <c r="R499">
        <v>1596406.4</v>
      </c>
      <c r="S499">
        <v>463682.79</v>
      </c>
      <c r="T499">
        <v>0</v>
      </c>
      <c r="U499">
        <v>831153.37</v>
      </c>
      <c r="V499">
        <v>0</v>
      </c>
      <c r="W499">
        <v>296285.09999999998</v>
      </c>
      <c r="X499">
        <v>294770.34000000003</v>
      </c>
      <c r="Y499">
        <v>267815.71000000002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816726.22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101805.88</v>
      </c>
      <c r="AQ499">
        <v>0</v>
      </c>
      <c r="AR499">
        <v>0</v>
      </c>
      <c r="AS499">
        <v>3063401647.66085</v>
      </c>
    </row>
    <row r="500" spans="2:45" x14ac:dyDescent="0.25">
      <c r="B500" s="15" t="str" cm="1">
        <f t="array" ref="B500">INDEX(_xlfn.TEXTSPLIT($J500,"/"),3)</f>
        <v>OfL&amp;0&amp;cPVVE&amp;Ex&amp;Chiller__PumpCtrl</v>
      </c>
      <c r="C500" s="15" t="str" cm="1">
        <f t="array" ref="C500">INDEX(_xlfn.TEXTSPLIT($J500,"/"),2)</f>
        <v>CZ14</v>
      </c>
      <c r="D500" s="34">
        <f>$G$3*H500</f>
        <v>130.80757549999998</v>
      </c>
      <c r="F500" t="str" cm="1">
        <f t="array" ref="F500">INDEX(_xlfn.TEXTSPLIT($J500,"/"),4)</f>
        <v>NE-Chiller-PumpCtrl-Full-Std</v>
      </c>
      <c r="G500">
        <f>$P500</f>
        <v>0.187807</v>
      </c>
      <c r="H500">
        <f>$G$4*G500</f>
        <v>186.867965</v>
      </c>
      <c r="J500" t="s">
        <v>102</v>
      </c>
      <c r="K500" t="s">
        <v>24</v>
      </c>
      <c r="L500">
        <v>12604.74</v>
      </c>
      <c r="M500">
        <v>35984.33</v>
      </c>
      <c r="P500">
        <v>0.187807</v>
      </c>
      <c r="Q500">
        <v>0</v>
      </c>
      <c r="R500">
        <v>1636288.68</v>
      </c>
      <c r="S500">
        <v>463682.79</v>
      </c>
      <c r="T500">
        <v>0</v>
      </c>
      <c r="U500">
        <v>831153.37</v>
      </c>
      <c r="V500">
        <v>0</v>
      </c>
      <c r="W500">
        <v>331829.28000000003</v>
      </c>
      <c r="X500">
        <v>321146.09999999998</v>
      </c>
      <c r="Y500">
        <v>285395.38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831844.21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96591.039999999994</v>
      </c>
      <c r="AQ500">
        <v>0</v>
      </c>
      <c r="AR500">
        <v>0</v>
      </c>
      <c r="AS500">
        <v>2925555293.1602302</v>
      </c>
    </row>
    <row r="501" spans="2:45" x14ac:dyDescent="0.25">
      <c r="B501" s="15" t="str" cm="1">
        <f t="array" ref="B501">INDEX(_xlfn.TEXTSPLIT($J501,"/"),3)</f>
        <v>OfL&amp;0&amp;cPVVE&amp;Ex&amp;Chiller__PumpCtrl</v>
      </c>
      <c r="C501" s="15" t="str" cm="1">
        <f t="array" ref="C501">INDEX(_xlfn.TEXTSPLIT($J501,"/"),2)</f>
        <v>CZ15</v>
      </c>
      <c r="D501" s="34">
        <f>$G$3*H501</f>
        <v>132.28763799999999</v>
      </c>
      <c r="F501" t="str" cm="1">
        <f t="array" ref="F501">INDEX(_xlfn.TEXTSPLIT($J501,"/"),4)</f>
        <v>NE-Chiller-PumpCtrl-Full-Std</v>
      </c>
      <c r="G501">
        <f>$P501</f>
        <v>0.18993199999999999</v>
      </c>
      <c r="H501">
        <f>$G$4*G501</f>
        <v>188.98233999999999</v>
      </c>
      <c r="J501" t="s">
        <v>84</v>
      </c>
      <c r="K501" t="s">
        <v>25</v>
      </c>
      <c r="L501">
        <v>12747.37</v>
      </c>
      <c r="M501">
        <v>36391.519999999997</v>
      </c>
      <c r="P501">
        <v>0.18993199999999999</v>
      </c>
      <c r="Q501">
        <v>0</v>
      </c>
      <c r="R501">
        <v>2302710.56</v>
      </c>
      <c r="S501">
        <v>463682.79</v>
      </c>
      <c r="T501">
        <v>0</v>
      </c>
      <c r="U501">
        <v>831153.37</v>
      </c>
      <c r="V501">
        <v>0</v>
      </c>
      <c r="W501">
        <v>343092.47</v>
      </c>
      <c r="X501">
        <v>363200.67</v>
      </c>
      <c r="Y501">
        <v>336778.5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821250.33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85800.69</v>
      </c>
      <c r="AQ501">
        <v>0</v>
      </c>
      <c r="AR501">
        <v>0</v>
      </c>
      <c r="AS501">
        <v>3082045787.5496402</v>
      </c>
    </row>
    <row r="502" spans="2:45" x14ac:dyDescent="0.25">
      <c r="B502" s="15" t="str" cm="1">
        <f t="array" ref="B502">INDEX(_xlfn.TEXTSPLIT($J502,"/"),3)</f>
        <v>OfL&amp;0&amp;cPVVE&amp;Ex&amp;Chiller__PumpCtrl</v>
      </c>
      <c r="C502" s="15" t="str" cm="1">
        <f t="array" ref="C502">INDEX(_xlfn.TEXTSPLIT($J502,"/"),2)</f>
        <v>CZ16</v>
      </c>
      <c r="D502" s="34">
        <f>$G$3*H502</f>
        <v>120.68255499999999</v>
      </c>
      <c r="F502" t="str" cm="1">
        <f t="array" ref="F502">INDEX(_xlfn.TEXTSPLIT($J502,"/"),4)</f>
        <v>NE-Chiller-PumpCtrl-Full-Std</v>
      </c>
      <c r="G502">
        <f>$P502</f>
        <v>0.17327000000000001</v>
      </c>
      <c r="H502">
        <f>$G$4*G502</f>
        <v>172.40365</v>
      </c>
      <c r="J502" t="s">
        <v>69</v>
      </c>
      <c r="K502" t="s">
        <v>26</v>
      </c>
      <c r="L502">
        <v>11629.1</v>
      </c>
      <c r="M502">
        <v>33199.050000000003</v>
      </c>
      <c r="P502">
        <v>0.17327000000000001</v>
      </c>
      <c r="Q502">
        <v>0</v>
      </c>
      <c r="R502">
        <v>1180296.33</v>
      </c>
      <c r="S502">
        <v>463682.79</v>
      </c>
      <c r="T502">
        <v>0</v>
      </c>
      <c r="U502">
        <v>831153.37</v>
      </c>
      <c r="V502">
        <v>0</v>
      </c>
      <c r="W502">
        <v>342895.24</v>
      </c>
      <c r="X502">
        <v>294170.28999999998</v>
      </c>
      <c r="Y502">
        <v>205776.92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1106076.08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113905.1</v>
      </c>
      <c r="AQ502">
        <v>0</v>
      </c>
      <c r="AR502">
        <v>0</v>
      </c>
      <c r="AS502">
        <v>2292616083.85043</v>
      </c>
    </row>
    <row r="503" spans="2:45" x14ac:dyDescent="0.25">
      <c r="B503" s="15" t="str" cm="1">
        <f t="array" ref="B503">INDEX(_xlfn.TEXTSPLIT($J503,"/"),3)</f>
        <v>OfL&amp;0&amp;cPVVE&amp;New&amp;Chiller__PumpCtrl</v>
      </c>
      <c r="C503" s="15" t="str" cm="1">
        <f t="array" ref="C503">INDEX(_xlfn.TEXTSPLIT($J503,"/"),2)</f>
        <v>CZ01</v>
      </c>
      <c r="D503" s="34">
        <f>$G$3*H503</f>
        <v>62.852856499999994</v>
      </c>
      <c r="F503" t="str" cm="1">
        <f t="array" ref="F503">INDEX(_xlfn.TEXTSPLIT($J503,"/"),4)</f>
        <v>NE-Chiller-PumpCtrl-Full-Std</v>
      </c>
      <c r="G503">
        <f>$P503</f>
        <v>9.0241000000000002E-2</v>
      </c>
      <c r="H503">
        <f>$G$4*G503</f>
        <v>89.789794999999998</v>
      </c>
      <c r="J503" t="s">
        <v>564</v>
      </c>
      <c r="K503" t="s">
        <v>11</v>
      </c>
      <c r="L503">
        <v>6056.56</v>
      </c>
      <c r="M503">
        <v>17290.43</v>
      </c>
      <c r="P503">
        <v>9.0241000000000002E-2</v>
      </c>
      <c r="Q503">
        <v>0</v>
      </c>
      <c r="R503">
        <v>126585.04</v>
      </c>
      <c r="S503">
        <v>239542.44</v>
      </c>
      <c r="T503">
        <v>0</v>
      </c>
      <c r="U503">
        <v>831153.37</v>
      </c>
      <c r="V503">
        <v>0</v>
      </c>
      <c r="W503">
        <v>136081.10999999999</v>
      </c>
      <c r="X503">
        <v>98117.11</v>
      </c>
      <c r="Y503">
        <v>87465.78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323988.64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125996.54</v>
      </c>
      <c r="AQ503">
        <v>0</v>
      </c>
      <c r="AR503">
        <v>0</v>
      </c>
      <c r="AS503">
        <v>1123169177.9403701</v>
      </c>
    </row>
    <row r="504" spans="2:45" x14ac:dyDescent="0.25">
      <c r="B504" s="15" t="str" cm="1">
        <f t="array" ref="B504">INDEX(_xlfn.TEXTSPLIT($J504,"/"),3)</f>
        <v>OfL&amp;0&amp;cPVVE&amp;New&amp;Chiller__PumpCtrl</v>
      </c>
      <c r="C504" s="15" t="str" cm="1">
        <f t="array" ref="C504">INDEX(_xlfn.TEXTSPLIT($J504,"/"),2)</f>
        <v>CZ02</v>
      </c>
      <c r="D504" s="34">
        <f>$G$3*H504</f>
        <v>78.448187999999988</v>
      </c>
      <c r="F504" t="str" cm="1">
        <f t="array" ref="F504">INDEX(_xlfn.TEXTSPLIT($J504,"/"),4)</f>
        <v>NE-Chiller-PumpCtrl-Full-Std</v>
      </c>
      <c r="G504">
        <f>$P504</f>
        <v>0.112632</v>
      </c>
      <c r="H504">
        <f>$G$4*G504</f>
        <v>112.06883999999999</v>
      </c>
      <c r="J504" t="s">
        <v>548</v>
      </c>
      <c r="K504" t="s">
        <v>12</v>
      </c>
      <c r="L504">
        <v>7559.32</v>
      </c>
      <c r="M504">
        <v>21580.54</v>
      </c>
      <c r="P504">
        <v>0.112632</v>
      </c>
      <c r="Q504">
        <v>0</v>
      </c>
      <c r="R504">
        <v>597854.24</v>
      </c>
      <c r="S504">
        <v>239542.44</v>
      </c>
      <c r="T504">
        <v>0</v>
      </c>
      <c r="U504">
        <v>831153.37</v>
      </c>
      <c r="V504">
        <v>0</v>
      </c>
      <c r="W504">
        <v>185724.11</v>
      </c>
      <c r="X504">
        <v>170088.17</v>
      </c>
      <c r="Y504">
        <v>149629.39000000001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362517.84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115795.14</v>
      </c>
      <c r="AQ504">
        <v>0</v>
      </c>
      <c r="AR504">
        <v>0</v>
      </c>
      <c r="AS504">
        <v>1734026611.9686999</v>
      </c>
    </row>
    <row r="505" spans="2:45" x14ac:dyDescent="0.25">
      <c r="B505" s="15" t="str" cm="1">
        <f t="array" ref="B505">INDEX(_xlfn.TEXTSPLIT($J505,"/"),3)</f>
        <v>OfL&amp;0&amp;cPVVE&amp;New&amp;Chiller__PumpCtrl</v>
      </c>
      <c r="C505" s="15" t="str" cm="1">
        <f t="array" ref="C505">INDEX(_xlfn.TEXTSPLIT($J505,"/"),2)</f>
        <v>CZ03</v>
      </c>
      <c r="D505" s="34">
        <f>$G$3*H505</f>
        <v>74.407791499999988</v>
      </c>
      <c r="F505" t="str" cm="1">
        <f t="array" ref="F505">INDEX(_xlfn.TEXTSPLIT($J505,"/"),4)</f>
        <v>NE-Chiller-PumpCtrl-Full-Std</v>
      </c>
      <c r="G505">
        <f>$P505</f>
        <v>0.106831</v>
      </c>
      <c r="H505">
        <f>$G$4*G505</f>
        <v>106.29684499999999</v>
      </c>
      <c r="J505" t="s">
        <v>532</v>
      </c>
      <c r="K505" t="s">
        <v>13</v>
      </c>
      <c r="L505">
        <v>7170.02</v>
      </c>
      <c r="M505">
        <v>20469.16</v>
      </c>
      <c r="P505">
        <v>0.106831</v>
      </c>
      <c r="Q505">
        <v>0</v>
      </c>
      <c r="R505">
        <v>452065.65</v>
      </c>
      <c r="S505">
        <v>239542.44</v>
      </c>
      <c r="T505">
        <v>0</v>
      </c>
      <c r="U505">
        <v>831153.37</v>
      </c>
      <c r="V505">
        <v>0</v>
      </c>
      <c r="W505">
        <v>151697.17000000001</v>
      </c>
      <c r="X505">
        <v>173655.57</v>
      </c>
      <c r="Y505">
        <v>160228.87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218343.51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115355.4</v>
      </c>
      <c r="AQ505">
        <v>0</v>
      </c>
      <c r="AR505">
        <v>0</v>
      </c>
      <c r="AS505">
        <v>1558475626.5818801</v>
      </c>
    </row>
    <row r="506" spans="2:45" x14ac:dyDescent="0.25">
      <c r="B506" s="15" t="str" cm="1">
        <f t="array" ref="B506">INDEX(_xlfn.TEXTSPLIT($J506,"/"),3)</f>
        <v>OfL&amp;0&amp;cPVVE&amp;New&amp;Chiller__PumpCtrl</v>
      </c>
      <c r="C506" s="15" t="str" cm="1">
        <f t="array" ref="C506">INDEX(_xlfn.TEXTSPLIT($J506,"/"),2)</f>
        <v>CZ04</v>
      </c>
      <c r="D506" s="34">
        <f>$G$3*H506</f>
        <v>78.886983000000001</v>
      </c>
      <c r="F506" t="str" cm="1">
        <f t="array" ref="F506">INDEX(_xlfn.TEXTSPLIT($J506,"/"),4)</f>
        <v>NE-Chiller-PumpCtrl-Full-Std</v>
      </c>
      <c r="G506">
        <f>$P506</f>
        <v>0.113262</v>
      </c>
      <c r="H506">
        <f>$G$4*G506</f>
        <v>112.69569</v>
      </c>
      <c r="J506" t="s">
        <v>516</v>
      </c>
      <c r="K506" t="s">
        <v>14</v>
      </c>
      <c r="L506">
        <v>7601.6</v>
      </c>
      <c r="M506">
        <v>21701.23</v>
      </c>
      <c r="P506">
        <v>0.113262</v>
      </c>
      <c r="Q506">
        <v>0</v>
      </c>
      <c r="R506">
        <v>675578.36</v>
      </c>
      <c r="S506">
        <v>239542.44</v>
      </c>
      <c r="T506">
        <v>0</v>
      </c>
      <c r="U506">
        <v>831153.37</v>
      </c>
      <c r="V506">
        <v>0</v>
      </c>
      <c r="W506">
        <v>192452.04</v>
      </c>
      <c r="X506">
        <v>186021.87</v>
      </c>
      <c r="Y506">
        <v>172062.87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286274.55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111398.72</v>
      </c>
      <c r="AQ506">
        <v>0</v>
      </c>
      <c r="AR506">
        <v>0</v>
      </c>
      <c r="AS506">
        <v>1743661569.73316</v>
      </c>
    </row>
    <row r="507" spans="2:45" x14ac:dyDescent="0.25">
      <c r="B507" s="15" t="str" cm="1">
        <f t="array" ref="B507">INDEX(_xlfn.TEXTSPLIT($J507,"/"),3)</f>
        <v>OfL&amp;0&amp;cPVVE&amp;New&amp;Chiller__PumpCtrl</v>
      </c>
      <c r="C507" s="15" t="str" cm="1">
        <f t="array" ref="C507">INDEX(_xlfn.TEXTSPLIT($J507,"/"),2)</f>
        <v>CZ05</v>
      </c>
      <c r="D507" s="34">
        <f>$G$3*H507</f>
        <v>70.519231999999988</v>
      </c>
      <c r="F507" t="str" cm="1">
        <f t="array" ref="F507">INDEX(_xlfn.TEXTSPLIT($J507,"/"),4)</f>
        <v>NE-Chiller-PumpCtrl-Full-Std</v>
      </c>
      <c r="G507">
        <f>$P507</f>
        <v>0.101248</v>
      </c>
      <c r="H507">
        <f>$G$4*G507</f>
        <v>100.74176</v>
      </c>
      <c r="J507" t="s">
        <v>500</v>
      </c>
      <c r="K507" t="s">
        <v>15</v>
      </c>
      <c r="L507">
        <v>6795.27</v>
      </c>
      <c r="M507">
        <v>19399.3</v>
      </c>
      <c r="P507">
        <v>0.101248</v>
      </c>
      <c r="Q507">
        <v>0</v>
      </c>
      <c r="R507">
        <v>474923.22</v>
      </c>
      <c r="S507">
        <v>239542.44</v>
      </c>
      <c r="T507">
        <v>0</v>
      </c>
      <c r="U507">
        <v>831153.37</v>
      </c>
      <c r="V507">
        <v>0</v>
      </c>
      <c r="W507">
        <v>168684.84</v>
      </c>
      <c r="X507">
        <v>164511.45000000001</v>
      </c>
      <c r="Y507">
        <v>149063.5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208152.64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115370.66</v>
      </c>
      <c r="AQ507">
        <v>0</v>
      </c>
      <c r="AR507">
        <v>0</v>
      </c>
      <c r="AS507">
        <v>1234305767.03479</v>
      </c>
    </row>
    <row r="508" spans="2:45" x14ac:dyDescent="0.25">
      <c r="B508" s="15" t="str" cm="1">
        <f t="array" ref="B508">INDEX(_xlfn.TEXTSPLIT($J508,"/"),3)</f>
        <v>OfL&amp;0&amp;cPVVE&amp;New&amp;Chiller__PumpCtrl</v>
      </c>
      <c r="C508" s="15" t="str" cm="1">
        <f t="array" ref="C508">INDEX(_xlfn.TEXTSPLIT($J508,"/"),2)</f>
        <v>CZ06</v>
      </c>
      <c r="D508" s="34">
        <f>$G$3*H508</f>
        <v>73.03707949999999</v>
      </c>
      <c r="F508" t="str" cm="1">
        <f t="array" ref="F508">INDEX(_xlfn.TEXTSPLIT($J508,"/"),4)</f>
        <v>NE-Chiller-PumpCtrl-Full-Std</v>
      </c>
      <c r="G508">
        <f>$P508</f>
        <v>0.104863</v>
      </c>
      <c r="H508">
        <f>$G$4*G508</f>
        <v>104.338685</v>
      </c>
      <c r="J508" t="s">
        <v>484</v>
      </c>
      <c r="K508" t="s">
        <v>16</v>
      </c>
      <c r="L508">
        <v>7037.89</v>
      </c>
      <c r="M508">
        <v>20091.939999999999</v>
      </c>
      <c r="P508">
        <v>0.104863</v>
      </c>
      <c r="Q508">
        <v>0</v>
      </c>
      <c r="R508">
        <v>837165.62</v>
      </c>
      <c r="S508">
        <v>239542.44</v>
      </c>
      <c r="T508">
        <v>0</v>
      </c>
      <c r="U508">
        <v>831153.37</v>
      </c>
      <c r="V508">
        <v>0</v>
      </c>
      <c r="W508">
        <v>206892.02</v>
      </c>
      <c r="X508">
        <v>208406.61</v>
      </c>
      <c r="Y508">
        <v>195611.11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136806.84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106288.95</v>
      </c>
      <c r="AQ508">
        <v>0</v>
      </c>
      <c r="AR508">
        <v>0</v>
      </c>
      <c r="AS508">
        <v>1152084489.9514999</v>
      </c>
    </row>
    <row r="509" spans="2:45" x14ac:dyDescent="0.25">
      <c r="B509" s="15" t="str" cm="1">
        <f t="array" ref="B509">INDEX(_xlfn.TEXTSPLIT($J509,"/"),3)</f>
        <v>OfL&amp;0&amp;cPVVE&amp;New&amp;Chiller__PumpCtrl</v>
      </c>
      <c r="C509" s="15" t="str" cm="1">
        <f t="array" ref="C509">INDEX(_xlfn.TEXTSPLIT($J509,"/"),2)</f>
        <v>CZ07</v>
      </c>
      <c r="D509" s="34">
        <f>$G$3*H509</f>
        <v>74.641118999999989</v>
      </c>
      <c r="F509" t="str" cm="1">
        <f t="array" ref="F509">INDEX(_xlfn.TEXTSPLIT($J509,"/"),4)</f>
        <v>NE-Chiller-PumpCtrl-Full-Std</v>
      </c>
      <c r="G509">
        <f>$P509</f>
        <v>0.107166</v>
      </c>
      <c r="H509">
        <f>$G$4*G509</f>
        <v>106.63016999999999</v>
      </c>
      <c r="J509" t="s">
        <v>468</v>
      </c>
      <c r="K509" t="s">
        <v>17</v>
      </c>
      <c r="L509">
        <v>7192.46</v>
      </c>
      <c r="M509">
        <v>20533.21</v>
      </c>
      <c r="P509">
        <v>0.107166</v>
      </c>
      <c r="Q509">
        <v>0</v>
      </c>
      <c r="R509">
        <v>964139.01</v>
      </c>
      <c r="S509">
        <v>239542.44</v>
      </c>
      <c r="T509">
        <v>0</v>
      </c>
      <c r="U509">
        <v>831153.37</v>
      </c>
      <c r="V509">
        <v>0</v>
      </c>
      <c r="W509">
        <v>236488.32000000001</v>
      </c>
      <c r="X509">
        <v>214087.69</v>
      </c>
      <c r="Y509">
        <v>201182.75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225974.71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104964.44</v>
      </c>
      <c r="AQ509">
        <v>0</v>
      </c>
      <c r="AR509">
        <v>0</v>
      </c>
      <c r="AS509">
        <v>1337403005.43839</v>
      </c>
    </row>
    <row r="510" spans="2:45" x14ac:dyDescent="0.25">
      <c r="B510" s="15" t="str" cm="1">
        <f t="array" ref="B510">INDEX(_xlfn.TEXTSPLIT($J510,"/"),3)</f>
        <v>OfL&amp;0&amp;cPVVE&amp;New&amp;Chiller__PumpCtrl</v>
      </c>
      <c r="C510" s="15" t="str" cm="1">
        <f t="array" ref="C510">INDEX(_xlfn.TEXTSPLIT($J510,"/"),2)</f>
        <v>CZ08</v>
      </c>
      <c r="D510" s="34">
        <f>$G$3*H510</f>
        <v>79.293738999999988</v>
      </c>
      <c r="F510" t="str" cm="1">
        <f t="array" ref="F510">INDEX(_xlfn.TEXTSPLIT($J510,"/"),4)</f>
        <v>NE-Chiller-PumpCtrl-Full-Std</v>
      </c>
      <c r="G510">
        <f>$P510</f>
        <v>0.113846</v>
      </c>
      <c r="H510">
        <f>$G$4*G510</f>
        <v>113.27677</v>
      </c>
      <c r="J510" t="s">
        <v>452</v>
      </c>
      <c r="K510" t="s">
        <v>18</v>
      </c>
      <c r="L510">
        <v>7640.79</v>
      </c>
      <c r="M510">
        <v>21813.13</v>
      </c>
      <c r="P510">
        <v>0.113846</v>
      </c>
      <c r="Q510">
        <v>0</v>
      </c>
      <c r="R510">
        <v>980906.43</v>
      </c>
      <c r="S510">
        <v>239542.44</v>
      </c>
      <c r="T510">
        <v>0</v>
      </c>
      <c r="U510">
        <v>831153.37</v>
      </c>
      <c r="V510">
        <v>0</v>
      </c>
      <c r="W510">
        <v>227793.4</v>
      </c>
      <c r="X510">
        <v>217872.89</v>
      </c>
      <c r="Y510">
        <v>204035.51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260355.94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104777.96</v>
      </c>
      <c r="AQ510">
        <v>0</v>
      </c>
      <c r="AR510">
        <v>0</v>
      </c>
      <c r="AS510">
        <v>1301586438.2641599</v>
      </c>
    </row>
    <row r="511" spans="2:45" x14ac:dyDescent="0.25">
      <c r="B511" s="15" t="str" cm="1">
        <f t="array" ref="B511">INDEX(_xlfn.TEXTSPLIT($J511,"/"),3)</f>
        <v>OfL&amp;0&amp;cPVVE&amp;New&amp;Chiller__PumpCtrl</v>
      </c>
      <c r="C511" s="15" t="str" cm="1">
        <f t="array" ref="C511">INDEX(_xlfn.TEXTSPLIT($J511,"/"),2)</f>
        <v>CZ09</v>
      </c>
      <c r="D511" s="34">
        <f>$G$3*H511</f>
        <v>77.879843999999991</v>
      </c>
      <c r="F511" t="str" cm="1">
        <f t="array" ref="F511">INDEX(_xlfn.TEXTSPLIT($J511,"/"),4)</f>
        <v>NE-Chiller-PumpCtrl-Full-Std</v>
      </c>
      <c r="G511">
        <f>$P511</f>
        <v>0.111816</v>
      </c>
      <c r="H511">
        <f>$G$4*G511</f>
        <v>111.25691999999999</v>
      </c>
      <c r="J511" t="s">
        <v>436</v>
      </c>
      <c r="K511" t="s">
        <v>19</v>
      </c>
      <c r="L511">
        <v>7504.57</v>
      </c>
      <c r="M511">
        <v>21424.240000000002</v>
      </c>
      <c r="P511">
        <v>0.111816</v>
      </c>
      <c r="Q511">
        <v>0</v>
      </c>
      <c r="R511">
        <v>1023789.26</v>
      </c>
      <c r="S511">
        <v>239542.44</v>
      </c>
      <c r="T511">
        <v>0</v>
      </c>
      <c r="U511">
        <v>831153.37</v>
      </c>
      <c r="V511">
        <v>0</v>
      </c>
      <c r="W511">
        <v>243508.33</v>
      </c>
      <c r="X511">
        <v>217026.52</v>
      </c>
      <c r="Y511">
        <v>203602.75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295427.44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103344.63</v>
      </c>
      <c r="AQ511">
        <v>0</v>
      </c>
      <c r="AR511">
        <v>0</v>
      </c>
      <c r="AS511">
        <v>1334160494.39009</v>
      </c>
    </row>
    <row r="512" spans="2:45" x14ac:dyDescent="0.25">
      <c r="B512" s="15" t="str" cm="1">
        <f t="array" ref="B512">INDEX(_xlfn.TEXTSPLIT($J512,"/"),3)</f>
        <v>OfL&amp;0&amp;cPVVE&amp;New&amp;Chiller__PumpCtrl</v>
      </c>
      <c r="C512" s="15" t="str" cm="1">
        <f t="array" ref="C512">INDEX(_xlfn.TEXTSPLIT($J512,"/"),2)</f>
        <v>CZ10</v>
      </c>
      <c r="D512" s="34">
        <f>$G$3*H512</f>
        <v>86.585397499999985</v>
      </c>
      <c r="F512" t="str" cm="1">
        <f t="array" ref="F512">INDEX(_xlfn.TEXTSPLIT($J512,"/"),4)</f>
        <v>NE-Chiller-PumpCtrl-Full-Std</v>
      </c>
      <c r="G512">
        <f>$P512</f>
        <v>0.12431499999999999</v>
      </c>
      <c r="H512">
        <f>$G$4*G512</f>
        <v>123.69342499999999</v>
      </c>
      <c r="J512" t="s">
        <v>420</v>
      </c>
      <c r="K512" t="s">
        <v>20</v>
      </c>
      <c r="L512">
        <v>8343.4500000000007</v>
      </c>
      <c r="M512">
        <v>23819.1</v>
      </c>
      <c r="P512">
        <v>0.12431499999999999</v>
      </c>
      <c r="Q512">
        <v>0</v>
      </c>
      <c r="R512">
        <v>1097823.1200000001</v>
      </c>
      <c r="S512">
        <v>239542.44</v>
      </c>
      <c r="T512">
        <v>0</v>
      </c>
      <c r="U512">
        <v>831153.37</v>
      </c>
      <c r="V512">
        <v>0</v>
      </c>
      <c r="W512">
        <v>252230.25</v>
      </c>
      <c r="X512">
        <v>222508.03</v>
      </c>
      <c r="Y512">
        <v>203173.6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421774.09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102504.31</v>
      </c>
      <c r="AQ512">
        <v>0</v>
      </c>
      <c r="AR512">
        <v>0</v>
      </c>
      <c r="AS512">
        <v>1982707080.3147299</v>
      </c>
    </row>
    <row r="513" spans="2:45" x14ac:dyDescent="0.25">
      <c r="B513" s="15" t="str" cm="1">
        <f t="array" ref="B513">INDEX(_xlfn.TEXTSPLIT($J513,"/"),3)</f>
        <v>OfL&amp;0&amp;cPVVE&amp;New&amp;Chiller__PumpCtrl</v>
      </c>
      <c r="C513" s="15" t="str" cm="1">
        <f t="array" ref="C513">INDEX(_xlfn.TEXTSPLIT($J513,"/"),2)</f>
        <v>CZ11</v>
      </c>
      <c r="D513" s="34">
        <f>$G$3*H513</f>
        <v>86.118742499999996</v>
      </c>
      <c r="F513" t="str" cm="1">
        <f t="array" ref="F513">INDEX(_xlfn.TEXTSPLIT($J513,"/"),4)</f>
        <v>NE-Chiller-PumpCtrl-Full-Std</v>
      </c>
      <c r="G513">
        <f>$P513</f>
        <v>0.123645</v>
      </c>
      <c r="H513">
        <f>$G$4*G513</f>
        <v>123.026775</v>
      </c>
      <c r="J513" t="s">
        <v>406</v>
      </c>
      <c r="K513" t="s">
        <v>21</v>
      </c>
      <c r="L513">
        <v>8298.44</v>
      </c>
      <c r="M513">
        <v>23690.61</v>
      </c>
      <c r="P513">
        <v>0.123645</v>
      </c>
      <c r="Q513">
        <v>0</v>
      </c>
      <c r="R513">
        <v>971908.7</v>
      </c>
      <c r="S513">
        <v>239542.44</v>
      </c>
      <c r="T513">
        <v>0</v>
      </c>
      <c r="U513">
        <v>831153.37</v>
      </c>
      <c r="V513">
        <v>0</v>
      </c>
      <c r="W513">
        <v>237669.45</v>
      </c>
      <c r="X513">
        <v>195888.14</v>
      </c>
      <c r="Y513">
        <v>176016.44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537685.06999999995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104832.92</v>
      </c>
      <c r="AQ513">
        <v>0</v>
      </c>
      <c r="AR513">
        <v>0</v>
      </c>
      <c r="AS513">
        <v>1971559776.53671</v>
      </c>
    </row>
    <row r="514" spans="2:45" x14ac:dyDescent="0.25">
      <c r="B514" s="15" t="str" cm="1">
        <f t="array" ref="B514">INDEX(_xlfn.TEXTSPLIT($J514,"/"),3)</f>
        <v>OfL&amp;0&amp;cPVVE&amp;New&amp;Chiller__PumpCtrl</v>
      </c>
      <c r="C514" s="15" t="str" cm="1">
        <f t="array" ref="C514">INDEX(_xlfn.TEXTSPLIT($J514,"/"),2)</f>
        <v>CZ12</v>
      </c>
      <c r="D514" s="34">
        <f>$G$3*H514</f>
        <v>84.731314499999996</v>
      </c>
      <c r="F514" t="str" cm="1">
        <f t="array" ref="F514">INDEX(_xlfn.TEXTSPLIT($J514,"/"),4)</f>
        <v>NE-Chiller-PumpCtrl-Full-Std</v>
      </c>
      <c r="G514">
        <f>$P514</f>
        <v>0.121653</v>
      </c>
      <c r="H514">
        <f>$G$4*G514</f>
        <v>121.044735</v>
      </c>
      <c r="J514" t="s">
        <v>387</v>
      </c>
      <c r="K514" t="s">
        <v>22</v>
      </c>
      <c r="L514">
        <v>8164.81</v>
      </c>
      <c r="M514">
        <v>23309.11</v>
      </c>
      <c r="P514">
        <v>0.121653</v>
      </c>
      <c r="Q514">
        <v>0</v>
      </c>
      <c r="R514">
        <v>909857.49</v>
      </c>
      <c r="S514">
        <v>239542.44</v>
      </c>
      <c r="T514">
        <v>0</v>
      </c>
      <c r="U514">
        <v>831153.37</v>
      </c>
      <c r="V514">
        <v>0</v>
      </c>
      <c r="W514">
        <v>228829.44</v>
      </c>
      <c r="X514">
        <v>195805.4</v>
      </c>
      <c r="Y514">
        <v>174782.68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458031.78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107757.32</v>
      </c>
      <c r="AQ514">
        <v>0</v>
      </c>
      <c r="AR514">
        <v>0</v>
      </c>
      <c r="AS514">
        <v>1991423602.1909201</v>
      </c>
    </row>
    <row r="515" spans="2:45" x14ac:dyDescent="0.25">
      <c r="B515" s="15" t="str" cm="1">
        <f t="array" ref="B515">INDEX(_xlfn.TEXTSPLIT($J515,"/"),3)</f>
        <v>OfL&amp;0&amp;cPVVE&amp;New&amp;Chiller__PumpCtrl</v>
      </c>
      <c r="C515" s="15" t="str" cm="1">
        <f t="array" ref="C515">INDEX(_xlfn.TEXTSPLIT($J515,"/"),2)</f>
        <v>CZ13</v>
      </c>
      <c r="D515" s="34">
        <f>$G$3*H515</f>
        <v>87.121702499999998</v>
      </c>
      <c r="F515" t="str" cm="1">
        <f t="array" ref="F515">INDEX(_xlfn.TEXTSPLIT($J515,"/"),4)</f>
        <v>NE-Chiller-PumpCtrl-Full-Std</v>
      </c>
      <c r="G515">
        <f>$P515</f>
        <v>0.125085</v>
      </c>
      <c r="H515">
        <f>$G$4*G515</f>
        <v>124.459575</v>
      </c>
      <c r="J515" t="s">
        <v>372</v>
      </c>
      <c r="K515" t="s">
        <v>23</v>
      </c>
      <c r="L515">
        <v>8395.1</v>
      </c>
      <c r="M515">
        <v>23966.55</v>
      </c>
      <c r="P515">
        <v>0.125085</v>
      </c>
      <c r="Q515">
        <v>0</v>
      </c>
      <c r="R515">
        <v>1082352.31</v>
      </c>
      <c r="S515">
        <v>239542.44</v>
      </c>
      <c r="T515">
        <v>0</v>
      </c>
      <c r="U515">
        <v>831153.37</v>
      </c>
      <c r="V515">
        <v>0</v>
      </c>
      <c r="W515">
        <v>246869.27</v>
      </c>
      <c r="X515">
        <v>204096.18</v>
      </c>
      <c r="Y515">
        <v>186194.9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483076.83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101799.69</v>
      </c>
      <c r="AQ515">
        <v>0</v>
      </c>
      <c r="AR515">
        <v>0</v>
      </c>
      <c r="AS515">
        <v>2097916723.2739301</v>
      </c>
    </row>
    <row r="516" spans="2:45" x14ac:dyDescent="0.25">
      <c r="B516" s="15" t="str" cm="1">
        <f t="array" ref="B516">INDEX(_xlfn.TEXTSPLIT($J516,"/"),3)</f>
        <v>OfL&amp;0&amp;cPVVE&amp;New&amp;Chiller__PumpCtrl</v>
      </c>
      <c r="C516" s="15" t="str" cm="1">
        <f t="array" ref="C516">INDEX(_xlfn.TEXTSPLIT($J516,"/"),2)</f>
        <v>CZ14</v>
      </c>
      <c r="D516" s="34">
        <f>$G$3*H516</f>
        <v>88.632411000000005</v>
      </c>
      <c r="F516" t="str" cm="1">
        <f t="array" ref="F516">INDEX(_xlfn.TEXTSPLIT($J516,"/"),4)</f>
        <v>NE-Chiller-PumpCtrl-Full-Std</v>
      </c>
      <c r="G516">
        <f>$P516</f>
        <v>0.12725400000000001</v>
      </c>
      <c r="H516">
        <f>$G$4*G516</f>
        <v>126.61773000000001</v>
      </c>
      <c r="J516" t="s">
        <v>356</v>
      </c>
      <c r="K516" t="s">
        <v>24</v>
      </c>
      <c r="L516">
        <v>8540.68</v>
      </c>
      <c r="M516">
        <v>24382.16</v>
      </c>
      <c r="P516">
        <v>0.12725400000000001</v>
      </c>
      <c r="Q516">
        <v>0</v>
      </c>
      <c r="R516">
        <v>1116393.99</v>
      </c>
      <c r="S516">
        <v>239542.44</v>
      </c>
      <c r="T516">
        <v>0</v>
      </c>
      <c r="U516">
        <v>831153.37</v>
      </c>
      <c r="V516">
        <v>0</v>
      </c>
      <c r="W516">
        <v>274347.33</v>
      </c>
      <c r="X516">
        <v>219618.24</v>
      </c>
      <c r="Y516">
        <v>196257.99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527010.09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96576.08</v>
      </c>
      <c r="AQ516">
        <v>0</v>
      </c>
      <c r="AR516">
        <v>0</v>
      </c>
      <c r="AS516">
        <v>2001485280.69718</v>
      </c>
    </row>
    <row r="517" spans="2:45" x14ac:dyDescent="0.25">
      <c r="B517" s="15" t="str" cm="1">
        <f t="array" ref="B517">INDEX(_xlfn.TEXTSPLIT($J517,"/"),3)</f>
        <v>OfL&amp;0&amp;cPVVE&amp;New&amp;Chiller__PumpCtrl</v>
      </c>
      <c r="C517" s="15" t="str" cm="1">
        <f t="array" ref="C517">INDEX(_xlfn.TEXTSPLIT($J517,"/"),2)</f>
        <v>CZ15</v>
      </c>
      <c r="D517" s="34">
        <f>$G$3*H517</f>
        <v>91.545173999999989</v>
      </c>
      <c r="F517" t="str" cm="1">
        <f t="array" ref="F517">INDEX(_xlfn.TEXTSPLIT($J517,"/"),4)</f>
        <v>NE-Chiller-PumpCtrl-Full-Std</v>
      </c>
      <c r="G517">
        <f>$P517</f>
        <v>0.131436</v>
      </c>
      <c r="H517">
        <f>$G$4*G517</f>
        <v>130.77882</v>
      </c>
      <c r="J517" t="s">
        <v>339</v>
      </c>
      <c r="K517" t="s">
        <v>25</v>
      </c>
      <c r="L517">
        <v>8821.4</v>
      </c>
      <c r="M517">
        <v>25183.55</v>
      </c>
      <c r="P517">
        <v>0.131436</v>
      </c>
      <c r="Q517">
        <v>0</v>
      </c>
      <c r="R517">
        <v>1590061.86</v>
      </c>
      <c r="S517">
        <v>239542.44</v>
      </c>
      <c r="T517">
        <v>0</v>
      </c>
      <c r="U517">
        <v>831153.37</v>
      </c>
      <c r="V517">
        <v>0</v>
      </c>
      <c r="W517">
        <v>300747.93</v>
      </c>
      <c r="X517">
        <v>252888.16</v>
      </c>
      <c r="Y517">
        <v>234195.13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573458.73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85791.48</v>
      </c>
      <c r="AQ517">
        <v>0</v>
      </c>
      <c r="AR517">
        <v>0</v>
      </c>
      <c r="AS517">
        <v>2181159678.1631699</v>
      </c>
    </row>
    <row r="518" spans="2:45" x14ac:dyDescent="0.25">
      <c r="B518" s="15" t="str" cm="1">
        <f t="array" ref="B518">INDEX(_xlfn.TEXTSPLIT($J518,"/"),3)</f>
        <v>OfL&amp;0&amp;cPVVE&amp;New&amp;Chiller__PumpCtrl</v>
      </c>
      <c r="C518" s="15" t="str" cm="1">
        <f t="array" ref="C518">INDEX(_xlfn.TEXTSPLIT($J518,"/"),2)</f>
        <v>CZ16</v>
      </c>
      <c r="D518" s="34">
        <f>$G$3*H518</f>
        <v>81.723827499999985</v>
      </c>
      <c r="F518" t="str" cm="1">
        <f t="array" ref="F518">INDEX(_xlfn.TEXTSPLIT($J518,"/"),4)</f>
        <v>NE-Chiller-PumpCtrl-Full-Std</v>
      </c>
      <c r="G518">
        <f>$P518</f>
        <v>0.11733499999999999</v>
      </c>
      <c r="H518">
        <f>$G$4*G518</f>
        <v>116.74832499999999</v>
      </c>
      <c r="J518" t="s">
        <v>324</v>
      </c>
      <c r="K518" t="s">
        <v>26</v>
      </c>
      <c r="L518">
        <v>7874.99</v>
      </c>
      <c r="M518">
        <v>22481.73</v>
      </c>
      <c r="P518">
        <v>0.11733499999999999</v>
      </c>
      <c r="Q518">
        <v>0</v>
      </c>
      <c r="R518">
        <v>805347.41</v>
      </c>
      <c r="S518">
        <v>239542.44</v>
      </c>
      <c r="T518">
        <v>0</v>
      </c>
      <c r="U518">
        <v>831153.37</v>
      </c>
      <c r="V518">
        <v>0</v>
      </c>
      <c r="W518">
        <v>289853.27</v>
      </c>
      <c r="X518">
        <v>197835.26</v>
      </c>
      <c r="Y518">
        <v>141716.65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715529.92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113887.82</v>
      </c>
      <c r="AQ518">
        <v>0</v>
      </c>
      <c r="AR518">
        <v>0</v>
      </c>
      <c r="AS518">
        <v>1614638558.0457201</v>
      </c>
    </row>
    <row r="519" spans="2:45" x14ac:dyDescent="0.25">
      <c r="B519" s="15" t="str" cm="1">
        <f t="array" ref="B519">INDEX(_xlfn.TEXTSPLIT($J519,"/"),3)</f>
        <v>OfS&amp;0&amp;cPVVE&amp;Ex&amp;Chiller__PumpCtrl</v>
      </c>
      <c r="C519" s="15" t="str" cm="1">
        <f t="array" ref="C519">INDEX(_xlfn.TEXTSPLIT($J519,"/"),2)</f>
        <v>CZ01</v>
      </c>
      <c r="D519" s="34">
        <f>$G$3*H519</f>
        <v>7.2491720000000006</v>
      </c>
      <c r="F519" t="str" cm="1">
        <f t="array" ref="F519">INDEX(_xlfn.TEXTSPLIT($J519,"/"),4)</f>
        <v>NE-Chiller-PumpCtrl-Full-Std</v>
      </c>
      <c r="G519">
        <f>$P519</f>
        <v>1.0408000000000001E-2</v>
      </c>
      <c r="H519">
        <f>$G$4*G519</f>
        <v>10.355960000000001</v>
      </c>
      <c r="J519" t="s">
        <v>306</v>
      </c>
      <c r="K519" t="s">
        <v>11</v>
      </c>
      <c r="L519">
        <v>698.55</v>
      </c>
      <c r="M519">
        <v>1994.24</v>
      </c>
      <c r="P519">
        <v>1.0408000000000001E-2</v>
      </c>
      <c r="Q519">
        <v>0</v>
      </c>
      <c r="R519">
        <v>6259.67</v>
      </c>
      <c r="S519">
        <v>23792.959999999999</v>
      </c>
      <c r="T519">
        <v>0</v>
      </c>
      <c r="U519">
        <v>29466.65</v>
      </c>
      <c r="V519">
        <v>0</v>
      </c>
      <c r="W519">
        <v>92403.61</v>
      </c>
      <c r="X519">
        <v>8071.77</v>
      </c>
      <c r="Y519">
        <v>6207.59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7941.68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5049.1000000000004</v>
      </c>
      <c r="AQ519">
        <v>0</v>
      </c>
      <c r="AR519">
        <v>0</v>
      </c>
      <c r="AS519">
        <v>92963779.949434102</v>
      </c>
    </row>
    <row r="520" spans="2:45" x14ac:dyDescent="0.25">
      <c r="B520" s="15" t="str" cm="1">
        <f t="array" ref="B520">INDEX(_xlfn.TEXTSPLIT($J520,"/"),3)</f>
        <v>OfS&amp;0&amp;cPVVE&amp;Ex&amp;Chiller__PumpCtrl</v>
      </c>
      <c r="C520" s="15" t="str" cm="1">
        <f t="array" ref="C520">INDEX(_xlfn.TEXTSPLIT($J520,"/"),2)</f>
        <v>CZ02</v>
      </c>
      <c r="D520" s="34">
        <f>$G$3*H520</f>
        <v>9.0266399999999987</v>
      </c>
      <c r="F520" t="str" cm="1">
        <f t="array" ref="F520">INDEX(_xlfn.TEXTSPLIT($J520,"/"),4)</f>
        <v>NE-Chiller-PumpCtrl-Full-Std</v>
      </c>
      <c r="G520">
        <f>$P520</f>
        <v>1.2959999999999999E-2</v>
      </c>
      <c r="H520">
        <f>$G$4*G520</f>
        <v>12.895199999999999</v>
      </c>
      <c r="J520" t="s">
        <v>290</v>
      </c>
      <c r="K520" t="s">
        <v>12</v>
      </c>
      <c r="L520">
        <v>869.82</v>
      </c>
      <c r="M520">
        <v>2483.19</v>
      </c>
      <c r="P520">
        <v>1.2959999999999999E-2</v>
      </c>
      <c r="Q520">
        <v>0</v>
      </c>
      <c r="R520">
        <v>40046.89</v>
      </c>
      <c r="S520">
        <v>23792.959999999999</v>
      </c>
      <c r="T520">
        <v>0</v>
      </c>
      <c r="U520">
        <v>29466.65</v>
      </c>
      <c r="V520">
        <v>0</v>
      </c>
      <c r="W520">
        <v>112118.59</v>
      </c>
      <c r="X520">
        <v>13086.01</v>
      </c>
      <c r="Y520">
        <v>10021.84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4096.0200000000004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4688.12</v>
      </c>
      <c r="AQ520">
        <v>0</v>
      </c>
      <c r="AR520">
        <v>0</v>
      </c>
      <c r="AS520">
        <v>208097946.56948799</v>
      </c>
    </row>
    <row r="521" spans="2:45" x14ac:dyDescent="0.25">
      <c r="B521" s="15" t="str" cm="1">
        <f t="array" ref="B521">INDEX(_xlfn.TEXTSPLIT($J521,"/"),3)</f>
        <v>OfS&amp;0&amp;cPVVE&amp;Ex&amp;Chiller__PumpCtrl</v>
      </c>
      <c r="C521" s="15" t="str" cm="1">
        <f t="array" ref="C521">INDEX(_xlfn.TEXTSPLIT($J521,"/"),2)</f>
        <v>CZ03</v>
      </c>
      <c r="D521" s="34">
        <f>$G$3*H521</f>
        <v>8.6707284999999992</v>
      </c>
      <c r="F521" t="str" cm="1">
        <f t="array" ref="F521">INDEX(_xlfn.TEXTSPLIT($J521,"/"),4)</f>
        <v>NE-Chiller-PumpCtrl-Full-Std</v>
      </c>
      <c r="G521">
        <f>$P521</f>
        <v>1.2449E-2</v>
      </c>
      <c r="H521">
        <f>$G$4*G521</f>
        <v>12.386755000000001</v>
      </c>
      <c r="J521" t="s">
        <v>274</v>
      </c>
      <c r="K521" t="s">
        <v>13</v>
      </c>
      <c r="L521">
        <v>835.53</v>
      </c>
      <c r="M521">
        <v>2385.29</v>
      </c>
      <c r="P521">
        <v>1.2449E-2</v>
      </c>
      <c r="Q521">
        <v>0</v>
      </c>
      <c r="R521">
        <v>21098.85</v>
      </c>
      <c r="S521">
        <v>23792.959999999999</v>
      </c>
      <c r="T521">
        <v>0</v>
      </c>
      <c r="U521">
        <v>29466.65</v>
      </c>
      <c r="V521">
        <v>0</v>
      </c>
      <c r="W521">
        <v>108007.51</v>
      </c>
      <c r="X521">
        <v>11723.88</v>
      </c>
      <c r="Y521">
        <v>9263.1200000000008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2134.87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4672.57</v>
      </c>
      <c r="AQ521">
        <v>0</v>
      </c>
      <c r="AR521">
        <v>0</v>
      </c>
      <c r="AS521">
        <v>175736996.413129</v>
      </c>
    </row>
    <row r="522" spans="2:45" x14ac:dyDescent="0.25">
      <c r="B522" s="15" t="str" cm="1">
        <f t="array" ref="B522">INDEX(_xlfn.TEXTSPLIT($J522,"/"),3)</f>
        <v>OfS&amp;0&amp;cPVVE&amp;Ex&amp;Chiller__PumpCtrl</v>
      </c>
      <c r="C522" s="15" t="str" cm="1">
        <f t="array" ref="C522">INDEX(_xlfn.TEXTSPLIT($J522,"/"),2)</f>
        <v>CZ04</v>
      </c>
      <c r="D522" s="34">
        <f>$G$3*H522</f>
        <v>9.1443484999999995</v>
      </c>
      <c r="F522" t="str" cm="1">
        <f t="array" ref="F522">INDEX(_xlfn.TEXTSPLIT($J522,"/"),4)</f>
        <v>NE-Chiller-PumpCtrl-Full-Std</v>
      </c>
      <c r="G522">
        <f>$P522</f>
        <v>1.3129E-2</v>
      </c>
      <c r="H522">
        <f>$G$4*G522</f>
        <v>13.063355</v>
      </c>
      <c r="J522" t="s">
        <v>259</v>
      </c>
      <c r="K522" t="s">
        <v>14</v>
      </c>
      <c r="L522">
        <v>881.16</v>
      </c>
      <c r="M522">
        <v>2515.5500000000002</v>
      </c>
      <c r="P522">
        <v>1.3129E-2</v>
      </c>
      <c r="Q522">
        <v>0</v>
      </c>
      <c r="R522">
        <v>46515.39</v>
      </c>
      <c r="S522">
        <v>23792.959999999999</v>
      </c>
      <c r="T522">
        <v>0</v>
      </c>
      <c r="U522">
        <v>29466.65</v>
      </c>
      <c r="V522">
        <v>0</v>
      </c>
      <c r="W522">
        <v>114175.89</v>
      </c>
      <c r="X522">
        <v>14056.51</v>
      </c>
      <c r="Y522">
        <v>11502.52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1512.21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4532.7</v>
      </c>
      <c r="AQ522">
        <v>0</v>
      </c>
      <c r="AR522">
        <v>0</v>
      </c>
      <c r="AS522">
        <v>213913516.03905001</v>
      </c>
    </row>
    <row r="523" spans="2:45" x14ac:dyDescent="0.25">
      <c r="B523" s="15" t="str" cm="1">
        <f t="array" ref="B523">INDEX(_xlfn.TEXTSPLIT($J523,"/"),3)</f>
        <v>OfS&amp;0&amp;cPVVE&amp;Ex&amp;Chiller__PumpCtrl</v>
      </c>
      <c r="C523" s="15" t="str" cm="1">
        <f t="array" ref="C523">INDEX(_xlfn.TEXTSPLIT($J523,"/"),2)</f>
        <v>CZ05</v>
      </c>
      <c r="D523" s="34">
        <f>$G$3*H523</f>
        <v>8.2660619999999998</v>
      </c>
      <c r="F523" t="str" cm="1">
        <f t="array" ref="F523">INDEX(_xlfn.TEXTSPLIT($J523,"/"),4)</f>
        <v>NE-Chiller-PumpCtrl-Full-Std</v>
      </c>
      <c r="G523">
        <f>$P523</f>
        <v>1.1868E-2</v>
      </c>
      <c r="H523">
        <f>$G$4*G523</f>
        <v>11.80866</v>
      </c>
      <c r="J523" t="s">
        <v>241</v>
      </c>
      <c r="K523" t="s">
        <v>15</v>
      </c>
      <c r="L523">
        <v>796.51</v>
      </c>
      <c r="M523">
        <v>2273.9</v>
      </c>
      <c r="P523">
        <v>1.1868E-2</v>
      </c>
      <c r="Q523">
        <v>0</v>
      </c>
      <c r="R523">
        <v>26354.46</v>
      </c>
      <c r="S523">
        <v>23792.959999999999</v>
      </c>
      <c r="T523">
        <v>0</v>
      </c>
      <c r="U523">
        <v>29466.65</v>
      </c>
      <c r="V523">
        <v>0</v>
      </c>
      <c r="W523">
        <v>106238.94</v>
      </c>
      <c r="X523">
        <v>12157.28</v>
      </c>
      <c r="Y523">
        <v>9363.7000000000007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1604.82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4673.0200000000004</v>
      </c>
      <c r="AQ523">
        <v>0</v>
      </c>
      <c r="AR523">
        <v>0</v>
      </c>
      <c r="AS523">
        <v>131529768.98656701</v>
      </c>
    </row>
    <row r="524" spans="2:45" x14ac:dyDescent="0.25">
      <c r="B524" s="15" t="str" cm="1">
        <f t="array" ref="B524">INDEX(_xlfn.TEXTSPLIT($J524,"/"),3)</f>
        <v>OfS&amp;0&amp;cPVVE&amp;Ex&amp;Chiller__PumpCtrl</v>
      </c>
      <c r="C524" s="15" t="str" cm="1">
        <f t="array" ref="C524">INDEX(_xlfn.TEXTSPLIT($J524,"/"),2)</f>
        <v>CZ06</v>
      </c>
      <c r="D524" s="34">
        <f>$G$3*H524</f>
        <v>8.4464555000000008</v>
      </c>
      <c r="F524" t="str" cm="1">
        <f t="array" ref="F524">INDEX(_xlfn.TEXTSPLIT($J524,"/"),4)</f>
        <v>NE-Chiller-PumpCtrl-Full-Std</v>
      </c>
      <c r="G524">
        <f>$P524</f>
        <v>1.2127000000000001E-2</v>
      </c>
      <c r="H524">
        <f>$G$4*G524</f>
        <v>12.066365000000001</v>
      </c>
      <c r="J524" t="s">
        <v>226</v>
      </c>
      <c r="K524" t="s">
        <v>16</v>
      </c>
      <c r="L524">
        <v>813.89</v>
      </c>
      <c r="M524">
        <v>2323.52</v>
      </c>
      <c r="P524">
        <v>1.2127000000000001E-2</v>
      </c>
      <c r="Q524">
        <v>0</v>
      </c>
      <c r="R524">
        <v>44640.2</v>
      </c>
      <c r="S524">
        <v>23792.959999999999</v>
      </c>
      <c r="T524">
        <v>0</v>
      </c>
      <c r="U524">
        <v>29466.65</v>
      </c>
      <c r="V524">
        <v>0</v>
      </c>
      <c r="W524">
        <v>108147.31</v>
      </c>
      <c r="X524">
        <v>14279.21</v>
      </c>
      <c r="Y524">
        <v>12607.38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115.72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4351.87</v>
      </c>
      <c r="AQ524">
        <v>0</v>
      </c>
      <c r="AR524">
        <v>0</v>
      </c>
      <c r="AS524">
        <v>133751214.87320299</v>
      </c>
    </row>
    <row r="525" spans="2:45" x14ac:dyDescent="0.25">
      <c r="B525" s="15" t="str" cm="1">
        <f t="array" ref="B525">INDEX(_xlfn.TEXTSPLIT($J525,"/"),3)</f>
        <v>OfS&amp;0&amp;cPVVE&amp;Ex&amp;Chiller__PumpCtrl</v>
      </c>
      <c r="C525" s="15" t="str" cm="1">
        <f t="array" ref="C525">INDEX(_xlfn.TEXTSPLIT($J525,"/"),2)</f>
        <v>CZ07</v>
      </c>
      <c r="D525" s="34">
        <f>$G$3*H525</f>
        <v>8.4520274999999998</v>
      </c>
      <c r="F525" t="str" cm="1">
        <f t="array" ref="F525">INDEX(_xlfn.TEXTSPLIT($J525,"/"),4)</f>
        <v>NE-Chiller-PumpCtrl-Full-Std</v>
      </c>
      <c r="G525">
        <f>$P525</f>
        <v>1.2135E-2</v>
      </c>
      <c r="H525">
        <f>$G$4*G525</f>
        <v>12.074325</v>
      </c>
      <c r="J525" t="s">
        <v>210</v>
      </c>
      <c r="K525" t="s">
        <v>17</v>
      </c>
      <c r="L525">
        <v>814.46</v>
      </c>
      <c r="M525">
        <v>2325.15</v>
      </c>
      <c r="P525">
        <v>1.2135E-2</v>
      </c>
      <c r="Q525">
        <v>0</v>
      </c>
      <c r="R525">
        <v>55937.57</v>
      </c>
      <c r="S525">
        <v>23792.959999999999</v>
      </c>
      <c r="T525">
        <v>0</v>
      </c>
      <c r="U525">
        <v>29466.65</v>
      </c>
      <c r="V525">
        <v>0</v>
      </c>
      <c r="W525">
        <v>105526.17</v>
      </c>
      <c r="X525">
        <v>14740.9</v>
      </c>
      <c r="Y525">
        <v>13068.72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77.73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4304.7299999999996</v>
      </c>
      <c r="AQ525">
        <v>0</v>
      </c>
      <c r="AR525">
        <v>0</v>
      </c>
      <c r="AS525">
        <v>159465511.28853601</v>
      </c>
    </row>
    <row r="526" spans="2:45" x14ac:dyDescent="0.25">
      <c r="B526" s="15" t="str" cm="1">
        <f t="array" ref="B526">INDEX(_xlfn.TEXTSPLIT($J526,"/"),3)</f>
        <v>OfS&amp;0&amp;cPVVE&amp;Ex&amp;Chiller__PumpCtrl</v>
      </c>
      <c r="C526" s="15" t="str" cm="1">
        <f t="array" ref="C526">INDEX(_xlfn.TEXTSPLIT($J526,"/"),2)</f>
        <v>CZ08</v>
      </c>
      <c r="D526" s="34">
        <f>$G$3*H526</f>
        <v>9.1074339999999996</v>
      </c>
      <c r="F526" t="str" cm="1">
        <f t="array" ref="F526">INDEX(_xlfn.TEXTSPLIT($J526,"/"),4)</f>
        <v>NE-Chiller-PumpCtrl-Full-Std</v>
      </c>
      <c r="G526">
        <f>$P526</f>
        <v>1.3076000000000001E-2</v>
      </c>
      <c r="H526">
        <f>$G$4*G526</f>
        <v>13.010620000000001</v>
      </c>
      <c r="J526" t="s">
        <v>193</v>
      </c>
      <c r="K526" t="s">
        <v>18</v>
      </c>
      <c r="L526">
        <v>877.63</v>
      </c>
      <c r="M526">
        <v>2505.4899999999998</v>
      </c>
      <c r="P526">
        <v>1.3076000000000001E-2</v>
      </c>
      <c r="Q526">
        <v>0</v>
      </c>
      <c r="R526">
        <v>65263.4</v>
      </c>
      <c r="S526">
        <v>23792.959999999999</v>
      </c>
      <c r="T526">
        <v>0</v>
      </c>
      <c r="U526">
        <v>29466.65</v>
      </c>
      <c r="V526">
        <v>0</v>
      </c>
      <c r="W526">
        <v>113791.57</v>
      </c>
      <c r="X526">
        <v>15684</v>
      </c>
      <c r="Y526">
        <v>13684.48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215.89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4298.3500000000004</v>
      </c>
      <c r="AQ526">
        <v>0</v>
      </c>
      <c r="AR526">
        <v>0</v>
      </c>
      <c r="AS526">
        <v>176384523.23069301</v>
      </c>
    </row>
    <row r="527" spans="2:45" x14ac:dyDescent="0.25">
      <c r="B527" s="15" t="str" cm="1">
        <f t="array" ref="B527">INDEX(_xlfn.TEXTSPLIT($J527,"/"),3)</f>
        <v>OfS&amp;0&amp;cPVVE&amp;Ex&amp;Chiller__PumpCtrl</v>
      </c>
      <c r="C527" s="15" t="str" cm="1">
        <f t="array" ref="C527">INDEX(_xlfn.TEXTSPLIT($J527,"/"),2)</f>
        <v>CZ09</v>
      </c>
      <c r="D527" s="34">
        <f>$G$3*H527</f>
        <v>9.5281199999999995</v>
      </c>
      <c r="F527" t="str" cm="1">
        <f t="array" ref="F527">INDEX(_xlfn.TEXTSPLIT($J527,"/"),4)</f>
        <v>NE-Chiller-PumpCtrl-Full-Std</v>
      </c>
      <c r="G527">
        <f>$P527</f>
        <v>1.3679999999999999E-2</v>
      </c>
      <c r="H527">
        <f>$G$4*G527</f>
        <v>13.611599999999999</v>
      </c>
      <c r="J527" t="s">
        <v>179</v>
      </c>
      <c r="K527" t="s">
        <v>19</v>
      </c>
      <c r="L527">
        <v>918.13</v>
      </c>
      <c r="M527">
        <v>2621.1</v>
      </c>
      <c r="P527">
        <v>1.3679999999999999E-2</v>
      </c>
      <c r="Q527">
        <v>0</v>
      </c>
      <c r="R527">
        <v>76541.16</v>
      </c>
      <c r="S527">
        <v>23792.959999999999</v>
      </c>
      <c r="T527">
        <v>0</v>
      </c>
      <c r="U527">
        <v>29466.65</v>
      </c>
      <c r="V527">
        <v>0</v>
      </c>
      <c r="W527">
        <v>121626.98</v>
      </c>
      <c r="X527">
        <v>17391.169999999998</v>
      </c>
      <c r="Y527">
        <v>15378.73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172.38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4247.5200000000004</v>
      </c>
      <c r="AQ527">
        <v>0</v>
      </c>
      <c r="AR527">
        <v>0</v>
      </c>
      <c r="AS527">
        <v>195367775.80270401</v>
      </c>
    </row>
    <row r="528" spans="2:45" x14ac:dyDescent="0.25">
      <c r="B528" s="15" t="str" cm="1">
        <f t="array" ref="B528">INDEX(_xlfn.TEXTSPLIT($J528,"/"),3)</f>
        <v>OfS&amp;0&amp;cPVVE&amp;Ex&amp;Chiller__PumpCtrl</v>
      </c>
      <c r="C528" s="15" t="str" cm="1">
        <f t="array" ref="C528">INDEX(_xlfn.TEXTSPLIT($J528,"/"),2)</f>
        <v>CZ10</v>
      </c>
      <c r="D528" s="34">
        <f>$G$3*H528</f>
        <v>8.9340054999999996</v>
      </c>
      <c r="F528" t="str" cm="1">
        <f t="array" ref="F528">INDEX(_xlfn.TEXTSPLIT($J528,"/"),4)</f>
        <v>NE-Chiller-PumpCtrl-Full-Std</v>
      </c>
      <c r="G528">
        <f>$P528</f>
        <v>1.2827E-2</v>
      </c>
      <c r="H528">
        <f>$G$4*G528</f>
        <v>12.762865</v>
      </c>
      <c r="J528" t="s">
        <v>164</v>
      </c>
      <c r="K528" t="s">
        <v>20</v>
      </c>
      <c r="L528">
        <v>860.87</v>
      </c>
      <c r="M528">
        <v>2457.65</v>
      </c>
      <c r="P528">
        <v>1.2827E-2</v>
      </c>
      <c r="Q528">
        <v>0</v>
      </c>
      <c r="R528">
        <v>82181.23</v>
      </c>
      <c r="S528">
        <v>23792.959999999999</v>
      </c>
      <c r="T528">
        <v>0</v>
      </c>
      <c r="U528">
        <v>29466.65</v>
      </c>
      <c r="V528">
        <v>0</v>
      </c>
      <c r="W528">
        <v>112092.37</v>
      </c>
      <c r="X528">
        <v>15685.26</v>
      </c>
      <c r="Y528">
        <v>13286.56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882.82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4217.4799999999996</v>
      </c>
      <c r="AQ528">
        <v>0</v>
      </c>
      <c r="AR528">
        <v>0</v>
      </c>
      <c r="AS528">
        <v>223650732.720844</v>
      </c>
    </row>
    <row r="529" spans="2:45" x14ac:dyDescent="0.25">
      <c r="B529" s="15" t="str" cm="1">
        <f t="array" ref="B529">INDEX(_xlfn.TEXTSPLIT($J529,"/"),3)</f>
        <v>OfS&amp;0&amp;cPVVE&amp;Ex&amp;Chiller__PumpCtrl</v>
      </c>
      <c r="C529" s="15" t="str" cm="1">
        <f t="array" ref="C529">INDEX(_xlfn.TEXTSPLIT($J529,"/"),2)</f>
        <v>CZ11</v>
      </c>
      <c r="D529" s="34">
        <f>$G$3*H529</f>
        <v>9.8603504999999991</v>
      </c>
      <c r="F529" t="str" cm="1">
        <f t="array" ref="F529">INDEX(_xlfn.TEXTSPLIT($J529,"/"),4)</f>
        <v>NE-Chiller-PumpCtrl-Full-Std</v>
      </c>
      <c r="G529">
        <f>$P529</f>
        <v>1.4156999999999999E-2</v>
      </c>
      <c r="H529">
        <f>$G$4*G529</f>
        <v>14.086214999999999</v>
      </c>
      <c r="J529" t="s">
        <v>147</v>
      </c>
      <c r="K529" t="s">
        <v>21</v>
      </c>
      <c r="L529">
        <v>950.17</v>
      </c>
      <c r="M529">
        <v>2712.56</v>
      </c>
      <c r="P529">
        <v>1.4156999999999999E-2</v>
      </c>
      <c r="Q529">
        <v>0</v>
      </c>
      <c r="R529">
        <v>89916.05</v>
      </c>
      <c r="S529">
        <v>23792.959999999999</v>
      </c>
      <c r="T529">
        <v>0</v>
      </c>
      <c r="U529">
        <v>29466.65</v>
      </c>
      <c r="V529">
        <v>0</v>
      </c>
      <c r="W529">
        <v>125539.99</v>
      </c>
      <c r="X529">
        <v>17988.740000000002</v>
      </c>
      <c r="Y529">
        <v>15129.52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3445.22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4300.1400000000003</v>
      </c>
      <c r="AQ529">
        <v>0</v>
      </c>
      <c r="AR529">
        <v>0</v>
      </c>
      <c r="AS529">
        <v>248406003.25030199</v>
      </c>
    </row>
    <row r="530" spans="2:45" x14ac:dyDescent="0.25">
      <c r="B530" s="15" t="str" cm="1">
        <f t="array" ref="B530">INDEX(_xlfn.TEXTSPLIT($J530,"/"),3)</f>
        <v>OfS&amp;0&amp;cPVVE&amp;Ex&amp;Chiller__PumpCtrl</v>
      </c>
      <c r="C530" s="15" t="str" cm="1">
        <f t="array" ref="C530">INDEX(_xlfn.TEXTSPLIT($J530,"/"),2)</f>
        <v>CZ12</v>
      </c>
      <c r="D530" s="34">
        <f>$G$3*H530</f>
        <v>9.2355899999999984</v>
      </c>
      <c r="F530" t="str" cm="1">
        <f t="array" ref="F530">INDEX(_xlfn.TEXTSPLIT($J530,"/"),4)</f>
        <v>NE-Chiller-PumpCtrl-Full-Std</v>
      </c>
      <c r="G530">
        <f>$P530</f>
        <v>1.3259999999999999E-2</v>
      </c>
      <c r="H530">
        <f>$G$4*G530</f>
        <v>13.1937</v>
      </c>
      <c r="J530" t="s">
        <v>130</v>
      </c>
      <c r="K530" t="s">
        <v>22</v>
      </c>
      <c r="L530">
        <v>889.97</v>
      </c>
      <c r="M530">
        <v>2540.7199999999998</v>
      </c>
      <c r="P530">
        <v>1.3259999999999999E-2</v>
      </c>
      <c r="Q530">
        <v>0</v>
      </c>
      <c r="R530">
        <v>75175.539999999994</v>
      </c>
      <c r="S530">
        <v>23792.959999999999</v>
      </c>
      <c r="T530">
        <v>0</v>
      </c>
      <c r="U530">
        <v>29466.65</v>
      </c>
      <c r="V530">
        <v>0</v>
      </c>
      <c r="W530">
        <v>113959.21</v>
      </c>
      <c r="X530">
        <v>15611.49</v>
      </c>
      <c r="Y530">
        <v>12862.67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3587.06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4403.42</v>
      </c>
      <c r="AQ530">
        <v>0</v>
      </c>
      <c r="AR530">
        <v>0</v>
      </c>
      <c r="AS530">
        <v>236656694.922153</v>
      </c>
    </row>
    <row r="531" spans="2:45" x14ac:dyDescent="0.25">
      <c r="B531" s="15" t="str" cm="1">
        <f t="array" ref="B531">INDEX(_xlfn.TEXTSPLIT($J531,"/"),3)</f>
        <v>OfS&amp;0&amp;cPVVE&amp;Ex&amp;Chiller__PumpCtrl</v>
      </c>
      <c r="C531" s="15" t="str" cm="1">
        <f t="array" ref="C531">INDEX(_xlfn.TEXTSPLIT($J531,"/"),2)</f>
        <v>CZ13</v>
      </c>
      <c r="D531" s="34">
        <f>$G$3*H531</f>
        <v>9.5845364999999987</v>
      </c>
      <c r="F531" t="str" cm="1">
        <f t="array" ref="F531">INDEX(_xlfn.TEXTSPLIT($J531,"/"),4)</f>
        <v>NE-Chiller-PumpCtrl-Full-Std</v>
      </c>
      <c r="G531">
        <f>$P531</f>
        <v>1.3761000000000001E-2</v>
      </c>
      <c r="H531">
        <f>$G$4*G531</f>
        <v>13.692195</v>
      </c>
      <c r="J531" t="s">
        <v>112</v>
      </c>
      <c r="K531" t="s">
        <v>23</v>
      </c>
      <c r="L531">
        <v>923.61</v>
      </c>
      <c r="M531">
        <v>2636.73</v>
      </c>
      <c r="P531">
        <v>1.3761000000000001E-2</v>
      </c>
      <c r="Q531">
        <v>0</v>
      </c>
      <c r="R531">
        <v>99153.3</v>
      </c>
      <c r="S531">
        <v>23792.959999999999</v>
      </c>
      <c r="T531">
        <v>0</v>
      </c>
      <c r="U531">
        <v>29466.65</v>
      </c>
      <c r="V531">
        <v>0</v>
      </c>
      <c r="W531">
        <v>120835.59</v>
      </c>
      <c r="X531">
        <v>17925.990000000002</v>
      </c>
      <c r="Y531">
        <v>15434.87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2332.8000000000002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4192.6899999999996</v>
      </c>
      <c r="AQ531">
        <v>0</v>
      </c>
      <c r="AR531">
        <v>0</v>
      </c>
      <c r="AS531">
        <v>254326586.04495299</v>
      </c>
    </row>
    <row r="532" spans="2:45" x14ac:dyDescent="0.25">
      <c r="B532" s="15" t="str" cm="1">
        <f t="array" ref="B532">INDEX(_xlfn.TEXTSPLIT($J532,"/"),3)</f>
        <v>OfS&amp;0&amp;cPVVE&amp;Ex&amp;Chiller__PumpCtrl</v>
      </c>
      <c r="C532" s="15" t="str" cm="1">
        <f t="array" ref="C532">INDEX(_xlfn.TEXTSPLIT($J532,"/"),2)</f>
        <v>CZ14</v>
      </c>
      <c r="D532" s="34">
        <f>$G$3*H532</f>
        <v>9.7837354999999988</v>
      </c>
      <c r="F532" t="str" cm="1">
        <f t="array" ref="F532">INDEX(_xlfn.TEXTSPLIT($J532,"/"),4)</f>
        <v>NE-Chiller-PumpCtrl-Full-Std</v>
      </c>
      <c r="G532">
        <f>$P532</f>
        <v>1.4047E-2</v>
      </c>
      <c r="H532">
        <f>$G$4*G532</f>
        <v>13.976765</v>
      </c>
      <c r="J532" t="s">
        <v>99</v>
      </c>
      <c r="K532" t="s">
        <v>24</v>
      </c>
      <c r="L532">
        <v>942.78</v>
      </c>
      <c r="M532">
        <v>2691.48</v>
      </c>
      <c r="P532">
        <v>1.4047E-2</v>
      </c>
      <c r="Q532">
        <v>0</v>
      </c>
      <c r="R532">
        <v>107241.87</v>
      </c>
      <c r="S532">
        <v>23792.959999999999</v>
      </c>
      <c r="T532">
        <v>0</v>
      </c>
      <c r="U532">
        <v>29466.65</v>
      </c>
      <c r="V532">
        <v>0</v>
      </c>
      <c r="W532">
        <v>132531.29</v>
      </c>
      <c r="X532">
        <v>19742.09</v>
      </c>
      <c r="Y532">
        <v>16092.28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1042.01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4007.76</v>
      </c>
      <c r="AQ532">
        <v>0</v>
      </c>
      <c r="AR532">
        <v>0</v>
      </c>
      <c r="AS532">
        <v>248381441.41617399</v>
      </c>
    </row>
    <row r="533" spans="2:45" x14ac:dyDescent="0.25">
      <c r="B533" s="15" t="str" cm="1">
        <f t="array" ref="B533">INDEX(_xlfn.TEXTSPLIT($J533,"/"),3)</f>
        <v>OfS&amp;0&amp;cPVVE&amp;Ex&amp;Chiller__PumpCtrl</v>
      </c>
      <c r="C533" s="15" t="str" cm="1">
        <f t="array" ref="C533">INDEX(_xlfn.TEXTSPLIT($J533,"/"),2)</f>
        <v>CZ15</v>
      </c>
      <c r="D533" s="34">
        <f>$G$3*H533</f>
        <v>9.8387589999999996</v>
      </c>
      <c r="F533" t="str" cm="1">
        <f t="array" ref="F533">INDEX(_xlfn.TEXTSPLIT($J533,"/"),4)</f>
        <v>NE-Chiller-PumpCtrl-Full-Std</v>
      </c>
      <c r="G533">
        <f>$P533</f>
        <v>1.4126E-2</v>
      </c>
      <c r="H533">
        <f>$G$4*G533</f>
        <v>14.05537</v>
      </c>
      <c r="J533" t="s">
        <v>83</v>
      </c>
      <c r="K533" t="s">
        <v>25</v>
      </c>
      <c r="L533">
        <v>948.05</v>
      </c>
      <c r="M533">
        <v>2706.52</v>
      </c>
      <c r="P533">
        <v>1.4126E-2</v>
      </c>
      <c r="Q533">
        <v>0</v>
      </c>
      <c r="R533">
        <v>151916.57</v>
      </c>
      <c r="S533">
        <v>23792.959999999999</v>
      </c>
      <c r="T533">
        <v>0</v>
      </c>
      <c r="U533">
        <v>29466.65</v>
      </c>
      <c r="V533">
        <v>0</v>
      </c>
      <c r="W533">
        <v>125442.81</v>
      </c>
      <c r="X533">
        <v>21271.37</v>
      </c>
      <c r="Y533">
        <v>18786.400000000001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137.41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3626.13</v>
      </c>
      <c r="AQ533">
        <v>0</v>
      </c>
      <c r="AR533">
        <v>0</v>
      </c>
      <c r="AS533">
        <v>259595687.763156</v>
      </c>
    </row>
    <row r="534" spans="2:45" x14ac:dyDescent="0.25">
      <c r="B534" s="15" t="str" cm="1">
        <f t="array" ref="B534">INDEX(_xlfn.TEXTSPLIT($J534,"/"),3)</f>
        <v>OfS&amp;0&amp;cPVVE&amp;Ex&amp;Chiller__PumpCtrl</v>
      </c>
      <c r="C534" s="15" t="str" cm="1">
        <f t="array" ref="C534">INDEX(_xlfn.TEXTSPLIT($J534,"/"),2)</f>
        <v>CZ16</v>
      </c>
      <c r="D534" s="34">
        <f>$G$3*H534</f>
        <v>9.0349979999999981</v>
      </c>
      <c r="F534" t="str" cm="1">
        <f t="array" ref="F534">INDEX(_xlfn.TEXTSPLIT($J534,"/"),4)</f>
        <v>NE-Chiller-PumpCtrl-Full-Std</v>
      </c>
      <c r="G534">
        <f>$P534</f>
        <v>1.2971999999999999E-2</v>
      </c>
      <c r="H534">
        <f>$G$4*G534</f>
        <v>12.907139999999998</v>
      </c>
      <c r="J534" t="s">
        <v>68</v>
      </c>
      <c r="K534" t="s">
        <v>26</v>
      </c>
      <c r="L534">
        <v>870.6</v>
      </c>
      <c r="M534">
        <v>2485.41</v>
      </c>
      <c r="P534">
        <v>1.2971999999999999E-2</v>
      </c>
      <c r="Q534">
        <v>0</v>
      </c>
      <c r="R534">
        <v>65825.39</v>
      </c>
      <c r="S534">
        <v>23792.959999999999</v>
      </c>
      <c r="T534">
        <v>0</v>
      </c>
      <c r="U534">
        <v>29466.65</v>
      </c>
      <c r="V534">
        <v>0</v>
      </c>
      <c r="W534">
        <v>133201.43</v>
      </c>
      <c r="X534">
        <v>16410.830000000002</v>
      </c>
      <c r="Y534">
        <v>10753.92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6209.84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4620.75</v>
      </c>
      <c r="AQ534">
        <v>0</v>
      </c>
      <c r="AR534">
        <v>0</v>
      </c>
      <c r="AS534">
        <v>202982562.87209699</v>
      </c>
    </row>
    <row r="535" spans="2:45" x14ac:dyDescent="0.25">
      <c r="B535" s="15" t="str" cm="1">
        <f t="array" ref="B535">INDEX(_xlfn.TEXTSPLIT($J535,"/"),3)</f>
        <v>OfS&amp;0&amp;cPVVE&amp;New&amp;Chiller__PumpCtrl</v>
      </c>
      <c r="C535" s="15" t="str" cm="1">
        <f t="array" ref="C535">INDEX(_xlfn.TEXTSPLIT($J535,"/"),2)</f>
        <v>CZ01</v>
      </c>
      <c r="D535" s="34">
        <f>$G$3*H535</f>
        <v>3.7624929999999992</v>
      </c>
      <c r="F535" t="str" cm="1">
        <f t="array" ref="F535">INDEX(_xlfn.TEXTSPLIT($J535,"/"),4)</f>
        <v>NE-Chiller-PumpCtrl-Full-Std</v>
      </c>
      <c r="G535">
        <f>$P535</f>
        <v>5.4019999999999997E-3</v>
      </c>
      <c r="H535">
        <f>$G$4*G535</f>
        <v>5.3749899999999995</v>
      </c>
      <c r="J535" t="s">
        <v>562</v>
      </c>
      <c r="K535" t="s">
        <v>11</v>
      </c>
      <c r="L535">
        <v>362.59</v>
      </c>
      <c r="M535">
        <v>1035.1300000000001</v>
      </c>
      <c r="P535">
        <v>5.4019999999999997E-3</v>
      </c>
      <c r="Q535">
        <v>0</v>
      </c>
      <c r="R535">
        <v>1002.49</v>
      </c>
      <c r="S535">
        <v>12134.67</v>
      </c>
      <c r="T535">
        <v>0</v>
      </c>
      <c r="U535">
        <v>29466.65</v>
      </c>
      <c r="V535">
        <v>0</v>
      </c>
      <c r="W535">
        <v>46813.13</v>
      </c>
      <c r="X535">
        <v>2449.0100000000002</v>
      </c>
      <c r="Y535">
        <v>1676.22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11409.76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5049.04</v>
      </c>
      <c r="AQ535">
        <v>0</v>
      </c>
      <c r="AR535">
        <v>0</v>
      </c>
      <c r="AS535">
        <v>48563112.945520803</v>
      </c>
    </row>
    <row r="536" spans="2:45" x14ac:dyDescent="0.25">
      <c r="B536" s="15" t="str" cm="1">
        <f t="array" ref="B536">INDEX(_xlfn.TEXTSPLIT($J536,"/"),3)</f>
        <v>OfS&amp;0&amp;cPVVE&amp;New&amp;Chiller__PumpCtrl</v>
      </c>
      <c r="C536" s="15" t="str" cm="1">
        <f t="array" ref="C536">INDEX(_xlfn.TEXTSPLIT($J536,"/"),2)</f>
        <v>CZ02</v>
      </c>
      <c r="D536" s="34">
        <f>$G$3*H536</f>
        <v>4.8183869999999995</v>
      </c>
      <c r="F536" t="str" cm="1">
        <f t="array" ref="F536">INDEX(_xlfn.TEXTSPLIT($J536,"/"),4)</f>
        <v>NE-Chiller-PumpCtrl-Full-Std</v>
      </c>
      <c r="G536">
        <f>$P536</f>
        <v>6.9179999999999997E-3</v>
      </c>
      <c r="H536">
        <f>$G$4*G536</f>
        <v>6.8834099999999996</v>
      </c>
      <c r="J536" t="s">
        <v>546</v>
      </c>
      <c r="K536" t="s">
        <v>12</v>
      </c>
      <c r="L536">
        <v>464.28</v>
      </c>
      <c r="M536">
        <v>1325.42</v>
      </c>
      <c r="P536">
        <v>6.9179999999999997E-3</v>
      </c>
      <c r="Q536">
        <v>0</v>
      </c>
      <c r="R536">
        <v>17458.009999999998</v>
      </c>
      <c r="S536">
        <v>12134.67</v>
      </c>
      <c r="T536">
        <v>0</v>
      </c>
      <c r="U536">
        <v>29466.65</v>
      </c>
      <c r="V536">
        <v>0</v>
      </c>
      <c r="W536">
        <v>55883.38</v>
      </c>
      <c r="X536">
        <v>5012.82</v>
      </c>
      <c r="Y536">
        <v>3735.05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5529.88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4688</v>
      </c>
      <c r="AQ536">
        <v>0</v>
      </c>
      <c r="AR536">
        <v>0</v>
      </c>
      <c r="AS536">
        <v>97935180.594457</v>
      </c>
    </row>
    <row r="537" spans="2:45" x14ac:dyDescent="0.25">
      <c r="B537" s="15" t="str" cm="1">
        <f t="array" ref="B537">INDEX(_xlfn.TEXTSPLIT($J537,"/"),3)</f>
        <v>OfS&amp;0&amp;cPVVE&amp;New&amp;Chiller__PumpCtrl</v>
      </c>
      <c r="C537" s="15" t="str" cm="1">
        <f t="array" ref="C537">INDEX(_xlfn.TEXTSPLIT($J537,"/"),2)</f>
        <v>CZ03</v>
      </c>
      <c r="D537" s="34">
        <f>$G$3*H537</f>
        <v>4.7292350000000001</v>
      </c>
      <c r="F537" t="str" cm="1">
        <f t="array" ref="F537">INDEX(_xlfn.TEXTSPLIT($J537,"/"),4)</f>
        <v>NE-Chiller-PumpCtrl-Full-Std</v>
      </c>
      <c r="G537">
        <f>$P537</f>
        <v>6.79E-3</v>
      </c>
      <c r="H537">
        <f>$G$4*G537</f>
        <v>6.7560500000000001</v>
      </c>
      <c r="J537" t="s">
        <v>530</v>
      </c>
      <c r="K537" t="s">
        <v>13</v>
      </c>
      <c r="L537">
        <v>455.68</v>
      </c>
      <c r="M537">
        <v>1300.9000000000001</v>
      </c>
      <c r="P537">
        <v>6.79E-3</v>
      </c>
      <c r="Q537">
        <v>0</v>
      </c>
      <c r="R537">
        <v>8804.49</v>
      </c>
      <c r="S537">
        <v>12134.67</v>
      </c>
      <c r="T537">
        <v>0</v>
      </c>
      <c r="U537">
        <v>29466.65</v>
      </c>
      <c r="V537">
        <v>0</v>
      </c>
      <c r="W537">
        <v>55412.959999999999</v>
      </c>
      <c r="X537">
        <v>4579.8</v>
      </c>
      <c r="Y537">
        <v>3501.93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3632.97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4672.42</v>
      </c>
      <c r="AQ537">
        <v>0</v>
      </c>
      <c r="AR537">
        <v>0</v>
      </c>
      <c r="AS537">
        <v>84199169.789887995</v>
      </c>
    </row>
    <row r="538" spans="2:45" x14ac:dyDescent="0.25">
      <c r="B538" s="15" t="str" cm="1">
        <f t="array" ref="B538">INDEX(_xlfn.TEXTSPLIT($J538,"/"),3)</f>
        <v>OfS&amp;0&amp;cPVVE&amp;New&amp;Chiller__PumpCtrl</v>
      </c>
      <c r="C538" s="15" t="str" cm="1">
        <f t="array" ref="C538">INDEX(_xlfn.TEXTSPLIT($J538,"/"),2)</f>
        <v>CZ04</v>
      </c>
      <c r="D538" s="34">
        <f>$G$3*H538</f>
        <v>4.9054494999999996</v>
      </c>
      <c r="F538" t="str" cm="1">
        <f t="array" ref="F538">INDEX(_xlfn.TEXTSPLIT($J538,"/"),4)</f>
        <v>NE-Chiller-PumpCtrl-Full-Std</v>
      </c>
      <c r="G538">
        <f>$P538</f>
        <v>7.0429999999999998E-3</v>
      </c>
      <c r="H538">
        <f>$G$4*G538</f>
        <v>7.0077850000000002</v>
      </c>
      <c r="J538" t="s">
        <v>514</v>
      </c>
      <c r="K538" t="s">
        <v>14</v>
      </c>
      <c r="L538">
        <v>472.72</v>
      </c>
      <c r="M538">
        <v>1349.53</v>
      </c>
      <c r="P538">
        <v>7.0429999999999998E-3</v>
      </c>
      <c r="Q538">
        <v>0</v>
      </c>
      <c r="R538">
        <v>21339.93</v>
      </c>
      <c r="S538">
        <v>12134.67</v>
      </c>
      <c r="T538">
        <v>0</v>
      </c>
      <c r="U538">
        <v>29466.65</v>
      </c>
      <c r="V538">
        <v>0</v>
      </c>
      <c r="W538">
        <v>56909.98</v>
      </c>
      <c r="X538">
        <v>5634.07</v>
      </c>
      <c r="Y538">
        <v>4463.28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2349.17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4532.5600000000004</v>
      </c>
      <c r="AQ538">
        <v>0</v>
      </c>
      <c r="AR538">
        <v>0</v>
      </c>
      <c r="AS538">
        <v>102787242.13045999</v>
      </c>
    </row>
    <row r="539" spans="2:45" x14ac:dyDescent="0.25">
      <c r="B539" s="15" t="str" cm="1">
        <f t="array" ref="B539">INDEX(_xlfn.TEXTSPLIT($J539,"/"),3)</f>
        <v>OfS&amp;0&amp;cPVVE&amp;New&amp;Chiller__PumpCtrl</v>
      </c>
      <c r="C539" s="15" t="str" cm="1">
        <f t="array" ref="C539">INDEX(_xlfn.TEXTSPLIT($J539,"/"),2)</f>
        <v>CZ05</v>
      </c>
      <c r="D539" s="34">
        <f>$G$3*H539</f>
        <v>4.3858604999999997</v>
      </c>
      <c r="F539" t="str" cm="1">
        <f t="array" ref="F539">INDEX(_xlfn.TEXTSPLIT($J539,"/"),4)</f>
        <v>NE-Chiller-PumpCtrl-Full-Std</v>
      </c>
      <c r="G539">
        <f>$P539</f>
        <v>6.2969999999999996E-3</v>
      </c>
      <c r="H539">
        <f>$G$4*G539</f>
        <v>6.2655149999999997</v>
      </c>
      <c r="J539" t="s">
        <v>498</v>
      </c>
      <c r="K539" t="s">
        <v>15</v>
      </c>
      <c r="L539">
        <v>422.6</v>
      </c>
      <c r="M539">
        <v>1206.44</v>
      </c>
      <c r="P539">
        <v>6.2969999999999996E-3</v>
      </c>
      <c r="Q539">
        <v>0</v>
      </c>
      <c r="R539">
        <v>11182.19</v>
      </c>
      <c r="S539">
        <v>12134.67</v>
      </c>
      <c r="T539">
        <v>0</v>
      </c>
      <c r="U539">
        <v>29466.65</v>
      </c>
      <c r="V539">
        <v>0</v>
      </c>
      <c r="W539">
        <v>54029.81</v>
      </c>
      <c r="X539">
        <v>4576.53</v>
      </c>
      <c r="Y539">
        <v>3437.32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2996.16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4672.74</v>
      </c>
      <c r="AQ539">
        <v>0</v>
      </c>
      <c r="AR539">
        <v>0</v>
      </c>
      <c r="AS539">
        <v>62983807.344960801</v>
      </c>
    </row>
    <row r="540" spans="2:45" x14ac:dyDescent="0.25">
      <c r="B540" s="15" t="str" cm="1">
        <f t="array" ref="B540">INDEX(_xlfn.TEXTSPLIT($J540,"/"),3)</f>
        <v>OfS&amp;0&amp;cPVVE&amp;New&amp;Chiller__PumpCtrl</v>
      </c>
      <c r="C540" s="15" t="str" cm="1">
        <f t="array" ref="C540">INDEX(_xlfn.TEXTSPLIT($J540,"/"),2)</f>
        <v>CZ06</v>
      </c>
      <c r="D540" s="34">
        <f>$G$3*H540</f>
        <v>4.7410755</v>
      </c>
      <c r="F540" t="str" cm="1">
        <f t="array" ref="F540">INDEX(_xlfn.TEXTSPLIT($J540,"/"),4)</f>
        <v>NE-Chiller-PumpCtrl-Full-Std</v>
      </c>
      <c r="G540">
        <f>$P540</f>
        <v>6.8069999999999997E-3</v>
      </c>
      <c r="H540">
        <f>$G$4*G540</f>
        <v>6.7729650000000001</v>
      </c>
      <c r="J540" t="s">
        <v>481</v>
      </c>
      <c r="K540" t="s">
        <v>16</v>
      </c>
      <c r="L540">
        <v>456.89</v>
      </c>
      <c r="M540">
        <v>1304.33</v>
      </c>
      <c r="P540">
        <v>6.8069999999999997E-3</v>
      </c>
      <c r="Q540">
        <v>0</v>
      </c>
      <c r="R540">
        <v>21435.200000000001</v>
      </c>
      <c r="S540">
        <v>12134.67</v>
      </c>
      <c r="T540">
        <v>0</v>
      </c>
      <c r="U540">
        <v>29466.65</v>
      </c>
      <c r="V540">
        <v>0</v>
      </c>
      <c r="W540">
        <v>57166.63</v>
      </c>
      <c r="X540">
        <v>6454.91</v>
      </c>
      <c r="Y540">
        <v>5589.18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257.89999999999998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4351.71</v>
      </c>
      <c r="AQ540">
        <v>0</v>
      </c>
      <c r="AR540">
        <v>0</v>
      </c>
      <c r="AS540">
        <v>58566361.777669698</v>
      </c>
    </row>
    <row r="541" spans="2:45" x14ac:dyDescent="0.25">
      <c r="B541" s="15" t="str" cm="1">
        <f t="array" ref="B541">INDEX(_xlfn.TEXTSPLIT($J541,"/"),3)</f>
        <v>OfS&amp;0&amp;cPVVE&amp;New&amp;Chiller__PumpCtrl</v>
      </c>
      <c r="C541" s="15" t="str" cm="1">
        <f t="array" ref="C541">INDEX(_xlfn.TEXTSPLIT($J541,"/"),2)</f>
        <v>CZ07</v>
      </c>
      <c r="D541" s="34">
        <f>$G$3*H541</f>
        <v>4.8448540000000007</v>
      </c>
      <c r="F541" t="str" cm="1">
        <f t="array" ref="F541">INDEX(_xlfn.TEXTSPLIT($J541,"/"),4)</f>
        <v>NE-Chiller-PumpCtrl-Full-Std</v>
      </c>
      <c r="G541">
        <f>$P541</f>
        <v>6.9560000000000004E-3</v>
      </c>
      <c r="H541">
        <f>$G$4*G541</f>
        <v>6.9212200000000008</v>
      </c>
      <c r="J541" t="s">
        <v>466</v>
      </c>
      <c r="K541" t="s">
        <v>17</v>
      </c>
      <c r="L541">
        <v>466.88</v>
      </c>
      <c r="M541">
        <v>1332.87</v>
      </c>
      <c r="P541">
        <v>6.9560000000000004E-3</v>
      </c>
      <c r="Q541">
        <v>0</v>
      </c>
      <c r="R541">
        <v>27517.73</v>
      </c>
      <c r="S541">
        <v>12134.67</v>
      </c>
      <c r="T541">
        <v>0</v>
      </c>
      <c r="U541">
        <v>29466.65</v>
      </c>
      <c r="V541">
        <v>0</v>
      </c>
      <c r="W541">
        <v>56333.16</v>
      </c>
      <c r="X541">
        <v>6827.85</v>
      </c>
      <c r="Y541">
        <v>5976.41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191.09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4304.6000000000004</v>
      </c>
      <c r="AQ541">
        <v>0</v>
      </c>
      <c r="AR541">
        <v>0</v>
      </c>
      <c r="AS541">
        <v>65666042.445758797</v>
      </c>
    </row>
    <row r="542" spans="2:45" x14ac:dyDescent="0.25">
      <c r="B542" s="15" t="str" cm="1">
        <f t="array" ref="B542">INDEX(_xlfn.TEXTSPLIT($J542,"/"),3)</f>
        <v>OfS&amp;0&amp;cPVVE&amp;New&amp;Chiller__PumpCtrl</v>
      </c>
      <c r="C542" s="15" t="str" cm="1">
        <f t="array" ref="C542">INDEX(_xlfn.TEXTSPLIT($J542,"/"),2)</f>
        <v>CZ08</v>
      </c>
      <c r="D542" s="34">
        <f>$G$3*H542</f>
        <v>5.1819600000000001</v>
      </c>
      <c r="F542" t="str" cm="1">
        <f t="array" ref="F542">INDEX(_xlfn.TEXTSPLIT($J542,"/"),4)</f>
        <v>NE-Chiller-PumpCtrl-Full-Std</v>
      </c>
      <c r="G542">
        <f>$P542</f>
        <v>7.4400000000000004E-3</v>
      </c>
      <c r="H542">
        <f>$G$4*G542</f>
        <v>7.4028</v>
      </c>
      <c r="J542" t="s">
        <v>450</v>
      </c>
      <c r="K542" t="s">
        <v>18</v>
      </c>
      <c r="L542">
        <v>499.35</v>
      </c>
      <c r="M542">
        <v>1425.57</v>
      </c>
      <c r="P542">
        <v>7.4400000000000004E-3</v>
      </c>
      <c r="Q542">
        <v>0</v>
      </c>
      <c r="R542">
        <v>32165</v>
      </c>
      <c r="S542">
        <v>12134.67</v>
      </c>
      <c r="T542">
        <v>0</v>
      </c>
      <c r="U542">
        <v>29466.65</v>
      </c>
      <c r="V542">
        <v>0</v>
      </c>
      <c r="W542">
        <v>59636.800000000003</v>
      </c>
      <c r="X542">
        <v>7226.56</v>
      </c>
      <c r="Y542">
        <v>6227.71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486.04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4298.1099999999997</v>
      </c>
      <c r="AQ542">
        <v>0</v>
      </c>
      <c r="AR542">
        <v>0</v>
      </c>
      <c r="AS542">
        <v>76382130.120700195</v>
      </c>
    </row>
    <row r="543" spans="2:45" x14ac:dyDescent="0.25">
      <c r="B543" s="15" t="str" cm="1">
        <f t="array" ref="B543">INDEX(_xlfn.TEXTSPLIT($J543,"/"),3)</f>
        <v>OfS&amp;0&amp;cPVVE&amp;New&amp;Chiller__PumpCtrl</v>
      </c>
      <c r="C543" s="15" t="str" cm="1">
        <f t="array" ref="C543">INDEX(_xlfn.TEXTSPLIT($J543,"/"),2)</f>
        <v>CZ09</v>
      </c>
      <c r="D543" s="34">
        <f>$G$3*H543</f>
        <v>4.8734104999999994</v>
      </c>
      <c r="F543" t="str" cm="1">
        <f t="array" ref="F543">INDEX(_xlfn.TEXTSPLIT($J543,"/"),4)</f>
        <v>NE-Chiller-PumpCtrl-Full-Std</v>
      </c>
      <c r="G543">
        <f>$P543</f>
        <v>6.9969999999999997E-3</v>
      </c>
      <c r="H543">
        <f>$G$4*G543</f>
        <v>6.9620150000000001</v>
      </c>
      <c r="J543" t="s">
        <v>434</v>
      </c>
      <c r="K543" t="s">
        <v>19</v>
      </c>
      <c r="L543">
        <v>469.61</v>
      </c>
      <c r="M543">
        <v>1340.64</v>
      </c>
      <c r="P543">
        <v>6.9969999999999997E-3</v>
      </c>
      <c r="Q543">
        <v>0</v>
      </c>
      <c r="R543">
        <v>33893.39</v>
      </c>
      <c r="S543">
        <v>12134.67</v>
      </c>
      <c r="T543">
        <v>0</v>
      </c>
      <c r="U543">
        <v>29466.65</v>
      </c>
      <c r="V543">
        <v>0</v>
      </c>
      <c r="W543">
        <v>56591.06</v>
      </c>
      <c r="X543">
        <v>7002.89</v>
      </c>
      <c r="Y543">
        <v>6047.53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293.43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4247.3</v>
      </c>
      <c r="AQ543">
        <v>0</v>
      </c>
      <c r="AR543">
        <v>0</v>
      </c>
      <c r="AS543">
        <v>72374617.1878874</v>
      </c>
    </row>
    <row r="544" spans="2:45" x14ac:dyDescent="0.25">
      <c r="B544" s="15" t="str" cm="1">
        <f t="array" ref="B544">INDEX(_xlfn.TEXTSPLIT($J544,"/"),3)</f>
        <v>OfS&amp;0&amp;cPVVE&amp;New&amp;Chiller__PumpCtrl</v>
      </c>
      <c r="C544" s="15" t="str" cm="1">
        <f t="array" ref="C544">INDEX(_xlfn.TEXTSPLIT($J544,"/"),2)</f>
        <v>CZ10</v>
      </c>
      <c r="D544" s="34">
        <f>$G$3*H544</f>
        <v>5.4076259999999996</v>
      </c>
      <c r="F544" t="str" cm="1">
        <f t="array" ref="F544">INDEX(_xlfn.TEXTSPLIT($J544,"/"),4)</f>
        <v>NE-Chiller-PumpCtrl-Full-Std</v>
      </c>
      <c r="G544">
        <f>$P544</f>
        <v>7.7640000000000001E-3</v>
      </c>
      <c r="H544">
        <f>$G$4*G544</f>
        <v>7.7251799999999999</v>
      </c>
      <c r="J544" t="s">
        <v>417</v>
      </c>
      <c r="K544" t="s">
        <v>20</v>
      </c>
      <c r="L544">
        <v>521.05999999999995</v>
      </c>
      <c r="M544">
        <v>1487.55</v>
      </c>
      <c r="P544">
        <v>7.7640000000000001E-3</v>
      </c>
      <c r="Q544">
        <v>0</v>
      </c>
      <c r="R544">
        <v>44969.8</v>
      </c>
      <c r="S544">
        <v>12134.67</v>
      </c>
      <c r="T544">
        <v>0</v>
      </c>
      <c r="U544">
        <v>29466.65</v>
      </c>
      <c r="V544">
        <v>0</v>
      </c>
      <c r="W544">
        <v>61779.839999999997</v>
      </c>
      <c r="X544">
        <v>8029.51</v>
      </c>
      <c r="Y544">
        <v>6813.95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1384.64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4217.2700000000004</v>
      </c>
      <c r="AQ544">
        <v>0</v>
      </c>
      <c r="AR544">
        <v>0</v>
      </c>
      <c r="AS544">
        <v>121240601.070049</v>
      </c>
    </row>
    <row r="545" spans="2:45" x14ac:dyDescent="0.25">
      <c r="B545" s="15" t="str" cm="1">
        <f t="array" ref="B545">INDEX(_xlfn.TEXTSPLIT($J545,"/"),3)</f>
        <v>OfS&amp;0&amp;cPVVE&amp;New&amp;Chiller__PumpCtrl</v>
      </c>
      <c r="C545" s="15" t="str" cm="1">
        <f t="array" ref="C545">INDEX(_xlfn.TEXTSPLIT($J545,"/"),2)</f>
        <v>CZ11</v>
      </c>
      <c r="D545" s="34">
        <f>$G$3*H545</f>
        <v>5.3010614999999994</v>
      </c>
      <c r="F545" t="str" cm="1">
        <f t="array" ref="F545">INDEX(_xlfn.TEXTSPLIT($J545,"/"),4)</f>
        <v>NE-Chiller-PumpCtrl-Full-Std</v>
      </c>
      <c r="G545">
        <f>$P545</f>
        <v>7.6109999999999997E-3</v>
      </c>
      <c r="H545">
        <f>$G$4*G545</f>
        <v>7.5729449999999998</v>
      </c>
      <c r="J545" t="s">
        <v>401</v>
      </c>
      <c r="K545" t="s">
        <v>21</v>
      </c>
      <c r="L545">
        <v>510.78</v>
      </c>
      <c r="M545">
        <v>1458.2</v>
      </c>
      <c r="P545">
        <v>7.6109999999999997E-3</v>
      </c>
      <c r="Q545">
        <v>0</v>
      </c>
      <c r="R545">
        <v>41979.39</v>
      </c>
      <c r="S545">
        <v>12134.67</v>
      </c>
      <c r="T545">
        <v>0</v>
      </c>
      <c r="U545">
        <v>29466.65</v>
      </c>
      <c r="V545">
        <v>0</v>
      </c>
      <c r="W545">
        <v>60611.69</v>
      </c>
      <c r="X545">
        <v>7448.49</v>
      </c>
      <c r="Y545">
        <v>6307.19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5164.41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4299.92</v>
      </c>
      <c r="AQ545">
        <v>0</v>
      </c>
      <c r="AR545">
        <v>0</v>
      </c>
      <c r="AS545">
        <v>120408298.958406</v>
      </c>
    </row>
    <row r="546" spans="2:45" x14ac:dyDescent="0.25">
      <c r="B546" s="15" t="str" cm="1">
        <f t="array" ref="B546">INDEX(_xlfn.TEXTSPLIT($J546,"/"),3)</f>
        <v>OfS&amp;0&amp;cPVVE&amp;New&amp;Chiller__PumpCtrl</v>
      </c>
      <c r="C546" s="15" t="str" cm="1">
        <f t="array" ref="C546">INDEX(_xlfn.TEXTSPLIT($J546,"/"),2)</f>
        <v>CZ12</v>
      </c>
      <c r="D546" s="34">
        <f>$G$3*H546</f>
        <v>5.0893254999999993</v>
      </c>
      <c r="F546" t="str" cm="1">
        <f t="array" ref="F546">INDEX(_xlfn.TEXTSPLIT($J546,"/"),4)</f>
        <v>NE-Chiller-PumpCtrl-Full-Std</v>
      </c>
      <c r="G546">
        <f>$P546</f>
        <v>7.3070000000000001E-3</v>
      </c>
      <c r="H546">
        <f>$G$4*G546</f>
        <v>7.2704649999999997</v>
      </c>
      <c r="J546" t="s">
        <v>385</v>
      </c>
      <c r="K546" t="s">
        <v>22</v>
      </c>
      <c r="L546">
        <v>490.41</v>
      </c>
      <c r="M546">
        <v>1400.02</v>
      </c>
      <c r="P546">
        <v>7.3070000000000001E-3</v>
      </c>
      <c r="Q546">
        <v>0</v>
      </c>
      <c r="R546">
        <v>35943.9</v>
      </c>
      <c r="S546">
        <v>12134.67</v>
      </c>
      <c r="T546">
        <v>0</v>
      </c>
      <c r="U546">
        <v>29466.65</v>
      </c>
      <c r="V546">
        <v>0</v>
      </c>
      <c r="W546">
        <v>56567.41</v>
      </c>
      <c r="X546">
        <v>6544.07</v>
      </c>
      <c r="Y546">
        <v>5390.86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5543.18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4403.6000000000004</v>
      </c>
      <c r="AQ546">
        <v>0</v>
      </c>
      <c r="AR546">
        <v>0</v>
      </c>
      <c r="AS546">
        <v>115228570.85235301</v>
      </c>
    </row>
    <row r="547" spans="2:45" x14ac:dyDescent="0.25">
      <c r="B547" s="15" t="str" cm="1">
        <f t="array" ref="B547">INDEX(_xlfn.TEXTSPLIT($J547,"/"),3)</f>
        <v>OfS&amp;0&amp;cPVVE&amp;New&amp;Chiller__PumpCtrl</v>
      </c>
      <c r="C547" s="15" t="str" cm="1">
        <f t="array" ref="C547">INDEX(_xlfn.TEXTSPLIT($J547,"/"),2)</f>
        <v>CZ13</v>
      </c>
      <c r="D547" s="34">
        <f>$G$3*H547</f>
        <v>5.3964819999999998</v>
      </c>
      <c r="F547" t="str" cm="1">
        <f t="array" ref="F547">INDEX(_xlfn.TEXTSPLIT($J547,"/"),4)</f>
        <v>NE-Chiller-PumpCtrl-Full-Std</v>
      </c>
      <c r="G547">
        <f>$P547</f>
        <v>7.7479999999999997E-3</v>
      </c>
      <c r="H547">
        <f>$G$4*G547</f>
        <v>7.7092599999999996</v>
      </c>
      <c r="J547" t="s">
        <v>370</v>
      </c>
      <c r="K547" t="s">
        <v>23</v>
      </c>
      <c r="L547">
        <v>520</v>
      </c>
      <c r="M547">
        <v>1484.5</v>
      </c>
      <c r="P547">
        <v>7.7479999999999997E-3</v>
      </c>
      <c r="Q547">
        <v>0</v>
      </c>
      <c r="R547">
        <v>48878.06</v>
      </c>
      <c r="S547">
        <v>12134.67</v>
      </c>
      <c r="T547">
        <v>0</v>
      </c>
      <c r="U547">
        <v>29466.65</v>
      </c>
      <c r="V547">
        <v>0</v>
      </c>
      <c r="W547">
        <v>60151.47</v>
      </c>
      <c r="X547">
        <v>7958.09</v>
      </c>
      <c r="Y547">
        <v>6857.74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4149.17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4192.59</v>
      </c>
      <c r="AQ547">
        <v>0</v>
      </c>
      <c r="AR547">
        <v>0</v>
      </c>
      <c r="AS547">
        <v>128624437.30158401</v>
      </c>
    </row>
    <row r="548" spans="2:45" x14ac:dyDescent="0.25">
      <c r="B548" s="15" t="str" cm="1">
        <f t="array" ref="B548">INDEX(_xlfn.TEXTSPLIT($J548,"/"),3)</f>
        <v>OfS&amp;0&amp;cPVVE&amp;New&amp;Chiller__PumpCtrl</v>
      </c>
      <c r="C548" s="15" t="str" cm="1">
        <f t="array" ref="C548">INDEX(_xlfn.TEXTSPLIT($J548,"/"),2)</f>
        <v>CZ14</v>
      </c>
      <c r="D548" s="34">
        <f>$G$3*H548</f>
        <v>5.5887159999999998</v>
      </c>
      <c r="F548" t="str" cm="1">
        <f t="array" ref="F548">INDEX(_xlfn.TEXTSPLIT($J548,"/"),4)</f>
        <v>NE-Chiller-PumpCtrl-Full-Std</v>
      </c>
      <c r="G548">
        <f>$P548</f>
        <v>8.0239999999999999E-3</v>
      </c>
      <c r="H548">
        <f>$G$4*G548</f>
        <v>7.9838800000000001</v>
      </c>
      <c r="J548" t="s">
        <v>353</v>
      </c>
      <c r="K548" t="s">
        <v>24</v>
      </c>
      <c r="L548">
        <v>538.54</v>
      </c>
      <c r="M548">
        <v>1537.43</v>
      </c>
      <c r="P548">
        <v>8.0239999999999999E-3</v>
      </c>
      <c r="Q548">
        <v>0</v>
      </c>
      <c r="R548">
        <v>54836.49</v>
      </c>
      <c r="S548">
        <v>12134.67</v>
      </c>
      <c r="T548">
        <v>0</v>
      </c>
      <c r="U548">
        <v>29466.65</v>
      </c>
      <c r="V548">
        <v>0</v>
      </c>
      <c r="W548">
        <v>67613.539999999994</v>
      </c>
      <c r="X548">
        <v>9475.86</v>
      </c>
      <c r="Y548">
        <v>7886.64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2025.77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4007.89</v>
      </c>
      <c r="AQ548">
        <v>0</v>
      </c>
      <c r="AR548">
        <v>0</v>
      </c>
      <c r="AS548">
        <v>130458969.02923401</v>
      </c>
    </row>
    <row r="549" spans="2:45" x14ac:dyDescent="0.25">
      <c r="B549" s="15" t="str" cm="1">
        <f t="array" ref="B549">INDEX(_xlfn.TEXTSPLIT($J549,"/"),3)</f>
        <v>OfS&amp;0&amp;cPVVE&amp;New&amp;Chiller__PumpCtrl</v>
      </c>
      <c r="C549" s="15" t="str" cm="1">
        <f t="array" ref="C549">INDEX(_xlfn.TEXTSPLIT($J549,"/"),2)</f>
        <v>CZ15</v>
      </c>
      <c r="D549" s="34">
        <f>$G$3*H549</f>
        <v>5.7510005000000008</v>
      </c>
      <c r="F549" t="str" cm="1">
        <f t="array" ref="F549">INDEX(_xlfn.TEXTSPLIT($J549,"/"),4)</f>
        <v>NE-Chiller-PumpCtrl-Full-Std</v>
      </c>
      <c r="G549">
        <f>$P549</f>
        <v>8.2570000000000005E-3</v>
      </c>
      <c r="H549">
        <f>$G$4*G549</f>
        <v>8.2157150000000012</v>
      </c>
      <c r="J549" t="s">
        <v>337</v>
      </c>
      <c r="K549" t="s">
        <v>25</v>
      </c>
      <c r="L549">
        <v>554.16</v>
      </c>
      <c r="M549">
        <v>1582.03</v>
      </c>
      <c r="P549">
        <v>8.2570000000000005E-3</v>
      </c>
      <c r="Q549">
        <v>0</v>
      </c>
      <c r="R549">
        <v>80643.62</v>
      </c>
      <c r="S549">
        <v>12134.67</v>
      </c>
      <c r="T549">
        <v>0</v>
      </c>
      <c r="U549">
        <v>29466.65</v>
      </c>
      <c r="V549">
        <v>0</v>
      </c>
      <c r="W549">
        <v>64331.57</v>
      </c>
      <c r="X549">
        <v>10731.29</v>
      </c>
      <c r="Y549">
        <v>9519.86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281.20999999999998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3625.94</v>
      </c>
      <c r="AQ549">
        <v>0</v>
      </c>
      <c r="AR549">
        <v>0</v>
      </c>
      <c r="AS549">
        <v>137459290.766525</v>
      </c>
    </row>
    <row r="550" spans="2:45" x14ac:dyDescent="0.25">
      <c r="B550" s="15" t="str" cm="1">
        <f t="array" ref="B550">INDEX(_xlfn.TEXTSPLIT($J550,"/"),3)</f>
        <v>OfS&amp;0&amp;cPVVE&amp;New&amp;Chiller__PumpCtrl</v>
      </c>
      <c r="C550" s="15" t="str" cm="1">
        <f t="array" ref="C550">INDEX(_xlfn.TEXTSPLIT($J550,"/"),2)</f>
        <v>CZ16</v>
      </c>
      <c r="D550" s="34">
        <f>$G$3*H550</f>
        <v>5.0677339999999997</v>
      </c>
      <c r="F550" t="str" cm="1">
        <f t="array" ref="F550">INDEX(_xlfn.TEXTSPLIT($J550,"/"),4)</f>
        <v>NE-Chiller-PumpCtrl-Full-Std</v>
      </c>
      <c r="G550">
        <f>$P550</f>
        <v>7.2760000000000003E-3</v>
      </c>
      <c r="H550">
        <f>$G$4*G550</f>
        <v>7.2396200000000004</v>
      </c>
      <c r="J550" t="s">
        <v>322</v>
      </c>
      <c r="K550" t="s">
        <v>26</v>
      </c>
      <c r="L550">
        <v>488.33</v>
      </c>
      <c r="M550">
        <v>1394.09</v>
      </c>
      <c r="P550">
        <v>7.2760000000000003E-3</v>
      </c>
      <c r="Q550">
        <v>0</v>
      </c>
      <c r="R550">
        <v>31931.71</v>
      </c>
      <c r="S550">
        <v>12134.67</v>
      </c>
      <c r="T550">
        <v>0</v>
      </c>
      <c r="U550">
        <v>29466.65</v>
      </c>
      <c r="V550">
        <v>0</v>
      </c>
      <c r="W550">
        <v>69147.66</v>
      </c>
      <c r="X550">
        <v>7470.68</v>
      </c>
      <c r="Y550">
        <v>5360.73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9275.7999999999993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4620.5200000000004</v>
      </c>
      <c r="AQ550">
        <v>0</v>
      </c>
      <c r="AR550">
        <v>0</v>
      </c>
      <c r="AS550">
        <v>104036318.550659</v>
      </c>
    </row>
    <row r="551" spans="2:45" x14ac:dyDescent="0.25">
      <c r="B551" s="15" t="str" cm="1">
        <f t="array" ref="B551">INDEX(_xlfn.TEXTSPLIT($J551,"/"),3)</f>
        <v>Rt3&amp;0&amp;cPVVE&amp;Ex&amp;Chiller__PumpCtrl</v>
      </c>
      <c r="C551" s="15" t="str" cm="1">
        <f t="array" ref="C551">INDEX(_xlfn.TEXTSPLIT($J551,"/"),2)</f>
        <v>CZ01</v>
      </c>
      <c r="D551" s="34">
        <f>$G$3*H551</f>
        <v>64.004867499999989</v>
      </c>
      <c r="F551" t="str" cm="1">
        <f t="array" ref="F551">INDEX(_xlfn.TEXTSPLIT($J551,"/"),4)</f>
        <v>NE-Chiller-PumpCtrl-Full-Std</v>
      </c>
      <c r="G551">
        <f>$P551</f>
        <v>9.1895000000000004E-2</v>
      </c>
      <c r="H551">
        <f>$G$4*G551</f>
        <v>91.435524999999998</v>
      </c>
      <c r="J551" t="s">
        <v>303</v>
      </c>
      <c r="K551" t="s">
        <v>11</v>
      </c>
      <c r="L551">
        <v>6167.59</v>
      </c>
      <c r="M551">
        <v>17607.39</v>
      </c>
      <c r="P551">
        <v>9.1895000000000004E-2</v>
      </c>
      <c r="Q551">
        <v>0</v>
      </c>
      <c r="R551">
        <v>55866.92</v>
      </c>
      <c r="S551">
        <v>774617.57</v>
      </c>
      <c r="T551">
        <v>0</v>
      </c>
      <c r="U551">
        <v>436518</v>
      </c>
      <c r="V551">
        <v>0</v>
      </c>
      <c r="W551">
        <v>118735.41</v>
      </c>
      <c r="X551">
        <v>27270.16</v>
      </c>
      <c r="Y551">
        <v>21468.36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253613.15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192558</v>
      </c>
      <c r="AQ551">
        <v>0</v>
      </c>
      <c r="AR551">
        <v>0</v>
      </c>
      <c r="AS551">
        <v>1348749771.5325899</v>
      </c>
    </row>
    <row r="552" spans="2:45" x14ac:dyDescent="0.25">
      <c r="B552" s="15" t="str" cm="1">
        <f t="array" ref="B552">INDEX(_xlfn.TEXTSPLIT($J552,"/"),3)</f>
        <v>Rt3&amp;0&amp;cPVVE&amp;Ex&amp;Chiller__PumpCtrl</v>
      </c>
      <c r="C552" s="15" t="str" cm="1">
        <f t="array" ref="C552">INDEX(_xlfn.TEXTSPLIT($J552,"/"),2)</f>
        <v>CZ02</v>
      </c>
      <c r="D552" s="34">
        <f>$G$3*H552</f>
        <v>85.119961500000002</v>
      </c>
      <c r="F552" t="str" cm="1">
        <f t="array" ref="F552">INDEX(_xlfn.TEXTSPLIT($J552,"/"),4)</f>
        <v>NE-Chiller-PumpCtrl-Full-Std</v>
      </c>
      <c r="G552">
        <f>$P552</f>
        <v>0.122211</v>
      </c>
      <c r="H552">
        <f>$G$4*G552</f>
        <v>121.59994500000001</v>
      </c>
      <c r="J552" t="s">
        <v>289</v>
      </c>
      <c r="K552" t="s">
        <v>12</v>
      </c>
      <c r="L552">
        <v>8202.25</v>
      </c>
      <c r="M552">
        <v>23415.98</v>
      </c>
      <c r="P552">
        <v>0.122211</v>
      </c>
      <c r="Q552">
        <v>0</v>
      </c>
      <c r="R552">
        <v>555482.76</v>
      </c>
      <c r="S552">
        <v>774617.57</v>
      </c>
      <c r="T552">
        <v>0</v>
      </c>
      <c r="U552">
        <v>436518</v>
      </c>
      <c r="V552">
        <v>0</v>
      </c>
      <c r="W552">
        <v>212816.87</v>
      </c>
      <c r="X552">
        <v>114533.93</v>
      </c>
      <c r="Y552">
        <v>97032.46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449740.65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176954.13</v>
      </c>
      <c r="AQ552">
        <v>0</v>
      </c>
      <c r="AR552">
        <v>0</v>
      </c>
      <c r="AS552">
        <v>2401702287.4490199</v>
      </c>
    </row>
    <row r="553" spans="2:45" x14ac:dyDescent="0.25">
      <c r="B553" s="15" t="str" cm="1">
        <f t="array" ref="B553">INDEX(_xlfn.TEXTSPLIT($J553,"/"),3)</f>
        <v>Rt3&amp;0&amp;cPVVE&amp;Ex&amp;Chiller__PumpCtrl</v>
      </c>
      <c r="C553" s="15" t="str" cm="1">
        <f t="array" ref="C553">INDEX(_xlfn.TEXTSPLIT($J553,"/"),2)</f>
        <v>CZ03</v>
      </c>
      <c r="D553" s="34">
        <f>$G$3*H553</f>
        <v>80.502166500000001</v>
      </c>
      <c r="F553" t="str" cm="1">
        <f t="array" ref="F553">INDEX(_xlfn.TEXTSPLIT($J553,"/"),4)</f>
        <v>NE-Chiller-PumpCtrl-Full-Std</v>
      </c>
      <c r="G553">
        <f>$P553</f>
        <v>0.115581</v>
      </c>
      <c r="H553">
        <f>$G$4*G553</f>
        <v>115.003095</v>
      </c>
      <c r="J553" t="s">
        <v>269</v>
      </c>
      <c r="K553" t="s">
        <v>13</v>
      </c>
      <c r="L553">
        <v>7757.24</v>
      </c>
      <c r="M553">
        <v>22145.57</v>
      </c>
      <c r="P553">
        <v>0.115581</v>
      </c>
      <c r="Q553">
        <v>0</v>
      </c>
      <c r="R553">
        <v>367812.35</v>
      </c>
      <c r="S553">
        <v>774617.57</v>
      </c>
      <c r="T553">
        <v>0</v>
      </c>
      <c r="U553">
        <v>436518</v>
      </c>
      <c r="V553">
        <v>0</v>
      </c>
      <c r="W553">
        <v>155625.94</v>
      </c>
      <c r="X553">
        <v>102743.97</v>
      </c>
      <c r="Y553">
        <v>90269.07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221651.66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176273.99</v>
      </c>
      <c r="AQ553">
        <v>0</v>
      </c>
      <c r="AR553">
        <v>0</v>
      </c>
      <c r="AS553">
        <v>2130895733.93786</v>
      </c>
    </row>
    <row r="554" spans="2:45" x14ac:dyDescent="0.25">
      <c r="B554" s="15" t="str" cm="1">
        <f t="array" ref="B554">INDEX(_xlfn.TEXTSPLIT($J554,"/"),3)</f>
        <v>Rt3&amp;0&amp;cPVVE&amp;Ex&amp;Chiller__PumpCtrl</v>
      </c>
      <c r="C554" s="15" t="str" cm="1">
        <f t="array" ref="C554">INDEX(_xlfn.TEXTSPLIT($J554,"/"),2)</f>
        <v>CZ04</v>
      </c>
      <c r="D554" s="34">
        <f>$G$3*H554</f>
        <v>87.194834999999998</v>
      </c>
      <c r="F554" t="str" cm="1">
        <f t="array" ref="F554">INDEX(_xlfn.TEXTSPLIT($J554,"/"),4)</f>
        <v>NE-Chiller-PumpCtrl-Full-Std</v>
      </c>
      <c r="G554">
        <f>$P554</f>
        <v>0.12519</v>
      </c>
      <c r="H554">
        <f>$G$4*G554</f>
        <v>124.56404999999999</v>
      </c>
      <c r="J554" t="s">
        <v>255</v>
      </c>
      <c r="K554" t="s">
        <v>14</v>
      </c>
      <c r="L554">
        <v>8402.17</v>
      </c>
      <c r="M554">
        <v>23986.720000000001</v>
      </c>
      <c r="P554">
        <v>0.12519</v>
      </c>
      <c r="Q554">
        <v>0</v>
      </c>
      <c r="R554">
        <v>628072.87</v>
      </c>
      <c r="S554">
        <v>774617.57</v>
      </c>
      <c r="T554">
        <v>0</v>
      </c>
      <c r="U554">
        <v>436518</v>
      </c>
      <c r="V554">
        <v>0</v>
      </c>
      <c r="W554">
        <v>227845.29</v>
      </c>
      <c r="X554">
        <v>125971.47</v>
      </c>
      <c r="Y554">
        <v>112831.11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366917.39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170226.86</v>
      </c>
      <c r="AQ554">
        <v>0</v>
      </c>
      <c r="AR554">
        <v>0</v>
      </c>
      <c r="AS554">
        <v>2481870198.8495698</v>
      </c>
    </row>
    <row r="555" spans="2:45" x14ac:dyDescent="0.25">
      <c r="B555" s="15" t="str" cm="1">
        <f t="array" ref="B555">INDEX(_xlfn.TEXTSPLIT($J555,"/"),3)</f>
        <v>Rt3&amp;0&amp;cPVVE&amp;Ex&amp;Chiller__PumpCtrl</v>
      </c>
      <c r="C555" s="15" t="str" cm="1">
        <f t="array" ref="C555">INDEX(_xlfn.TEXTSPLIT($J555,"/"),2)</f>
        <v>CZ05</v>
      </c>
      <c r="D555" s="34">
        <f>$G$3*H555</f>
        <v>76.580871499999986</v>
      </c>
      <c r="F555" t="str" cm="1">
        <f t="array" ref="F555">INDEX(_xlfn.TEXTSPLIT($J555,"/"),4)</f>
        <v>NE-Chiller-PumpCtrl-Full-Std</v>
      </c>
      <c r="G555">
        <f>$P555</f>
        <v>0.10995099999999999</v>
      </c>
      <c r="H555">
        <f>$G$4*G555</f>
        <v>109.40124499999999</v>
      </c>
      <c r="J555" t="s">
        <v>242</v>
      </c>
      <c r="K555" t="s">
        <v>15</v>
      </c>
      <c r="L555">
        <v>7379.39</v>
      </c>
      <c r="M555">
        <v>21066.880000000001</v>
      </c>
      <c r="P555">
        <v>0.10995099999999999</v>
      </c>
      <c r="Q555">
        <v>0</v>
      </c>
      <c r="R555">
        <v>429153.77</v>
      </c>
      <c r="S555">
        <v>774617.57</v>
      </c>
      <c r="T555">
        <v>0</v>
      </c>
      <c r="U555">
        <v>436518</v>
      </c>
      <c r="V555">
        <v>0</v>
      </c>
      <c r="W555">
        <v>178834.68</v>
      </c>
      <c r="X555">
        <v>107872.49</v>
      </c>
      <c r="Y555">
        <v>94872.68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253357.64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176293.56</v>
      </c>
      <c r="AQ555">
        <v>0</v>
      </c>
      <c r="AR555">
        <v>0</v>
      </c>
      <c r="AS555">
        <v>1727174374.70525</v>
      </c>
    </row>
    <row r="556" spans="2:45" x14ac:dyDescent="0.25">
      <c r="B556" s="15" t="str" cm="1">
        <f t="array" ref="B556">INDEX(_xlfn.TEXTSPLIT($J556,"/"),3)</f>
        <v>Rt3&amp;0&amp;cPVVE&amp;Ex&amp;Chiller__PumpCtrl</v>
      </c>
      <c r="C556" s="15" t="str" cm="1">
        <f t="array" ref="C556">INDEX(_xlfn.TEXTSPLIT($J556,"/"),2)</f>
        <v>CZ06</v>
      </c>
      <c r="D556" s="34">
        <f>$G$3*H556</f>
        <v>81.833874499999993</v>
      </c>
      <c r="F556" t="str" cm="1">
        <f t="array" ref="F556">INDEX(_xlfn.TEXTSPLIT($J556,"/"),4)</f>
        <v>NE-Chiller-PumpCtrl-Full-Std</v>
      </c>
      <c r="G556">
        <f>$P556</f>
        <v>0.117493</v>
      </c>
      <c r="H556">
        <f>$G$4*G556</f>
        <v>116.905535</v>
      </c>
      <c r="J556" t="s">
        <v>225</v>
      </c>
      <c r="K556" t="s">
        <v>16</v>
      </c>
      <c r="L556">
        <v>7885.59</v>
      </c>
      <c r="M556">
        <v>22512</v>
      </c>
      <c r="P556">
        <v>0.117493</v>
      </c>
      <c r="Q556">
        <v>0</v>
      </c>
      <c r="R556">
        <v>755659.01</v>
      </c>
      <c r="S556">
        <v>774617.57</v>
      </c>
      <c r="T556">
        <v>0</v>
      </c>
      <c r="U556">
        <v>436518</v>
      </c>
      <c r="V556">
        <v>0</v>
      </c>
      <c r="W556">
        <v>227658.66</v>
      </c>
      <c r="X556">
        <v>139215.53</v>
      </c>
      <c r="Y556">
        <v>128855.74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189480.48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162393.85999999999</v>
      </c>
      <c r="AQ556">
        <v>0</v>
      </c>
      <c r="AR556">
        <v>0</v>
      </c>
      <c r="AS556">
        <v>1907844656.7614701</v>
      </c>
    </row>
    <row r="557" spans="2:45" x14ac:dyDescent="0.25">
      <c r="B557" s="15" t="str" cm="1">
        <f t="array" ref="B557">INDEX(_xlfn.TEXTSPLIT($J557,"/"),3)</f>
        <v>Rt3&amp;0&amp;cPVVE&amp;Ex&amp;Chiller__PumpCtrl</v>
      </c>
      <c r="C557" s="15" t="str" cm="1">
        <f t="array" ref="C557">INDEX(_xlfn.TEXTSPLIT($J557,"/"),2)</f>
        <v>CZ07</v>
      </c>
      <c r="D557" s="34">
        <f>$G$3*H557</f>
        <v>85.503036499999993</v>
      </c>
      <c r="F557" t="str" cm="1">
        <f t="array" ref="F557">INDEX(_xlfn.TEXTSPLIT($J557,"/"),4)</f>
        <v>NE-Chiller-PumpCtrl-Full-Std</v>
      </c>
      <c r="G557">
        <f>$P557</f>
        <v>0.122761</v>
      </c>
      <c r="H557">
        <f>$G$4*G557</f>
        <v>122.147195</v>
      </c>
      <c r="J557" t="s">
        <v>206</v>
      </c>
      <c r="K557" t="s">
        <v>17</v>
      </c>
      <c r="L557">
        <v>8239.1200000000008</v>
      </c>
      <c r="M557">
        <v>23521.25</v>
      </c>
      <c r="P557">
        <v>0.122761</v>
      </c>
      <c r="Q557">
        <v>0</v>
      </c>
      <c r="R557">
        <v>894199.43</v>
      </c>
      <c r="S557">
        <v>774617.57</v>
      </c>
      <c r="T557">
        <v>0</v>
      </c>
      <c r="U557">
        <v>436518</v>
      </c>
      <c r="V557">
        <v>0</v>
      </c>
      <c r="W557">
        <v>276858.93</v>
      </c>
      <c r="X557">
        <v>149410.89000000001</v>
      </c>
      <c r="Y557">
        <v>138637.85999999999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322058.06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160360.91</v>
      </c>
      <c r="AQ557">
        <v>0</v>
      </c>
      <c r="AR557">
        <v>0</v>
      </c>
      <c r="AS557">
        <v>2126943984.66644</v>
      </c>
    </row>
    <row r="558" spans="2:45" x14ac:dyDescent="0.25">
      <c r="B558" s="15" t="str" cm="1">
        <f t="array" ref="B558">INDEX(_xlfn.TEXTSPLIT($J558,"/"),3)</f>
        <v>Rt3&amp;0&amp;cPVVE&amp;Ex&amp;Chiller__PumpCtrl</v>
      </c>
      <c r="C558" s="15" t="str" cm="1">
        <f t="array" ref="C558">INDEX(_xlfn.TEXTSPLIT($J558,"/"),2)</f>
        <v>CZ08</v>
      </c>
      <c r="D558" s="34">
        <f>$G$3*H558</f>
        <v>89.48423050000001</v>
      </c>
      <c r="F558" t="str" cm="1">
        <f t="array" ref="F558">INDEX(_xlfn.TEXTSPLIT($J558,"/"),4)</f>
        <v>NE-Chiller-PumpCtrl-Full-Std</v>
      </c>
      <c r="G558">
        <f>$P558</f>
        <v>0.12847700000000001</v>
      </c>
      <c r="H558">
        <f>$G$4*G558</f>
        <v>127.83461500000001</v>
      </c>
      <c r="J558" t="s">
        <v>194</v>
      </c>
      <c r="K558" t="s">
        <v>18</v>
      </c>
      <c r="L558">
        <v>8622.81</v>
      </c>
      <c r="M558">
        <v>24616.61</v>
      </c>
      <c r="P558">
        <v>0.12847700000000001</v>
      </c>
      <c r="Q558">
        <v>0</v>
      </c>
      <c r="R558">
        <v>939176.56</v>
      </c>
      <c r="S558">
        <v>774617.57</v>
      </c>
      <c r="T558">
        <v>0</v>
      </c>
      <c r="U558">
        <v>436518</v>
      </c>
      <c r="V558">
        <v>0</v>
      </c>
      <c r="W558">
        <v>273613.98</v>
      </c>
      <c r="X558">
        <v>153249.06</v>
      </c>
      <c r="Y558">
        <v>141332.60999999999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388801.4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160082.06</v>
      </c>
      <c r="AQ558">
        <v>0</v>
      </c>
      <c r="AR558">
        <v>0</v>
      </c>
      <c r="AS558">
        <v>2017842890.6709001</v>
      </c>
    </row>
    <row r="559" spans="2:45" x14ac:dyDescent="0.25">
      <c r="B559" s="15" t="str" cm="1">
        <f t="array" ref="B559">INDEX(_xlfn.TEXTSPLIT($J559,"/"),3)</f>
        <v>Rt3&amp;0&amp;cPVVE&amp;Ex&amp;Chiller__PumpCtrl</v>
      </c>
      <c r="C559" s="15" t="str" cm="1">
        <f t="array" ref="C559">INDEX(_xlfn.TEXTSPLIT($J559,"/"),2)</f>
        <v>CZ09</v>
      </c>
      <c r="D559" s="34">
        <f>$G$3*H559</f>
        <v>93.479354499999985</v>
      </c>
      <c r="F559" t="str" cm="1">
        <f t="array" ref="F559">INDEX(_xlfn.TEXTSPLIT($J559,"/"),4)</f>
        <v>NE-Chiller-PumpCtrl-Full-Std</v>
      </c>
      <c r="G559">
        <f>$P559</f>
        <v>0.134213</v>
      </c>
      <c r="H559">
        <f>$G$4*G559</f>
        <v>133.541935</v>
      </c>
      <c r="J559" t="s">
        <v>176</v>
      </c>
      <c r="K559" t="s">
        <v>19</v>
      </c>
      <c r="L559">
        <v>9007.7800000000007</v>
      </c>
      <c r="M559">
        <v>25715.64</v>
      </c>
      <c r="P559">
        <v>0.134213</v>
      </c>
      <c r="Q559">
        <v>0</v>
      </c>
      <c r="R559">
        <v>1048250.4</v>
      </c>
      <c r="S559">
        <v>774617.57</v>
      </c>
      <c r="T559">
        <v>0</v>
      </c>
      <c r="U559">
        <v>436518</v>
      </c>
      <c r="V559">
        <v>0</v>
      </c>
      <c r="W559">
        <v>289952.68</v>
      </c>
      <c r="X559">
        <v>163339.20000000001</v>
      </c>
      <c r="Y559">
        <v>151098.69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451636.03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157893.14000000001</v>
      </c>
      <c r="AQ559">
        <v>0</v>
      </c>
      <c r="AR559">
        <v>0</v>
      </c>
      <c r="AS559">
        <v>2154112241.6129599</v>
      </c>
    </row>
    <row r="560" spans="2:45" x14ac:dyDescent="0.25">
      <c r="B560" s="15" t="str" cm="1">
        <f t="array" ref="B560">INDEX(_xlfn.TEXTSPLIT($J560,"/"),3)</f>
        <v>Rt3&amp;0&amp;cPVVE&amp;Ex&amp;Chiller__PumpCtrl</v>
      </c>
      <c r="C560" s="15" t="str" cm="1">
        <f t="array" ref="C560">INDEX(_xlfn.TEXTSPLIT($J560,"/"),2)</f>
        <v>CZ10</v>
      </c>
      <c r="D560" s="34">
        <f>$G$3*H560</f>
        <v>100.6407675</v>
      </c>
      <c r="F560" t="str" cm="1">
        <f t="array" ref="F560">INDEX(_xlfn.TEXTSPLIT($J560,"/"),4)</f>
        <v>NE-Chiller-PumpCtrl-Full-Std</v>
      </c>
      <c r="G560">
        <f>$P560</f>
        <v>0.14449500000000001</v>
      </c>
      <c r="H560">
        <f>$G$4*G560</f>
        <v>143.772525</v>
      </c>
      <c r="J560" t="s">
        <v>158</v>
      </c>
      <c r="K560" t="s">
        <v>20</v>
      </c>
      <c r="L560">
        <v>9697.85</v>
      </c>
      <c r="M560">
        <v>27685.68</v>
      </c>
      <c r="P560">
        <v>0.14449500000000001</v>
      </c>
      <c r="Q560">
        <v>0</v>
      </c>
      <c r="R560">
        <v>1124942.3899999999</v>
      </c>
      <c r="S560">
        <v>774617.57</v>
      </c>
      <c r="T560">
        <v>0</v>
      </c>
      <c r="U560">
        <v>436518</v>
      </c>
      <c r="V560">
        <v>0</v>
      </c>
      <c r="W560">
        <v>321636.73</v>
      </c>
      <c r="X560">
        <v>172538.59</v>
      </c>
      <c r="Y560">
        <v>154347.92000000001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678917.41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156630.51</v>
      </c>
      <c r="AQ560">
        <v>0</v>
      </c>
      <c r="AR560">
        <v>0</v>
      </c>
      <c r="AS560">
        <v>2805044324.4605598</v>
      </c>
    </row>
    <row r="561" spans="2:45" x14ac:dyDescent="0.25">
      <c r="B561" s="15" t="str" cm="1">
        <f t="array" ref="B561">INDEX(_xlfn.TEXTSPLIT($J561,"/"),3)</f>
        <v>Rt3&amp;0&amp;cPVVE&amp;Ex&amp;Chiller__PumpCtrl</v>
      </c>
      <c r="C561" s="15" t="str" cm="1">
        <f t="array" ref="C561">INDEX(_xlfn.TEXTSPLIT($J561,"/"),2)</f>
        <v>CZ11</v>
      </c>
      <c r="D561" s="34">
        <f>$G$3*H561</f>
        <v>95.05205149999999</v>
      </c>
      <c r="F561" t="str" cm="1">
        <f t="array" ref="F561">INDEX(_xlfn.TEXTSPLIT($J561,"/"),4)</f>
        <v>NE-Chiller-PumpCtrl-Full-Std</v>
      </c>
      <c r="G561">
        <f>$P561</f>
        <v>0.13647100000000001</v>
      </c>
      <c r="H561">
        <f>$G$4*G561</f>
        <v>135.788645</v>
      </c>
      <c r="J561" t="s">
        <v>143</v>
      </c>
      <c r="K561" t="s">
        <v>21</v>
      </c>
      <c r="L561">
        <v>9159.27</v>
      </c>
      <c r="M561">
        <v>26148.13</v>
      </c>
      <c r="P561">
        <v>0.13647100000000001</v>
      </c>
      <c r="Q561">
        <v>0</v>
      </c>
      <c r="R561">
        <v>921282.73</v>
      </c>
      <c r="S561">
        <v>774617.57</v>
      </c>
      <c r="T561">
        <v>0</v>
      </c>
      <c r="U561">
        <v>436518</v>
      </c>
      <c r="V561">
        <v>0</v>
      </c>
      <c r="W561">
        <v>300420.83</v>
      </c>
      <c r="X561">
        <v>144250.70000000001</v>
      </c>
      <c r="Y561">
        <v>126270.55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666036.99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160208.70000000001</v>
      </c>
      <c r="AQ561">
        <v>0</v>
      </c>
      <c r="AR561">
        <v>0</v>
      </c>
      <c r="AS561">
        <v>2795470795.21943</v>
      </c>
    </row>
    <row r="562" spans="2:45" x14ac:dyDescent="0.25">
      <c r="B562" s="15" t="str" cm="1">
        <f t="array" ref="B562">INDEX(_xlfn.TEXTSPLIT($J562,"/"),3)</f>
        <v>Rt3&amp;0&amp;cPVVE&amp;Ex&amp;Chiller__PumpCtrl</v>
      </c>
      <c r="C562" s="15" t="str" cm="1">
        <f t="array" ref="C562">INDEX(_xlfn.TEXTSPLIT($J562,"/"),2)</f>
        <v>CZ12</v>
      </c>
      <c r="D562" s="34">
        <f>$G$3*H562</f>
        <v>91.926855999999987</v>
      </c>
      <c r="F562" t="str" cm="1">
        <f t="array" ref="F562">INDEX(_xlfn.TEXTSPLIT($J562,"/"),4)</f>
        <v>NE-Chiller-PumpCtrl-Full-Std</v>
      </c>
      <c r="G562">
        <f>$P562</f>
        <v>0.13198399999999999</v>
      </c>
      <c r="H562">
        <f>$G$4*G562</f>
        <v>131.32407999999998</v>
      </c>
      <c r="J562" t="s">
        <v>125</v>
      </c>
      <c r="K562" t="s">
        <v>22</v>
      </c>
      <c r="L562">
        <v>8858.16</v>
      </c>
      <c r="M562">
        <v>25288.49</v>
      </c>
      <c r="P562">
        <v>0.13198399999999999</v>
      </c>
      <c r="Q562">
        <v>0</v>
      </c>
      <c r="R562">
        <v>872607.89</v>
      </c>
      <c r="S562">
        <v>774617.57</v>
      </c>
      <c r="T562">
        <v>0</v>
      </c>
      <c r="U562">
        <v>436518</v>
      </c>
      <c r="V562">
        <v>0</v>
      </c>
      <c r="W562">
        <v>279436.59000000003</v>
      </c>
      <c r="X562">
        <v>136846.5</v>
      </c>
      <c r="Y562">
        <v>119270.57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580418.37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164667.68</v>
      </c>
      <c r="AQ562">
        <v>0</v>
      </c>
      <c r="AR562">
        <v>0</v>
      </c>
      <c r="AS562">
        <v>2729655732.5121198</v>
      </c>
    </row>
    <row r="563" spans="2:45" x14ac:dyDescent="0.25">
      <c r="B563" s="15" t="str" cm="1">
        <f t="array" ref="B563">INDEX(_xlfn.TEXTSPLIT($J563,"/"),3)</f>
        <v>Rt3&amp;0&amp;cPVVE&amp;Ex&amp;Chiller__PumpCtrl</v>
      </c>
      <c r="C563" s="15" t="str" cm="1">
        <f t="array" ref="C563">INDEX(_xlfn.TEXTSPLIT($J563,"/"),2)</f>
        <v>CZ13</v>
      </c>
      <c r="D563" s="34">
        <f>$G$3*H563</f>
        <v>96.709024999999997</v>
      </c>
      <c r="F563" t="str" cm="1">
        <f t="array" ref="F563">INDEX(_xlfn.TEXTSPLIT($J563,"/"),4)</f>
        <v>NE-Chiller-PumpCtrl-Full-Std</v>
      </c>
      <c r="G563">
        <f>$P563</f>
        <v>0.13885</v>
      </c>
      <c r="H563">
        <f>$G$4*G563</f>
        <v>138.15575000000001</v>
      </c>
      <c r="J563" t="s">
        <v>115</v>
      </c>
      <c r="K563" t="s">
        <v>23</v>
      </c>
      <c r="L563">
        <v>9318.9500000000007</v>
      </c>
      <c r="M563">
        <v>26603.98</v>
      </c>
      <c r="P563">
        <v>0.13885</v>
      </c>
      <c r="Q563">
        <v>0</v>
      </c>
      <c r="R563">
        <v>1028708.65</v>
      </c>
      <c r="S563">
        <v>774617.57</v>
      </c>
      <c r="T563">
        <v>0</v>
      </c>
      <c r="U563">
        <v>436518</v>
      </c>
      <c r="V563">
        <v>0</v>
      </c>
      <c r="W563">
        <v>310721.51</v>
      </c>
      <c r="X563">
        <v>150801.35999999999</v>
      </c>
      <c r="Y563">
        <v>134122.23000000001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585010.42000000004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155568.39000000001</v>
      </c>
      <c r="AQ563">
        <v>0</v>
      </c>
      <c r="AR563">
        <v>0</v>
      </c>
      <c r="AS563">
        <v>2851889553.0986199</v>
      </c>
    </row>
    <row r="564" spans="2:45" x14ac:dyDescent="0.25">
      <c r="B564" s="15" t="str" cm="1">
        <f t="array" ref="B564">INDEX(_xlfn.TEXTSPLIT($J564,"/"),3)</f>
        <v>Rt3&amp;0&amp;cPVVE&amp;Ex&amp;Chiller__PumpCtrl</v>
      </c>
      <c r="C564" s="15" t="str" cm="1">
        <f t="array" ref="C564">INDEX(_xlfn.TEXTSPLIT($J564,"/"),2)</f>
        <v>CZ14</v>
      </c>
      <c r="D564" s="34">
        <f>$G$3*H564</f>
        <v>94.431470000000004</v>
      </c>
      <c r="F564" t="str" cm="1">
        <f t="array" ref="F564">INDEX(_xlfn.TEXTSPLIT($J564,"/"),4)</f>
        <v>NE-Chiller-PumpCtrl-Full-Std</v>
      </c>
      <c r="G564">
        <f>$P564</f>
        <v>0.13558000000000001</v>
      </c>
      <c r="H564">
        <f>$G$4*G564</f>
        <v>134.90210000000002</v>
      </c>
      <c r="J564" t="s">
        <v>95</v>
      </c>
      <c r="K564" t="s">
        <v>24</v>
      </c>
      <c r="L564">
        <v>9099.49</v>
      </c>
      <c r="M564">
        <v>25977.47</v>
      </c>
      <c r="P564">
        <v>0.13558000000000001</v>
      </c>
      <c r="Q564">
        <v>0</v>
      </c>
      <c r="R564">
        <v>1044978.87</v>
      </c>
      <c r="S564">
        <v>774617.57</v>
      </c>
      <c r="T564">
        <v>0</v>
      </c>
      <c r="U564">
        <v>436518</v>
      </c>
      <c r="V564">
        <v>0</v>
      </c>
      <c r="W564">
        <v>357877.24</v>
      </c>
      <c r="X564">
        <v>158384.14000000001</v>
      </c>
      <c r="Y564">
        <v>138347.34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640006.87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147596.97</v>
      </c>
      <c r="AQ564">
        <v>0</v>
      </c>
      <c r="AR564">
        <v>0</v>
      </c>
      <c r="AS564">
        <v>2735289380.9762702</v>
      </c>
    </row>
    <row r="565" spans="2:45" x14ac:dyDescent="0.25">
      <c r="B565" s="15" t="str" cm="1">
        <f t="array" ref="B565">INDEX(_xlfn.TEXTSPLIT($J565,"/"),3)</f>
        <v>Rt3&amp;0&amp;cPVVE&amp;Ex&amp;Chiller__PumpCtrl</v>
      </c>
      <c r="C565" s="15" t="str" cm="1">
        <f t="array" ref="C565">INDEX(_xlfn.TEXTSPLIT($J565,"/"),2)</f>
        <v>CZ15</v>
      </c>
      <c r="D565" s="34">
        <f>$G$3*H565</f>
        <v>99.528456999999989</v>
      </c>
      <c r="F565" t="str" cm="1">
        <f t="array" ref="F565">INDEX(_xlfn.TEXTSPLIT($J565,"/"),4)</f>
        <v>NE-Chiller-PumpCtrl-Full-Std</v>
      </c>
      <c r="G565">
        <f>$P565</f>
        <v>0.142898</v>
      </c>
      <c r="H565">
        <f>$G$4*G565</f>
        <v>142.18350999999998</v>
      </c>
      <c r="J565" t="s">
        <v>77</v>
      </c>
      <c r="K565" t="s">
        <v>25</v>
      </c>
      <c r="L565">
        <v>9590.6200000000008</v>
      </c>
      <c r="M565">
        <v>27379.55</v>
      </c>
      <c r="P565">
        <v>0.142898</v>
      </c>
      <c r="Q565">
        <v>0</v>
      </c>
      <c r="R565">
        <v>1546709.45</v>
      </c>
      <c r="S565">
        <v>774617.57</v>
      </c>
      <c r="T565">
        <v>0</v>
      </c>
      <c r="U565">
        <v>436518</v>
      </c>
      <c r="V565">
        <v>0</v>
      </c>
      <c r="W565">
        <v>391157.53</v>
      </c>
      <c r="X565">
        <v>186086.39999999999</v>
      </c>
      <c r="Y565">
        <v>171961.53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701647.79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131094.74</v>
      </c>
      <c r="AQ565">
        <v>0</v>
      </c>
      <c r="AR565">
        <v>0</v>
      </c>
      <c r="AS565">
        <v>2889927851.07829</v>
      </c>
    </row>
    <row r="566" spans="2:45" x14ac:dyDescent="0.25">
      <c r="B566" s="15" t="str" cm="1">
        <f t="array" ref="B566">INDEX(_xlfn.TEXTSPLIT($J566,"/"),3)</f>
        <v>Rt3&amp;0&amp;cPVVE&amp;Ex&amp;Chiller__PumpCtrl</v>
      </c>
      <c r="C566" s="15" t="str" cm="1">
        <f t="array" ref="C566">INDEX(_xlfn.TEXTSPLIT($J566,"/"),2)</f>
        <v>CZ16</v>
      </c>
      <c r="D566" s="34">
        <f>$G$3*H566</f>
        <v>81.946010999999984</v>
      </c>
      <c r="F566" t="str" cm="1">
        <f t="array" ref="F566">INDEX(_xlfn.TEXTSPLIT($J566,"/"),4)</f>
        <v>NE-Chiller-PumpCtrl-Full-Std</v>
      </c>
      <c r="G566">
        <f>$P566</f>
        <v>0.11765399999999999</v>
      </c>
      <c r="H566">
        <f>$G$4*G566</f>
        <v>117.06572999999999</v>
      </c>
      <c r="J566" t="s">
        <v>63</v>
      </c>
      <c r="K566" t="s">
        <v>26</v>
      </c>
      <c r="L566">
        <v>7896.37</v>
      </c>
      <c r="M566">
        <v>22542.75</v>
      </c>
      <c r="P566">
        <v>0.11765399999999999</v>
      </c>
      <c r="Q566">
        <v>0</v>
      </c>
      <c r="R566">
        <v>714504.28</v>
      </c>
      <c r="S566">
        <v>774617.57</v>
      </c>
      <c r="T566">
        <v>0</v>
      </c>
      <c r="U566">
        <v>436518</v>
      </c>
      <c r="V566">
        <v>0</v>
      </c>
      <c r="W566">
        <v>435609.15</v>
      </c>
      <c r="X566">
        <v>137053.93</v>
      </c>
      <c r="Y566">
        <v>102131.14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805901.84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174067.02</v>
      </c>
      <c r="AQ566">
        <v>0</v>
      </c>
      <c r="AR566">
        <v>0</v>
      </c>
      <c r="AS566">
        <v>2175412275.6562901</v>
      </c>
    </row>
    <row r="567" spans="2:45" x14ac:dyDescent="0.25">
      <c r="B567" s="15" t="str" cm="1">
        <f t="array" ref="B567">INDEX(_xlfn.TEXTSPLIT($J567,"/"),3)</f>
        <v>Rt3&amp;0&amp;cPVVE&amp;New&amp;Chiller__PumpCtrl</v>
      </c>
      <c r="C567" s="15" t="str" cm="1">
        <f t="array" ref="C567">INDEX(_xlfn.TEXTSPLIT($J567,"/"),2)</f>
        <v>CZ01</v>
      </c>
      <c r="D567" s="34">
        <f>$G$3*H567</f>
        <v>45.713384499999997</v>
      </c>
      <c r="F567" t="str" cm="1">
        <f t="array" ref="F567">INDEX(_xlfn.TEXTSPLIT($J567,"/"),4)</f>
        <v>NE-Chiller-PumpCtrl-Full-Std</v>
      </c>
      <c r="G567">
        <f>$P567</f>
        <v>6.5632999999999997E-2</v>
      </c>
      <c r="H567">
        <f>$G$4*G567</f>
        <v>65.304834999999997</v>
      </c>
      <c r="J567" t="s">
        <v>559</v>
      </c>
      <c r="K567" t="s">
        <v>11</v>
      </c>
      <c r="L567">
        <v>4405.01</v>
      </c>
      <c r="M567">
        <v>12575.54</v>
      </c>
      <c r="P567">
        <v>6.5632999999999997E-2</v>
      </c>
      <c r="Q567">
        <v>0</v>
      </c>
      <c r="R567">
        <v>34779.15</v>
      </c>
      <c r="S567">
        <v>394508.4</v>
      </c>
      <c r="T567">
        <v>0</v>
      </c>
      <c r="U567">
        <v>436518</v>
      </c>
      <c r="V567">
        <v>0</v>
      </c>
      <c r="W567">
        <v>108025.12</v>
      </c>
      <c r="X567">
        <v>14420.82</v>
      </c>
      <c r="Y567">
        <v>12342.31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322221.96999999997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192558.61</v>
      </c>
      <c r="AQ567">
        <v>0</v>
      </c>
      <c r="AR567">
        <v>0</v>
      </c>
      <c r="AS567">
        <v>941340955.52650905</v>
      </c>
    </row>
    <row r="568" spans="2:45" x14ac:dyDescent="0.25">
      <c r="B568" s="15" t="str" cm="1">
        <f t="array" ref="B568">INDEX(_xlfn.TEXTSPLIT($J568,"/"),3)</f>
        <v>Rt3&amp;0&amp;cPVVE&amp;New&amp;Chiller__PumpCtrl</v>
      </c>
      <c r="C568" s="15" t="str" cm="1">
        <f t="array" ref="C568">INDEX(_xlfn.TEXTSPLIT($J568,"/"),2)</f>
        <v>CZ02</v>
      </c>
      <c r="D568" s="34">
        <f>$G$3*H568</f>
        <v>80.532812499999991</v>
      </c>
      <c r="F568" t="str" cm="1">
        <f t="array" ref="F568">INDEX(_xlfn.TEXTSPLIT($J568,"/"),4)</f>
        <v>NE-Chiller-PumpCtrl-Full-Std</v>
      </c>
      <c r="G568">
        <f>$P568</f>
        <v>0.11562500000000001</v>
      </c>
      <c r="H568">
        <f>$G$4*G568</f>
        <v>115.046875</v>
      </c>
      <c r="J568" t="s">
        <v>544</v>
      </c>
      <c r="K568" t="s">
        <v>12</v>
      </c>
      <c r="L568">
        <v>7760.24</v>
      </c>
      <c r="M568">
        <v>22154.13</v>
      </c>
      <c r="P568">
        <v>0.11562500000000001</v>
      </c>
      <c r="Q568">
        <v>0</v>
      </c>
      <c r="R568">
        <v>518134.39</v>
      </c>
      <c r="S568">
        <v>394508.4</v>
      </c>
      <c r="T568">
        <v>0</v>
      </c>
      <c r="U568">
        <v>436518</v>
      </c>
      <c r="V568">
        <v>0</v>
      </c>
      <c r="W568">
        <v>196856.32000000001</v>
      </c>
      <c r="X568">
        <v>106691.37</v>
      </c>
      <c r="Y568">
        <v>90335.69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750728.11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176958.62</v>
      </c>
      <c r="AQ568">
        <v>0</v>
      </c>
      <c r="AR568">
        <v>0</v>
      </c>
      <c r="AS568">
        <v>2015821444.2890301</v>
      </c>
    </row>
    <row r="569" spans="2:45" x14ac:dyDescent="0.25">
      <c r="B569" s="15" t="str" cm="1">
        <f t="array" ref="B569">INDEX(_xlfn.TEXTSPLIT($J569,"/"),3)</f>
        <v>Rt3&amp;0&amp;cPVVE&amp;New&amp;Chiller__PumpCtrl</v>
      </c>
      <c r="C569" s="15" t="str" cm="1">
        <f t="array" ref="C569">INDEX(_xlfn.TEXTSPLIT($J569,"/"),2)</f>
        <v>CZ03</v>
      </c>
      <c r="D569" s="34">
        <f>$G$3*H569</f>
        <v>74.839621499999993</v>
      </c>
      <c r="F569" t="str" cm="1">
        <f t="array" ref="F569">INDEX(_xlfn.TEXTSPLIT($J569,"/"),4)</f>
        <v>NE-Chiller-PumpCtrl-Full-Std</v>
      </c>
      <c r="G569">
        <f>$P569</f>
        <v>0.107451</v>
      </c>
      <c r="H569">
        <f>$G$4*G569</f>
        <v>106.91374500000001</v>
      </c>
      <c r="J569" t="s">
        <v>528</v>
      </c>
      <c r="K569" t="s">
        <v>13</v>
      </c>
      <c r="L569">
        <v>7211.61</v>
      </c>
      <c r="M569">
        <v>20587.900000000001</v>
      </c>
      <c r="P569">
        <v>0.107451</v>
      </c>
      <c r="Q569">
        <v>0</v>
      </c>
      <c r="R569">
        <v>336744.24</v>
      </c>
      <c r="S569">
        <v>394508.4</v>
      </c>
      <c r="T569">
        <v>0</v>
      </c>
      <c r="U569">
        <v>436518</v>
      </c>
      <c r="V569">
        <v>0</v>
      </c>
      <c r="W569">
        <v>165118.93</v>
      </c>
      <c r="X569">
        <v>95243.73</v>
      </c>
      <c r="Y569">
        <v>85350.58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476332.28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176286.24</v>
      </c>
      <c r="AQ569">
        <v>0</v>
      </c>
      <c r="AR569">
        <v>0</v>
      </c>
      <c r="AS569">
        <v>1764914568.9592299</v>
      </c>
    </row>
    <row r="570" spans="2:45" x14ac:dyDescent="0.25">
      <c r="B570" s="15" t="str" cm="1">
        <f t="array" ref="B570">INDEX(_xlfn.TEXTSPLIT($J570,"/"),3)</f>
        <v>Rt3&amp;0&amp;cPVVE&amp;New&amp;Chiller__PumpCtrl</v>
      </c>
      <c r="C570" s="15" t="str" cm="1">
        <f t="array" ref="C570">INDEX(_xlfn.TEXTSPLIT($J570,"/"),2)</f>
        <v>CZ04</v>
      </c>
      <c r="D570" s="34">
        <f>$G$3*H570</f>
        <v>82.370179499999992</v>
      </c>
      <c r="F570" t="str" cm="1">
        <f t="array" ref="F570">INDEX(_xlfn.TEXTSPLIT($J570,"/"),4)</f>
        <v>NE-Chiller-PumpCtrl-Full-Std</v>
      </c>
      <c r="G570">
        <f>$P570</f>
        <v>0.11826299999999999</v>
      </c>
      <c r="H570">
        <f>$G$4*G570</f>
        <v>117.671685</v>
      </c>
      <c r="J570" t="s">
        <v>511</v>
      </c>
      <c r="K570" t="s">
        <v>14</v>
      </c>
      <c r="L570">
        <v>7937.29</v>
      </c>
      <c r="M570">
        <v>22659.57</v>
      </c>
      <c r="P570">
        <v>0.11826299999999999</v>
      </c>
      <c r="Q570">
        <v>0</v>
      </c>
      <c r="R570">
        <v>583761.06999999995</v>
      </c>
      <c r="S570">
        <v>394508.4</v>
      </c>
      <c r="T570">
        <v>0</v>
      </c>
      <c r="U570">
        <v>436518</v>
      </c>
      <c r="V570">
        <v>0</v>
      </c>
      <c r="W570">
        <v>207884.91</v>
      </c>
      <c r="X570">
        <v>117841.83</v>
      </c>
      <c r="Y570">
        <v>106086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579481.44999999995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170237.69</v>
      </c>
      <c r="AQ570">
        <v>0</v>
      </c>
      <c r="AR570">
        <v>0</v>
      </c>
      <c r="AS570">
        <v>2075391600.6591301</v>
      </c>
    </row>
    <row r="571" spans="2:45" x14ac:dyDescent="0.25">
      <c r="B571" s="15" t="str" cm="1">
        <f t="array" ref="B571">INDEX(_xlfn.TEXTSPLIT($J571,"/"),3)</f>
        <v>Rt3&amp;0&amp;cPVVE&amp;New&amp;Chiller__PumpCtrl</v>
      </c>
      <c r="C571" s="15" t="str" cm="1">
        <f t="array" ref="C571">INDEX(_xlfn.TEXTSPLIT($J571,"/"),2)</f>
        <v>CZ05</v>
      </c>
      <c r="D571" s="34">
        <f>$G$3*H571</f>
        <v>70.220433499999999</v>
      </c>
      <c r="F571" t="str" cm="1">
        <f t="array" ref="F571">INDEX(_xlfn.TEXTSPLIT($J571,"/"),4)</f>
        <v>NE-Chiller-PumpCtrl-Full-Std</v>
      </c>
      <c r="G571">
        <f>$P571</f>
        <v>0.10081900000000001</v>
      </c>
      <c r="H571">
        <f>$G$4*G571</f>
        <v>100.31490500000001</v>
      </c>
      <c r="J571" t="s">
        <v>496</v>
      </c>
      <c r="K571" t="s">
        <v>15</v>
      </c>
      <c r="L571">
        <v>6766.52</v>
      </c>
      <c r="M571">
        <v>19317.240000000002</v>
      </c>
      <c r="P571">
        <v>0.10081900000000001</v>
      </c>
      <c r="Q571">
        <v>0</v>
      </c>
      <c r="R571">
        <v>393408.79</v>
      </c>
      <c r="S571">
        <v>394508.4</v>
      </c>
      <c r="T571">
        <v>0</v>
      </c>
      <c r="U571">
        <v>436518</v>
      </c>
      <c r="V571">
        <v>0</v>
      </c>
      <c r="W571">
        <v>167379.79999999999</v>
      </c>
      <c r="X571">
        <v>100488.91</v>
      </c>
      <c r="Y571">
        <v>87948.26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469759.26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176303.76</v>
      </c>
      <c r="AQ571">
        <v>0</v>
      </c>
      <c r="AR571">
        <v>0</v>
      </c>
      <c r="AS571">
        <v>1377379106.06054</v>
      </c>
    </row>
    <row r="572" spans="2:45" x14ac:dyDescent="0.25">
      <c r="B572" s="15" t="str" cm="1">
        <f t="array" ref="B572">INDEX(_xlfn.TEXTSPLIT($J572,"/"),3)</f>
        <v>Rt3&amp;0&amp;cPVVE&amp;New&amp;Chiller__PumpCtrl</v>
      </c>
      <c r="C572" s="15" t="str" cm="1">
        <f t="array" ref="C572">INDEX(_xlfn.TEXTSPLIT($J572,"/"),2)</f>
        <v>CZ06</v>
      </c>
      <c r="D572" s="34">
        <f>$G$3*H572</f>
        <v>76.04038749999998</v>
      </c>
      <c r="F572" t="str" cm="1">
        <f t="array" ref="F572">INDEX(_xlfn.TEXTSPLIT($J572,"/"),4)</f>
        <v>NE-Chiller-PumpCtrl-Full-Std</v>
      </c>
      <c r="G572">
        <f>$P572</f>
        <v>0.10917499999999999</v>
      </c>
      <c r="H572">
        <f>$G$4*G572</f>
        <v>108.62912499999999</v>
      </c>
      <c r="J572" t="s">
        <v>479</v>
      </c>
      <c r="K572" t="s">
        <v>16</v>
      </c>
      <c r="L572">
        <v>7327.34</v>
      </c>
      <c r="M572">
        <v>20918.27</v>
      </c>
      <c r="P572">
        <v>0.10917499999999999</v>
      </c>
      <c r="Q572">
        <v>0</v>
      </c>
      <c r="R572">
        <v>686711.52</v>
      </c>
      <c r="S572">
        <v>394508.4</v>
      </c>
      <c r="T572">
        <v>0</v>
      </c>
      <c r="U572">
        <v>436518</v>
      </c>
      <c r="V572">
        <v>0</v>
      </c>
      <c r="W572">
        <v>186494.58</v>
      </c>
      <c r="X572">
        <v>132101.34</v>
      </c>
      <c r="Y572">
        <v>122613.71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302860.31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162404.29999999999</v>
      </c>
      <c r="AQ572">
        <v>0</v>
      </c>
      <c r="AR572">
        <v>0</v>
      </c>
      <c r="AS572">
        <v>1562551221.6073999</v>
      </c>
    </row>
    <row r="573" spans="2:45" x14ac:dyDescent="0.25">
      <c r="B573" s="15" t="str" cm="1">
        <f t="array" ref="B573">INDEX(_xlfn.TEXTSPLIT($J573,"/"),3)</f>
        <v>Rt3&amp;0&amp;cPVVE&amp;New&amp;Chiller__PumpCtrl</v>
      </c>
      <c r="C573" s="15" t="str" cm="1">
        <f t="array" ref="C573">INDEX(_xlfn.TEXTSPLIT($J573,"/"),2)</f>
        <v>CZ07</v>
      </c>
      <c r="D573" s="34">
        <f>$G$3*H573</f>
        <v>77.872182499999994</v>
      </c>
      <c r="F573" t="str" cm="1">
        <f t="array" ref="F573">INDEX(_xlfn.TEXTSPLIT($J573,"/"),4)</f>
        <v>NE-Chiller-PumpCtrl-Full-Std</v>
      </c>
      <c r="G573">
        <f>$P573</f>
        <v>0.111805</v>
      </c>
      <c r="H573">
        <f>$G$4*G573</f>
        <v>111.245975</v>
      </c>
      <c r="J573" t="s">
        <v>464</v>
      </c>
      <c r="K573" t="s">
        <v>17</v>
      </c>
      <c r="L573">
        <v>7503.84</v>
      </c>
      <c r="M573">
        <v>21422.15</v>
      </c>
      <c r="P573">
        <v>0.111805</v>
      </c>
      <c r="Q573">
        <v>0</v>
      </c>
      <c r="R573">
        <v>786686.78</v>
      </c>
      <c r="S573">
        <v>394508.4</v>
      </c>
      <c r="T573">
        <v>0</v>
      </c>
      <c r="U573">
        <v>436518</v>
      </c>
      <c r="V573">
        <v>0</v>
      </c>
      <c r="W573">
        <v>213770.3</v>
      </c>
      <c r="X573">
        <v>136999.43</v>
      </c>
      <c r="Y573">
        <v>127259.4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399717.78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160369.74</v>
      </c>
      <c r="AQ573">
        <v>0</v>
      </c>
      <c r="AR573">
        <v>0</v>
      </c>
      <c r="AS573">
        <v>1745997460.70474</v>
      </c>
    </row>
    <row r="574" spans="2:45" x14ac:dyDescent="0.25">
      <c r="B574" s="15" t="str" cm="1">
        <f t="array" ref="B574">INDEX(_xlfn.TEXTSPLIT($J574,"/"),3)</f>
        <v>Rt3&amp;0&amp;cPVVE&amp;New&amp;Chiller__PumpCtrl</v>
      </c>
      <c r="C574" s="15" t="str" cm="1">
        <f t="array" ref="C574">INDEX(_xlfn.TEXTSPLIT($J574,"/"),2)</f>
        <v>CZ08</v>
      </c>
      <c r="D574" s="34">
        <f>$G$3*H574</f>
        <v>85.101852500000007</v>
      </c>
      <c r="F574" t="str" cm="1">
        <f t="array" ref="F574">INDEX(_xlfn.TEXTSPLIT($J574,"/"),4)</f>
        <v>NE-Chiller-PumpCtrl-Full-Std</v>
      </c>
      <c r="G574">
        <f>$P574</f>
        <v>0.122185</v>
      </c>
      <c r="H574">
        <f>$G$4*G574</f>
        <v>121.57407500000001</v>
      </c>
      <c r="J574" t="s">
        <v>447</v>
      </c>
      <c r="K574" t="s">
        <v>18</v>
      </c>
      <c r="L574">
        <v>8200.5</v>
      </c>
      <c r="M574">
        <v>23411.01</v>
      </c>
      <c r="P574">
        <v>0.122185</v>
      </c>
      <c r="Q574">
        <v>0</v>
      </c>
      <c r="R574">
        <v>870223.53</v>
      </c>
      <c r="S574">
        <v>394508.4</v>
      </c>
      <c r="T574">
        <v>0</v>
      </c>
      <c r="U574">
        <v>436518</v>
      </c>
      <c r="V574">
        <v>0</v>
      </c>
      <c r="W574">
        <v>220785.68</v>
      </c>
      <c r="X574">
        <v>147339.23000000001</v>
      </c>
      <c r="Y574">
        <v>135893.29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502454.6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160090.39000000001</v>
      </c>
      <c r="AQ574">
        <v>0</v>
      </c>
      <c r="AR574">
        <v>0</v>
      </c>
      <c r="AS574">
        <v>1717590854.0967801</v>
      </c>
    </row>
    <row r="575" spans="2:45" x14ac:dyDescent="0.25">
      <c r="B575" s="15" t="str" cm="1">
        <f t="array" ref="B575">INDEX(_xlfn.TEXTSPLIT($J575,"/"),3)</f>
        <v>Rt3&amp;0&amp;cPVVE&amp;New&amp;Chiller__PumpCtrl</v>
      </c>
      <c r="C575" s="15" t="str" cm="1">
        <f t="array" ref="C575">INDEX(_xlfn.TEXTSPLIT($J575,"/"),2)</f>
        <v>CZ09</v>
      </c>
      <c r="D575" s="34">
        <f>$G$3*H575</f>
        <v>90.659922499999993</v>
      </c>
      <c r="F575" t="str" cm="1">
        <f t="array" ref="F575">INDEX(_xlfn.TEXTSPLIT($J575,"/"),4)</f>
        <v>NE-Chiller-PumpCtrl-Full-Std</v>
      </c>
      <c r="G575">
        <f>$P575</f>
        <v>0.130165</v>
      </c>
      <c r="H575">
        <f>$G$4*G575</f>
        <v>129.51417499999999</v>
      </c>
      <c r="J575" t="s">
        <v>432</v>
      </c>
      <c r="K575" t="s">
        <v>19</v>
      </c>
      <c r="L575">
        <v>8736.0400000000009</v>
      </c>
      <c r="M575">
        <v>24939.87</v>
      </c>
      <c r="P575">
        <v>0.130165</v>
      </c>
      <c r="Q575">
        <v>0</v>
      </c>
      <c r="R575">
        <v>988549.22</v>
      </c>
      <c r="S575">
        <v>394508.4</v>
      </c>
      <c r="T575">
        <v>0</v>
      </c>
      <c r="U575">
        <v>436518</v>
      </c>
      <c r="V575">
        <v>0</v>
      </c>
      <c r="W575">
        <v>239095.53</v>
      </c>
      <c r="X575">
        <v>161425.47</v>
      </c>
      <c r="Y575">
        <v>149575.43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556021.02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157894.62</v>
      </c>
      <c r="AQ575">
        <v>0</v>
      </c>
      <c r="AR575">
        <v>0</v>
      </c>
      <c r="AS575">
        <v>1897744963.52616</v>
      </c>
    </row>
    <row r="576" spans="2:45" x14ac:dyDescent="0.25">
      <c r="B576" s="15" t="str" cm="1">
        <f t="array" ref="B576">INDEX(_xlfn.TEXTSPLIT($J576,"/"),3)</f>
        <v>Rt3&amp;0&amp;cPVVE&amp;New&amp;Chiller__PumpCtrl</v>
      </c>
      <c r="C576" s="15" t="str" cm="1">
        <f t="array" ref="C576">INDEX(_xlfn.TEXTSPLIT($J576,"/"),2)</f>
        <v>CZ10</v>
      </c>
      <c r="D576" s="34">
        <f>$G$3*H576</f>
        <v>92.335701499999985</v>
      </c>
      <c r="F576" t="str" cm="1">
        <f t="array" ref="F576">INDEX(_xlfn.TEXTSPLIT($J576,"/"),4)</f>
        <v>NE-Chiller-PumpCtrl-Full-Std</v>
      </c>
      <c r="G576">
        <f>$P576</f>
        <v>0.13257099999999999</v>
      </c>
      <c r="H576">
        <f>$G$4*G576</f>
        <v>131.90814499999999</v>
      </c>
      <c r="J576" t="s">
        <v>415</v>
      </c>
      <c r="K576" t="s">
        <v>20</v>
      </c>
      <c r="L576">
        <v>8897.51</v>
      </c>
      <c r="M576">
        <v>25400.85</v>
      </c>
      <c r="P576">
        <v>0.13257099999999999</v>
      </c>
      <c r="Q576">
        <v>0</v>
      </c>
      <c r="R576">
        <v>1018690.31</v>
      </c>
      <c r="S576">
        <v>394508.4</v>
      </c>
      <c r="T576">
        <v>0</v>
      </c>
      <c r="U576">
        <v>436518</v>
      </c>
      <c r="V576">
        <v>0</v>
      </c>
      <c r="W576">
        <v>283971.84999999998</v>
      </c>
      <c r="X576">
        <v>156884.07999999999</v>
      </c>
      <c r="Y576">
        <v>141531.25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734798.35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156629.82</v>
      </c>
      <c r="AQ576">
        <v>0</v>
      </c>
      <c r="AR576">
        <v>0</v>
      </c>
      <c r="AS576">
        <v>2404487709.1708698</v>
      </c>
    </row>
    <row r="577" spans="2:45" x14ac:dyDescent="0.25">
      <c r="B577" s="15" t="str" cm="1">
        <f t="array" ref="B577">INDEX(_xlfn.TEXTSPLIT($J577,"/"),3)</f>
        <v>Rt3&amp;0&amp;cPVVE&amp;New&amp;Chiller__PumpCtrl</v>
      </c>
      <c r="C577" s="15" t="str" cm="1">
        <f t="array" ref="C577">INDEX(_xlfn.TEXTSPLIT($J577,"/"),2)</f>
        <v>CZ11</v>
      </c>
      <c r="D577" s="34">
        <f>$G$3*H577</f>
        <v>65.626319499999994</v>
      </c>
      <c r="F577" t="str" cm="1">
        <f t="array" ref="F577">INDEX(_xlfn.TEXTSPLIT($J577,"/"),4)</f>
        <v>NE-Chiller-PumpCtrl-Full-Std</v>
      </c>
      <c r="G577">
        <f>$P577</f>
        <v>9.4223000000000001E-2</v>
      </c>
      <c r="H577">
        <f>$G$4*G577</f>
        <v>93.751885000000001</v>
      </c>
      <c r="J577" t="s">
        <v>399</v>
      </c>
      <c r="K577" t="s">
        <v>21</v>
      </c>
      <c r="L577">
        <v>6323.79</v>
      </c>
      <c r="M577">
        <v>18053.310000000001</v>
      </c>
      <c r="P577">
        <v>9.4223000000000001E-2</v>
      </c>
      <c r="Q577">
        <v>0</v>
      </c>
      <c r="R577">
        <v>625951.94999999995</v>
      </c>
      <c r="S577">
        <v>394508.4</v>
      </c>
      <c r="T577">
        <v>0</v>
      </c>
      <c r="U577">
        <v>436518</v>
      </c>
      <c r="V577">
        <v>0</v>
      </c>
      <c r="W577">
        <v>230923.7</v>
      </c>
      <c r="X577">
        <v>87528.56</v>
      </c>
      <c r="Y577">
        <v>79556.649999999994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421007.34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160195.56</v>
      </c>
      <c r="AQ577">
        <v>0</v>
      </c>
      <c r="AR577">
        <v>0</v>
      </c>
      <c r="AS577">
        <v>1952652540.6027701</v>
      </c>
    </row>
    <row r="578" spans="2:45" x14ac:dyDescent="0.25">
      <c r="B578" s="15" t="str" cm="1">
        <f t="array" ref="B578">INDEX(_xlfn.TEXTSPLIT($J578,"/"),3)</f>
        <v>Rt3&amp;0&amp;cPVVE&amp;New&amp;Chiller__PumpCtrl</v>
      </c>
      <c r="C578" s="15" t="str" cm="1">
        <f t="array" ref="C578">INDEX(_xlfn.TEXTSPLIT($J578,"/"),2)</f>
        <v>CZ12</v>
      </c>
      <c r="D578" s="34">
        <f>$G$3*H578</f>
        <v>66.521321999999984</v>
      </c>
      <c r="F578" t="str" cm="1">
        <f t="array" ref="F578">INDEX(_xlfn.TEXTSPLIT($J578,"/"),4)</f>
        <v>NE-Chiller-PumpCtrl-Full-Std</v>
      </c>
      <c r="G578">
        <f>$P578</f>
        <v>9.5507999999999996E-2</v>
      </c>
      <c r="H578">
        <f>$G$4*G578</f>
        <v>95.030459999999991</v>
      </c>
      <c r="J578" t="s">
        <v>384</v>
      </c>
      <c r="K578" t="s">
        <v>22</v>
      </c>
      <c r="L578">
        <v>6410.06</v>
      </c>
      <c r="M578">
        <v>18299.61</v>
      </c>
      <c r="P578">
        <v>9.5507999999999996E-2</v>
      </c>
      <c r="Q578">
        <v>0</v>
      </c>
      <c r="R578">
        <v>623662.63</v>
      </c>
      <c r="S578">
        <v>394508.4</v>
      </c>
      <c r="T578">
        <v>0</v>
      </c>
      <c r="U578">
        <v>436518</v>
      </c>
      <c r="V578">
        <v>0</v>
      </c>
      <c r="W578">
        <v>212462.05</v>
      </c>
      <c r="X578">
        <v>88413.49</v>
      </c>
      <c r="Y578">
        <v>80202.61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418187.23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164659.22</v>
      </c>
      <c r="AQ578">
        <v>0</v>
      </c>
      <c r="AR578">
        <v>0</v>
      </c>
      <c r="AS578">
        <v>1932544775.63271</v>
      </c>
    </row>
    <row r="579" spans="2:45" x14ac:dyDescent="0.25">
      <c r="B579" s="15" t="str" cm="1">
        <f t="array" ref="B579">INDEX(_xlfn.TEXTSPLIT($J579,"/"),3)</f>
        <v>Rt3&amp;0&amp;cPVVE&amp;New&amp;Chiller__PumpCtrl</v>
      </c>
      <c r="C579" s="15" t="str" cm="1">
        <f t="array" ref="C579">INDEX(_xlfn.TEXTSPLIT($J579,"/"),2)</f>
        <v>CZ13</v>
      </c>
      <c r="D579" s="34">
        <f>$G$3*H579</f>
        <v>69.277372499999998</v>
      </c>
      <c r="F579" t="str" cm="1">
        <f t="array" ref="F579">INDEX(_xlfn.TEXTSPLIT($J579,"/"),4)</f>
        <v>NE-Chiller-PumpCtrl-Full-Std</v>
      </c>
      <c r="G579">
        <f>$P579</f>
        <v>9.9464999999999998E-2</v>
      </c>
      <c r="H579">
        <f>$G$4*G579</f>
        <v>98.967675</v>
      </c>
      <c r="J579" t="s">
        <v>369</v>
      </c>
      <c r="K579" t="s">
        <v>23</v>
      </c>
      <c r="L579">
        <v>6675.65</v>
      </c>
      <c r="M579">
        <v>19057.810000000001</v>
      </c>
      <c r="P579">
        <v>9.9464999999999998E-2</v>
      </c>
      <c r="Q579">
        <v>0</v>
      </c>
      <c r="R579">
        <v>722905.86</v>
      </c>
      <c r="S579">
        <v>394508.4</v>
      </c>
      <c r="T579">
        <v>0</v>
      </c>
      <c r="U579">
        <v>436518</v>
      </c>
      <c r="V579">
        <v>0</v>
      </c>
      <c r="W579">
        <v>235536.32</v>
      </c>
      <c r="X579">
        <v>96929.31</v>
      </c>
      <c r="Y579">
        <v>88611.76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388297.31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155562.10999999999</v>
      </c>
      <c r="AQ579">
        <v>0</v>
      </c>
      <c r="AR579">
        <v>0</v>
      </c>
      <c r="AS579">
        <v>2005814035.0192599</v>
      </c>
    </row>
    <row r="580" spans="2:45" x14ac:dyDescent="0.25">
      <c r="B580" s="15" t="str" cm="1">
        <f t="array" ref="B580">INDEX(_xlfn.TEXTSPLIT($J580,"/"),3)</f>
        <v>Rt3&amp;0&amp;cPVVE&amp;New&amp;Chiller__PumpCtrl</v>
      </c>
      <c r="C580" s="15" t="str" cm="1">
        <f t="array" ref="C580">INDEX(_xlfn.TEXTSPLIT($J580,"/"),2)</f>
        <v>CZ14</v>
      </c>
      <c r="D580" s="34">
        <f>$G$3*H580</f>
        <v>68.626841499999983</v>
      </c>
      <c r="F580" t="str" cm="1">
        <f t="array" ref="F580">INDEX(_xlfn.TEXTSPLIT($J580,"/"),4)</f>
        <v>NE-Chiller-PumpCtrl-Full-Std</v>
      </c>
      <c r="G580">
        <f>$P580</f>
        <v>9.8530999999999994E-2</v>
      </c>
      <c r="H580">
        <f>$G$4*G580</f>
        <v>98.038344999999993</v>
      </c>
      <c r="J580" t="s">
        <v>351</v>
      </c>
      <c r="K580" t="s">
        <v>24</v>
      </c>
      <c r="L580">
        <v>6612.95</v>
      </c>
      <c r="M580">
        <v>18878.810000000001</v>
      </c>
      <c r="P580">
        <v>9.8530999999999994E-2</v>
      </c>
      <c r="Q580">
        <v>0</v>
      </c>
      <c r="R580">
        <v>751911.91</v>
      </c>
      <c r="S580">
        <v>394508.4</v>
      </c>
      <c r="T580">
        <v>0</v>
      </c>
      <c r="U580">
        <v>436518</v>
      </c>
      <c r="V580">
        <v>0</v>
      </c>
      <c r="W580">
        <v>272682.28999999998</v>
      </c>
      <c r="X580">
        <v>106582.41</v>
      </c>
      <c r="Y580">
        <v>96403.45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416607.48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147585.1</v>
      </c>
      <c r="AQ580">
        <v>0</v>
      </c>
      <c r="AR580">
        <v>0</v>
      </c>
      <c r="AS580">
        <v>1987655965.57847</v>
      </c>
    </row>
    <row r="581" spans="2:45" x14ac:dyDescent="0.25">
      <c r="B581" s="15" t="str" cm="1">
        <f t="array" ref="B581">INDEX(_xlfn.TEXTSPLIT($J581,"/"),3)</f>
        <v>Rt3&amp;0&amp;cPVVE&amp;New&amp;Chiller__PumpCtrl</v>
      </c>
      <c r="C581" s="15" t="str" cm="1">
        <f t="array" ref="C581">INDEX(_xlfn.TEXTSPLIT($J581,"/"),2)</f>
        <v>CZ15</v>
      </c>
      <c r="D581" s="34">
        <f>$G$3*H581</f>
        <v>73.043348000000009</v>
      </c>
      <c r="F581" t="str" cm="1">
        <f t="array" ref="F581">INDEX(_xlfn.TEXTSPLIT($J581,"/"),4)</f>
        <v>NE-Chiller-PumpCtrl-Full-Std</v>
      </c>
      <c r="G581">
        <f>$P581</f>
        <v>0.10487200000000001</v>
      </c>
      <c r="H581">
        <f>$G$4*G581</f>
        <v>104.34764000000001</v>
      </c>
      <c r="J581" t="s">
        <v>336</v>
      </c>
      <c r="K581" t="s">
        <v>25</v>
      </c>
      <c r="L581">
        <v>7038.52</v>
      </c>
      <c r="M581">
        <v>20093.740000000002</v>
      </c>
      <c r="P581">
        <v>0.10487200000000001</v>
      </c>
      <c r="Q581">
        <v>0</v>
      </c>
      <c r="R581">
        <v>1129241.1200000001</v>
      </c>
      <c r="S581">
        <v>394508.4</v>
      </c>
      <c r="T581">
        <v>0</v>
      </c>
      <c r="U581">
        <v>436518</v>
      </c>
      <c r="V581">
        <v>0</v>
      </c>
      <c r="W581">
        <v>286168.71999999997</v>
      </c>
      <c r="X581">
        <v>130843.86</v>
      </c>
      <c r="Y581">
        <v>121094.37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517154.21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131080.06</v>
      </c>
      <c r="AQ581">
        <v>0</v>
      </c>
      <c r="AR581">
        <v>0</v>
      </c>
      <c r="AS581">
        <v>2023067740.10272</v>
      </c>
    </row>
    <row r="582" spans="2:45" ht="15.75" thickBot="1" x14ac:dyDescent="0.3">
      <c r="B582" s="16" t="str" cm="1">
        <f t="array" ref="B582">INDEX(_xlfn.TEXTSPLIT($J582,"/"),3)</f>
        <v>Rt3&amp;0&amp;cPVVE&amp;New&amp;Chiller__PumpCtrl</v>
      </c>
      <c r="C582" s="16" t="str" cm="1">
        <f t="array" ref="C582">INDEX(_xlfn.TEXTSPLIT($J582,"/"),2)</f>
        <v>CZ16</v>
      </c>
      <c r="D582" s="35">
        <f>$G$3*H582</f>
        <v>57.968998499999998</v>
      </c>
      <c r="F582" t="str" cm="1">
        <f t="array" ref="F582">INDEX(_xlfn.TEXTSPLIT($J582,"/"),4)</f>
        <v>NE-Chiller-PumpCtrl-Full-Std</v>
      </c>
      <c r="G582">
        <f>$P582</f>
        <v>8.3228999999999997E-2</v>
      </c>
      <c r="H582">
        <f>$G$4*G582</f>
        <v>82.812854999999999</v>
      </c>
      <c r="J582" t="s">
        <v>320</v>
      </c>
      <c r="K582" t="s">
        <v>26</v>
      </c>
      <c r="L582">
        <v>5585.95</v>
      </c>
      <c r="M582">
        <v>15946.91</v>
      </c>
      <c r="P582">
        <v>8.3228999999999997E-2</v>
      </c>
      <c r="Q582">
        <v>0</v>
      </c>
      <c r="R582">
        <v>491944.21</v>
      </c>
      <c r="S582">
        <v>394508.4</v>
      </c>
      <c r="T582">
        <v>0</v>
      </c>
      <c r="U582">
        <v>436518</v>
      </c>
      <c r="V582">
        <v>0</v>
      </c>
      <c r="W582">
        <v>288113.90999999997</v>
      </c>
      <c r="X582">
        <v>83854.570000000007</v>
      </c>
      <c r="Y582">
        <v>68196.649999999994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577616.27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174058.49</v>
      </c>
      <c r="AQ582">
        <v>0</v>
      </c>
      <c r="AR582">
        <v>0</v>
      </c>
      <c r="AS582">
        <v>1620367272.70275</v>
      </c>
    </row>
  </sheetData>
  <autoFilter ref="B6:AS582" xr:uid="{67D41601-5353-4730-9813-FADF2E78CB7D}">
    <filterColumn colId="4">
      <filters>
        <filter val="NE-Chiller-PumpCtrl-Full-Std"/>
      </filters>
    </filterColumn>
  </autoFilter>
  <sortState xmlns:xlrd2="http://schemas.microsoft.com/office/spreadsheetml/2017/richdata2" ref="B7:AS582">
    <sortCondition ref="F7:F582"/>
    <sortCondition ref="B7:B582"/>
  </sortState>
  <mergeCells count="1">
    <mergeCell ref="B2:D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2ADE-C8EF-420D-B7BE-D556FD67D19D}">
  <dimension ref="A1:AJ257"/>
  <sheetViews>
    <sheetView workbookViewId="0"/>
  </sheetViews>
  <sheetFormatPr defaultRowHeight="15" x14ac:dyDescent="0.25"/>
  <sheetData>
    <row r="1" spans="1:3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</row>
    <row r="2" spans="1:36" x14ac:dyDescent="0.25">
      <c r="A2" t="s">
        <v>63</v>
      </c>
      <c r="B2" t="s">
        <v>26</v>
      </c>
      <c r="C2">
        <v>7896.37</v>
      </c>
      <c r="D2">
        <v>22542.75</v>
      </c>
      <c r="G2">
        <v>0.11765399999999999</v>
      </c>
      <c r="H2">
        <v>0</v>
      </c>
      <c r="I2">
        <v>714504.28</v>
      </c>
      <c r="J2">
        <v>774617.57</v>
      </c>
      <c r="K2">
        <v>0</v>
      </c>
      <c r="L2">
        <v>436518</v>
      </c>
      <c r="M2">
        <v>0</v>
      </c>
      <c r="N2">
        <v>435609.15</v>
      </c>
      <c r="O2">
        <v>137053.93</v>
      </c>
      <c r="P2">
        <v>102131.14</v>
      </c>
      <c r="Q2">
        <v>0</v>
      </c>
      <c r="R2">
        <v>0</v>
      </c>
      <c r="S2">
        <v>0</v>
      </c>
      <c r="T2">
        <v>0</v>
      </c>
      <c r="U2">
        <v>0</v>
      </c>
      <c r="V2">
        <v>805901.84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174067.02</v>
      </c>
      <c r="AH2">
        <v>0</v>
      </c>
      <c r="AI2">
        <v>0</v>
      </c>
      <c r="AJ2">
        <v>2175412275.6562901</v>
      </c>
    </row>
    <row r="3" spans="1:36" x14ac:dyDescent="0.25">
      <c r="A3" t="s">
        <v>64</v>
      </c>
      <c r="B3" t="s">
        <v>26</v>
      </c>
      <c r="D3">
        <v>22542.75</v>
      </c>
      <c r="E3">
        <v>7896.37</v>
      </c>
      <c r="G3">
        <v>0.11765399999999999</v>
      </c>
      <c r="H3">
        <v>0</v>
      </c>
      <c r="I3">
        <v>610630.74</v>
      </c>
      <c r="J3">
        <v>774617.57</v>
      </c>
      <c r="K3">
        <v>0</v>
      </c>
      <c r="L3">
        <v>436518</v>
      </c>
      <c r="M3">
        <v>0</v>
      </c>
      <c r="N3">
        <v>435476</v>
      </c>
      <c r="O3">
        <v>118153.94</v>
      </c>
      <c r="P3">
        <v>100432.22</v>
      </c>
      <c r="Q3">
        <v>0</v>
      </c>
      <c r="R3">
        <v>0</v>
      </c>
      <c r="S3">
        <v>0</v>
      </c>
      <c r="T3">
        <v>0</v>
      </c>
      <c r="U3">
        <v>0</v>
      </c>
      <c r="V3">
        <v>806652.59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174071.63</v>
      </c>
      <c r="AH3">
        <v>0</v>
      </c>
      <c r="AI3">
        <v>0</v>
      </c>
      <c r="AJ3">
        <v>2096476695.2878301</v>
      </c>
    </row>
    <row r="4" spans="1:36" x14ac:dyDescent="0.25">
      <c r="A4" t="s">
        <v>65</v>
      </c>
      <c r="B4" t="s">
        <v>26</v>
      </c>
      <c r="D4">
        <v>2485.41</v>
      </c>
      <c r="E4">
        <v>870.6</v>
      </c>
      <c r="G4">
        <v>1.2971999999999999E-2</v>
      </c>
      <c r="H4">
        <v>0</v>
      </c>
      <c r="I4">
        <v>46039.41</v>
      </c>
      <c r="J4">
        <v>23792.959999999999</v>
      </c>
      <c r="K4">
        <v>0</v>
      </c>
      <c r="L4">
        <v>29466.65</v>
      </c>
      <c r="M4">
        <v>0</v>
      </c>
      <c r="N4">
        <v>133201.28</v>
      </c>
      <c r="O4">
        <v>12004.48</v>
      </c>
      <c r="P4">
        <v>10101.049999999999</v>
      </c>
      <c r="Q4">
        <v>0</v>
      </c>
      <c r="R4">
        <v>0</v>
      </c>
      <c r="S4">
        <v>0</v>
      </c>
      <c r="T4">
        <v>0</v>
      </c>
      <c r="U4">
        <v>0</v>
      </c>
      <c r="V4">
        <v>6209.76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4620.76</v>
      </c>
      <c r="AH4">
        <v>0</v>
      </c>
      <c r="AI4">
        <v>0</v>
      </c>
      <c r="AJ4">
        <v>168308373.736523</v>
      </c>
    </row>
    <row r="5" spans="1:36" x14ac:dyDescent="0.25">
      <c r="A5" t="s">
        <v>66</v>
      </c>
      <c r="B5" t="s">
        <v>26</v>
      </c>
      <c r="D5">
        <v>5141.88</v>
      </c>
      <c r="E5">
        <v>1801.12</v>
      </c>
      <c r="G5">
        <v>2.6835999999999999E-2</v>
      </c>
      <c r="H5">
        <v>0</v>
      </c>
      <c r="I5">
        <v>240593.34</v>
      </c>
      <c r="J5">
        <v>201226.15</v>
      </c>
      <c r="K5">
        <v>0</v>
      </c>
      <c r="L5">
        <v>282049.05</v>
      </c>
      <c r="M5">
        <v>0</v>
      </c>
      <c r="N5">
        <v>181145.4</v>
      </c>
      <c r="O5">
        <v>24923.18</v>
      </c>
      <c r="P5">
        <v>21471.64</v>
      </c>
      <c r="Q5">
        <v>0</v>
      </c>
      <c r="R5">
        <v>0</v>
      </c>
      <c r="S5">
        <v>0</v>
      </c>
      <c r="T5">
        <v>0</v>
      </c>
      <c r="U5">
        <v>0</v>
      </c>
      <c r="V5">
        <v>390516.18</v>
      </c>
      <c r="W5">
        <v>0</v>
      </c>
      <c r="X5">
        <v>0</v>
      </c>
      <c r="Y5">
        <v>0</v>
      </c>
      <c r="Z5">
        <v>65854.75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124220.75</v>
      </c>
      <c r="AH5">
        <v>0</v>
      </c>
      <c r="AI5">
        <v>0</v>
      </c>
      <c r="AJ5">
        <v>571220287.34349406</v>
      </c>
    </row>
    <row r="6" spans="1:36" x14ac:dyDescent="0.25">
      <c r="A6" t="s">
        <v>67</v>
      </c>
      <c r="B6" t="s">
        <v>26</v>
      </c>
      <c r="D6">
        <v>33199.050000000003</v>
      </c>
      <c r="E6">
        <v>11629.1</v>
      </c>
      <c r="G6">
        <v>0.17327000000000001</v>
      </c>
      <c r="H6">
        <v>0</v>
      </c>
      <c r="I6">
        <v>846168.71</v>
      </c>
      <c r="J6">
        <v>463682.79</v>
      </c>
      <c r="K6">
        <v>0</v>
      </c>
      <c r="L6">
        <v>831153.37</v>
      </c>
      <c r="M6">
        <v>0</v>
      </c>
      <c r="N6">
        <v>342339.08</v>
      </c>
      <c r="O6">
        <v>251405.55</v>
      </c>
      <c r="P6">
        <v>199238.75</v>
      </c>
      <c r="Q6">
        <v>0</v>
      </c>
      <c r="R6">
        <v>0</v>
      </c>
      <c r="S6">
        <v>0</v>
      </c>
      <c r="T6">
        <v>0</v>
      </c>
      <c r="U6">
        <v>0</v>
      </c>
      <c r="V6">
        <v>1111746.06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113906.4</v>
      </c>
      <c r="AH6">
        <v>0</v>
      </c>
      <c r="AI6">
        <v>0</v>
      </c>
      <c r="AJ6">
        <v>1791733580.9113801</v>
      </c>
    </row>
    <row r="7" spans="1:36" x14ac:dyDescent="0.25">
      <c r="A7" t="s">
        <v>68</v>
      </c>
      <c r="B7" t="s">
        <v>26</v>
      </c>
      <c r="C7">
        <v>870.6</v>
      </c>
      <c r="D7">
        <v>2485.41</v>
      </c>
      <c r="G7">
        <v>1.2971999999999999E-2</v>
      </c>
      <c r="H7">
        <v>0</v>
      </c>
      <c r="I7">
        <v>65825.39</v>
      </c>
      <c r="J7">
        <v>23792.959999999999</v>
      </c>
      <c r="K7">
        <v>0</v>
      </c>
      <c r="L7">
        <v>29466.65</v>
      </c>
      <c r="M7">
        <v>0</v>
      </c>
      <c r="N7">
        <v>133201.43</v>
      </c>
      <c r="O7">
        <v>16410.830000000002</v>
      </c>
      <c r="P7">
        <v>10753.92</v>
      </c>
      <c r="Q7">
        <v>0</v>
      </c>
      <c r="R7">
        <v>0</v>
      </c>
      <c r="S7">
        <v>0</v>
      </c>
      <c r="T7">
        <v>0</v>
      </c>
      <c r="U7">
        <v>0</v>
      </c>
      <c r="V7">
        <v>6209.84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4620.75</v>
      </c>
      <c r="AH7">
        <v>0</v>
      </c>
      <c r="AI7">
        <v>0</v>
      </c>
      <c r="AJ7">
        <v>202982562.87209699</v>
      </c>
    </row>
    <row r="8" spans="1:36" x14ac:dyDescent="0.25">
      <c r="A8" t="s">
        <v>69</v>
      </c>
      <c r="B8" t="s">
        <v>26</v>
      </c>
      <c r="C8">
        <v>11629.1</v>
      </c>
      <c r="D8">
        <v>33199.050000000003</v>
      </c>
      <c r="G8">
        <v>0.17327000000000001</v>
      </c>
      <c r="H8">
        <v>0</v>
      </c>
      <c r="I8">
        <v>1180296.33</v>
      </c>
      <c r="J8">
        <v>463682.79</v>
      </c>
      <c r="K8">
        <v>0</v>
      </c>
      <c r="L8">
        <v>831153.37</v>
      </c>
      <c r="M8">
        <v>0</v>
      </c>
      <c r="N8">
        <v>342895.24</v>
      </c>
      <c r="O8">
        <v>294170.28999999998</v>
      </c>
      <c r="P8">
        <v>205776.92</v>
      </c>
      <c r="Q8">
        <v>0</v>
      </c>
      <c r="R8">
        <v>0</v>
      </c>
      <c r="S8">
        <v>0</v>
      </c>
      <c r="T8">
        <v>0</v>
      </c>
      <c r="U8">
        <v>0</v>
      </c>
      <c r="V8">
        <v>1106076.08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113905.1</v>
      </c>
      <c r="AH8">
        <v>0</v>
      </c>
      <c r="AI8">
        <v>0</v>
      </c>
      <c r="AJ8">
        <v>2292616083.85043</v>
      </c>
    </row>
    <row r="9" spans="1:36" x14ac:dyDescent="0.25">
      <c r="A9" t="s">
        <v>70</v>
      </c>
      <c r="B9" t="s">
        <v>26</v>
      </c>
      <c r="C9">
        <v>1801.12</v>
      </c>
      <c r="D9">
        <v>5141.88</v>
      </c>
      <c r="G9">
        <v>2.6835999999999999E-2</v>
      </c>
      <c r="H9">
        <v>0</v>
      </c>
      <c r="I9">
        <v>274607.51</v>
      </c>
      <c r="J9">
        <v>201226.15</v>
      </c>
      <c r="K9">
        <v>0</v>
      </c>
      <c r="L9">
        <v>282049.05</v>
      </c>
      <c r="M9">
        <v>0</v>
      </c>
      <c r="N9">
        <v>181160.18</v>
      </c>
      <c r="O9">
        <v>28413.71</v>
      </c>
      <c r="P9">
        <v>21550.91</v>
      </c>
      <c r="Q9">
        <v>0</v>
      </c>
      <c r="R9">
        <v>0</v>
      </c>
      <c r="S9">
        <v>0</v>
      </c>
      <c r="T9">
        <v>0</v>
      </c>
      <c r="U9">
        <v>0</v>
      </c>
      <c r="V9">
        <v>390558.22</v>
      </c>
      <c r="W9">
        <v>0</v>
      </c>
      <c r="X9">
        <v>0</v>
      </c>
      <c r="Y9">
        <v>0</v>
      </c>
      <c r="Z9">
        <v>65854.75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124220.06</v>
      </c>
      <c r="AH9">
        <v>0</v>
      </c>
      <c r="AI9">
        <v>0</v>
      </c>
      <c r="AJ9">
        <v>622621425.76215303</v>
      </c>
    </row>
    <row r="10" spans="1:36" x14ac:dyDescent="0.25">
      <c r="A10" t="s">
        <v>71</v>
      </c>
      <c r="B10" t="s">
        <v>26</v>
      </c>
      <c r="C10">
        <v>13909.61</v>
      </c>
      <c r="D10">
        <v>39709.5</v>
      </c>
      <c r="G10">
        <v>0.20724899999999999</v>
      </c>
      <c r="H10">
        <v>0</v>
      </c>
      <c r="I10">
        <v>1615680.5</v>
      </c>
      <c r="J10">
        <v>857863.39</v>
      </c>
      <c r="K10">
        <v>0</v>
      </c>
      <c r="L10">
        <v>1141299.43</v>
      </c>
      <c r="M10">
        <v>0</v>
      </c>
      <c r="N10">
        <v>794392.67</v>
      </c>
      <c r="O10">
        <v>434750.09</v>
      </c>
      <c r="P10">
        <v>274551.58</v>
      </c>
      <c r="Q10">
        <v>0</v>
      </c>
      <c r="R10">
        <v>0</v>
      </c>
      <c r="S10">
        <v>0</v>
      </c>
      <c r="T10">
        <v>0</v>
      </c>
      <c r="U10">
        <v>0</v>
      </c>
      <c r="V10">
        <v>1729955.96</v>
      </c>
      <c r="W10">
        <v>0</v>
      </c>
      <c r="X10">
        <v>0</v>
      </c>
      <c r="Y10">
        <v>0</v>
      </c>
      <c r="Z10">
        <v>43737.51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270731.51</v>
      </c>
      <c r="AH10">
        <v>0</v>
      </c>
      <c r="AI10">
        <v>0</v>
      </c>
      <c r="AJ10">
        <v>2954414684.7699399</v>
      </c>
    </row>
    <row r="11" spans="1:36" x14ac:dyDescent="0.25">
      <c r="A11" t="s">
        <v>72</v>
      </c>
      <c r="B11" t="s">
        <v>26</v>
      </c>
      <c r="D11">
        <v>39709.5</v>
      </c>
      <c r="E11">
        <v>13909.61</v>
      </c>
      <c r="G11">
        <v>0.20724899999999999</v>
      </c>
      <c r="H11">
        <v>0</v>
      </c>
      <c r="I11">
        <v>1278898.54</v>
      </c>
      <c r="J11">
        <v>857863.39</v>
      </c>
      <c r="K11">
        <v>0</v>
      </c>
      <c r="L11">
        <v>1141299.43</v>
      </c>
      <c r="M11">
        <v>0</v>
      </c>
      <c r="N11">
        <v>791718.12</v>
      </c>
      <c r="O11">
        <v>371625.91</v>
      </c>
      <c r="P11">
        <v>261948.75</v>
      </c>
      <c r="Q11">
        <v>0</v>
      </c>
      <c r="R11">
        <v>0</v>
      </c>
      <c r="S11">
        <v>0</v>
      </c>
      <c r="T11">
        <v>0</v>
      </c>
      <c r="U11">
        <v>0</v>
      </c>
      <c r="V11">
        <v>1739640.58</v>
      </c>
      <c r="W11">
        <v>0</v>
      </c>
      <c r="X11">
        <v>0</v>
      </c>
      <c r="Y11">
        <v>0</v>
      </c>
      <c r="Z11">
        <v>43737.51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270719.35999999999</v>
      </c>
      <c r="AH11">
        <v>0</v>
      </c>
      <c r="AI11">
        <v>0</v>
      </c>
      <c r="AJ11">
        <v>2550418303.8057399</v>
      </c>
    </row>
    <row r="12" spans="1:36" x14ac:dyDescent="0.25">
      <c r="A12" t="s">
        <v>73</v>
      </c>
      <c r="B12" t="s">
        <v>26</v>
      </c>
      <c r="D12">
        <v>80049.440000000002</v>
      </c>
      <c r="E12">
        <v>28040.05</v>
      </c>
      <c r="G12">
        <v>0.41778900000000002</v>
      </c>
      <c r="H12">
        <v>0</v>
      </c>
      <c r="I12">
        <v>2524321.64</v>
      </c>
      <c r="J12">
        <v>1274541.22</v>
      </c>
      <c r="K12">
        <v>0</v>
      </c>
      <c r="L12">
        <v>3553012.2</v>
      </c>
      <c r="M12">
        <v>0</v>
      </c>
      <c r="N12">
        <v>1859200.42</v>
      </c>
      <c r="O12">
        <v>450012.08</v>
      </c>
      <c r="P12">
        <v>379411.13</v>
      </c>
      <c r="Q12">
        <v>0</v>
      </c>
      <c r="R12">
        <v>0</v>
      </c>
      <c r="S12">
        <v>0</v>
      </c>
      <c r="T12">
        <v>0</v>
      </c>
      <c r="U12">
        <v>0</v>
      </c>
      <c r="V12">
        <v>2814811.35</v>
      </c>
      <c r="W12">
        <v>0</v>
      </c>
      <c r="X12">
        <v>0</v>
      </c>
      <c r="Y12">
        <v>0</v>
      </c>
      <c r="Z12">
        <v>127428.8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725832.77</v>
      </c>
      <c r="AH12">
        <v>0</v>
      </c>
      <c r="AI12">
        <v>0</v>
      </c>
      <c r="AJ12">
        <v>6489795638.3838701</v>
      </c>
    </row>
    <row r="13" spans="1:36" x14ac:dyDescent="0.25">
      <c r="A13" t="s">
        <v>74</v>
      </c>
      <c r="B13" t="s">
        <v>26</v>
      </c>
      <c r="D13">
        <v>5522.32</v>
      </c>
      <c r="E13">
        <v>1934.38</v>
      </c>
      <c r="G13">
        <v>2.8822E-2</v>
      </c>
      <c r="H13">
        <v>0</v>
      </c>
      <c r="I13">
        <v>278503.46000000002</v>
      </c>
      <c r="J13">
        <v>197273.03</v>
      </c>
      <c r="K13">
        <v>0</v>
      </c>
      <c r="L13">
        <v>258328.15</v>
      </c>
      <c r="M13">
        <v>0</v>
      </c>
      <c r="N13">
        <v>410184.4</v>
      </c>
      <c r="O13">
        <v>28220.74</v>
      </c>
      <c r="P13">
        <v>24622.23</v>
      </c>
      <c r="Q13">
        <v>0</v>
      </c>
      <c r="R13">
        <v>0</v>
      </c>
      <c r="S13">
        <v>0</v>
      </c>
      <c r="T13">
        <v>0</v>
      </c>
      <c r="U13">
        <v>0</v>
      </c>
      <c r="V13">
        <v>241664.99</v>
      </c>
      <c r="W13">
        <v>0</v>
      </c>
      <c r="X13">
        <v>0</v>
      </c>
      <c r="Y13">
        <v>0</v>
      </c>
      <c r="Z13">
        <v>64094.3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228586.75</v>
      </c>
      <c r="AH13">
        <v>0</v>
      </c>
      <c r="AI13">
        <v>0</v>
      </c>
      <c r="AJ13">
        <v>838737985.06535804</v>
      </c>
    </row>
    <row r="14" spans="1:36" x14ac:dyDescent="0.25">
      <c r="A14" t="s">
        <v>75</v>
      </c>
      <c r="B14" t="s">
        <v>26</v>
      </c>
      <c r="C14">
        <v>1934.38</v>
      </c>
      <c r="D14">
        <v>5522.32</v>
      </c>
      <c r="G14">
        <v>2.8822E-2</v>
      </c>
      <c r="H14">
        <v>0</v>
      </c>
      <c r="I14">
        <v>303894.69</v>
      </c>
      <c r="J14">
        <v>197273.03</v>
      </c>
      <c r="K14">
        <v>0</v>
      </c>
      <c r="L14">
        <v>258328.15</v>
      </c>
      <c r="M14">
        <v>0</v>
      </c>
      <c r="N14">
        <v>410092.9</v>
      </c>
      <c r="O14">
        <v>31825.33</v>
      </c>
      <c r="P14">
        <v>24666.93</v>
      </c>
      <c r="Q14">
        <v>0</v>
      </c>
      <c r="R14">
        <v>0</v>
      </c>
      <c r="S14">
        <v>0</v>
      </c>
      <c r="T14">
        <v>0</v>
      </c>
      <c r="U14">
        <v>0</v>
      </c>
      <c r="V14">
        <v>240480.02</v>
      </c>
      <c r="W14">
        <v>0</v>
      </c>
      <c r="X14">
        <v>0</v>
      </c>
      <c r="Y14">
        <v>0</v>
      </c>
      <c r="Z14">
        <v>64094.3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228588.07</v>
      </c>
      <c r="AH14">
        <v>0</v>
      </c>
      <c r="AI14">
        <v>0</v>
      </c>
      <c r="AJ14">
        <v>924446410.67916</v>
      </c>
    </row>
    <row r="15" spans="1:36" x14ac:dyDescent="0.25">
      <c r="A15" t="s">
        <v>76</v>
      </c>
      <c r="B15" t="s">
        <v>26</v>
      </c>
      <c r="D15">
        <v>34098.03</v>
      </c>
      <c r="E15">
        <v>11944</v>
      </c>
      <c r="G15">
        <v>0.17796200000000001</v>
      </c>
      <c r="H15">
        <v>0</v>
      </c>
      <c r="I15">
        <v>959178.39</v>
      </c>
      <c r="J15">
        <v>350734.07</v>
      </c>
      <c r="K15">
        <v>0</v>
      </c>
      <c r="L15">
        <v>936314.72</v>
      </c>
      <c r="M15">
        <v>0</v>
      </c>
      <c r="N15">
        <v>573903.31000000006</v>
      </c>
      <c r="O15">
        <v>273988.26</v>
      </c>
      <c r="P15">
        <v>210598.36</v>
      </c>
      <c r="Q15">
        <v>0</v>
      </c>
      <c r="R15">
        <v>0</v>
      </c>
      <c r="S15">
        <v>0</v>
      </c>
      <c r="T15">
        <v>0</v>
      </c>
      <c r="U15">
        <v>0</v>
      </c>
      <c r="V15">
        <v>796036.92</v>
      </c>
      <c r="W15">
        <v>0</v>
      </c>
      <c r="X15">
        <v>0</v>
      </c>
      <c r="Y15">
        <v>0</v>
      </c>
      <c r="Z15">
        <v>68627.600000000006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475884.17</v>
      </c>
      <c r="AH15">
        <v>0</v>
      </c>
      <c r="AI15">
        <v>0</v>
      </c>
      <c r="AJ15">
        <v>1453463093.5112</v>
      </c>
    </row>
    <row r="16" spans="1:36" x14ac:dyDescent="0.25">
      <c r="A16" t="s">
        <v>77</v>
      </c>
      <c r="B16" t="s">
        <v>25</v>
      </c>
      <c r="C16">
        <v>9590.6200000000008</v>
      </c>
      <c r="D16">
        <v>27379.55</v>
      </c>
      <c r="G16">
        <v>0.142898</v>
      </c>
      <c r="H16">
        <v>0</v>
      </c>
      <c r="I16">
        <v>1546709.45</v>
      </c>
      <c r="J16">
        <v>774617.57</v>
      </c>
      <c r="K16">
        <v>0</v>
      </c>
      <c r="L16">
        <v>436518</v>
      </c>
      <c r="M16">
        <v>0</v>
      </c>
      <c r="N16">
        <v>391157.53</v>
      </c>
      <c r="O16">
        <v>186086.39999999999</v>
      </c>
      <c r="P16">
        <v>171961.53</v>
      </c>
      <c r="Q16">
        <v>0</v>
      </c>
      <c r="R16">
        <v>0</v>
      </c>
      <c r="S16">
        <v>0</v>
      </c>
      <c r="T16">
        <v>0</v>
      </c>
      <c r="U16">
        <v>0</v>
      </c>
      <c r="V16">
        <v>701647.79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131094.74</v>
      </c>
      <c r="AH16">
        <v>0</v>
      </c>
      <c r="AI16">
        <v>0</v>
      </c>
      <c r="AJ16">
        <v>2889927851.07829</v>
      </c>
    </row>
    <row r="17" spans="1:36" x14ac:dyDescent="0.25">
      <c r="A17" t="s">
        <v>78</v>
      </c>
      <c r="B17" t="s">
        <v>25</v>
      </c>
      <c r="D17">
        <v>2706.52</v>
      </c>
      <c r="E17">
        <v>948.05</v>
      </c>
      <c r="G17">
        <v>1.4126E-2</v>
      </c>
      <c r="H17">
        <v>0</v>
      </c>
      <c r="I17">
        <v>94668.41</v>
      </c>
      <c r="J17">
        <v>23792.959999999999</v>
      </c>
      <c r="K17">
        <v>0</v>
      </c>
      <c r="L17">
        <v>29466.65</v>
      </c>
      <c r="M17">
        <v>0</v>
      </c>
      <c r="N17">
        <v>125442.71</v>
      </c>
      <c r="O17">
        <v>16365.99</v>
      </c>
      <c r="P17">
        <v>18273.57</v>
      </c>
      <c r="Q17">
        <v>0</v>
      </c>
      <c r="R17">
        <v>0</v>
      </c>
      <c r="S17">
        <v>0</v>
      </c>
      <c r="T17">
        <v>0</v>
      </c>
      <c r="U17">
        <v>0</v>
      </c>
      <c r="V17">
        <v>137.41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3626.13</v>
      </c>
      <c r="AH17">
        <v>0</v>
      </c>
      <c r="AI17">
        <v>0</v>
      </c>
      <c r="AJ17">
        <v>199077234.62180901</v>
      </c>
    </row>
    <row r="18" spans="1:36" x14ac:dyDescent="0.25">
      <c r="A18" t="s">
        <v>79</v>
      </c>
      <c r="B18" t="s">
        <v>26</v>
      </c>
      <c r="C18">
        <v>28040.05</v>
      </c>
      <c r="D18">
        <v>80049.440000000002</v>
      </c>
      <c r="G18">
        <v>0.41778900000000002</v>
      </c>
      <c r="H18">
        <v>0</v>
      </c>
      <c r="I18">
        <v>2943990.37</v>
      </c>
      <c r="J18">
        <v>1274541.22</v>
      </c>
      <c r="K18">
        <v>0</v>
      </c>
      <c r="L18">
        <v>3553012.2</v>
      </c>
      <c r="M18">
        <v>0</v>
      </c>
      <c r="N18">
        <v>1861189.15</v>
      </c>
      <c r="O18">
        <v>508781.92</v>
      </c>
      <c r="P18">
        <v>380878.38</v>
      </c>
      <c r="Q18">
        <v>0</v>
      </c>
      <c r="R18">
        <v>0</v>
      </c>
      <c r="S18">
        <v>0</v>
      </c>
      <c r="T18">
        <v>0</v>
      </c>
      <c r="U18">
        <v>0</v>
      </c>
      <c r="V18">
        <v>2770397.04</v>
      </c>
      <c r="W18">
        <v>0</v>
      </c>
      <c r="X18">
        <v>0</v>
      </c>
      <c r="Y18">
        <v>0</v>
      </c>
      <c r="Z18">
        <v>127428.8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725891.87</v>
      </c>
      <c r="AH18">
        <v>0</v>
      </c>
      <c r="AI18">
        <v>0</v>
      </c>
      <c r="AJ18">
        <v>7458735780.9167805</v>
      </c>
    </row>
    <row r="19" spans="1:36" x14ac:dyDescent="0.25">
      <c r="A19" t="s">
        <v>80</v>
      </c>
      <c r="B19" t="s">
        <v>25</v>
      </c>
      <c r="D19">
        <v>27379.55</v>
      </c>
      <c r="E19">
        <v>9590.6200000000008</v>
      </c>
      <c r="G19">
        <v>0.142898</v>
      </c>
      <c r="H19">
        <v>0</v>
      </c>
      <c r="I19">
        <v>1380122.23</v>
      </c>
      <c r="J19">
        <v>774617.57</v>
      </c>
      <c r="K19">
        <v>0</v>
      </c>
      <c r="L19">
        <v>436518</v>
      </c>
      <c r="M19">
        <v>0</v>
      </c>
      <c r="N19">
        <v>391301.15</v>
      </c>
      <c r="O19">
        <v>167086.42000000001</v>
      </c>
      <c r="P19">
        <v>170242.47</v>
      </c>
      <c r="Q19">
        <v>0</v>
      </c>
      <c r="R19">
        <v>0</v>
      </c>
      <c r="S19">
        <v>0</v>
      </c>
      <c r="T19">
        <v>0</v>
      </c>
      <c r="U19">
        <v>0</v>
      </c>
      <c r="V19">
        <v>701091.3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131096.70000000001</v>
      </c>
      <c r="AH19">
        <v>0</v>
      </c>
      <c r="AI19">
        <v>0</v>
      </c>
      <c r="AJ19">
        <v>2884618993.0973101</v>
      </c>
    </row>
    <row r="20" spans="1:36" x14ac:dyDescent="0.25">
      <c r="A20" t="s">
        <v>81</v>
      </c>
      <c r="B20" t="s">
        <v>26</v>
      </c>
      <c r="C20">
        <v>11944</v>
      </c>
      <c r="D20">
        <v>34098.03</v>
      </c>
      <c r="G20">
        <v>0.17796200000000001</v>
      </c>
      <c r="H20">
        <v>0</v>
      </c>
      <c r="I20">
        <v>1156077.73</v>
      </c>
      <c r="J20">
        <v>350734.07</v>
      </c>
      <c r="K20">
        <v>0</v>
      </c>
      <c r="L20">
        <v>936314.72</v>
      </c>
      <c r="M20">
        <v>0</v>
      </c>
      <c r="N20">
        <v>573970.5</v>
      </c>
      <c r="O20">
        <v>319589.51</v>
      </c>
      <c r="P20">
        <v>223343.81</v>
      </c>
      <c r="Q20">
        <v>0</v>
      </c>
      <c r="R20">
        <v>0</v>
      </c>
      <c r="S20">
        <v>0</v>
      </c>
      <c r="T20">
        <v>0</v>
      </c>
      <c r="U20">
        <v>0</v>
      </c>
      <c r="V20">
        <v>790912.52</v>
      </c>
      <c r="W20">
        <v>0</v>
      </c>
      <c r="X20">
        <v>0</v>
      </c>
      <c r="Y20">
        <v>0</v>
      </c>
      <c r="Z20">
        <v>68627.600000000006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475864.26</v>
      </c>
      <c r="AH20">
        <v>0</v>
      </c>
      <c r="AI20">
        <v>0</v>
      </c>
      <c r="AJ20">
        <v>1553111871.39235</v>
      </c>
    </row>
    <row r="21" spans="1:36" x14ac:dyDescent="0.25">
      <c r="A21" t="s">
        <v>82</v>
      </c>
      <c r="B21" t="s">
        <v>25</v>
      </c>
      <c r="D21">
        <v>36391.519999999997</v>
      </c>
      <c r="E21">
        <v>12747.37</v>
      </c>
      <c r="G21">
        <v>0.18993199999999999</v>
      </c>
      <c r="H21">
        <v>0</v>
      </c>
      <c r="I21">
        <v>1641863.19</v>
      </c>
      <c r="J21">
        <v>463682.79</v>
      </c>
      <c r="K21">
        <v>0</v>
      </c>
      <c r="L21">
        <v>831153.37</v>
      </c>
      <c r="M21">
        <v>0</v>
      </c>
      <c r="N21">
        <v>341911.19</v>
      </c>
      <c r="O21">
        <v>317239.77</v>
      </c>
      <c r="P21">
        <v>333997.09999999998</v>
      </c>
      <c r="Q21">
        <v>0</v>
      </c>
      <c r="R21">
        <v>0</v>
      </c>
      <c r="S21">
        <v>0</v>
      </c>
      <c r="T21">
        <v>0</v>
      </c>
      <c r="U21">
        <v>0</v>
      </c>
      <c r="V21">
        <v>821168.66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85804.77</v>
      </c>
      <c r="AH21">
        <v>0</v>
      </c>
      <c r="AI21">
        <v>0</v>
      </c>
      <c r="AJ21">
        <v>2554955441.8734698</v>
      </c>
    </row>
    <row r="22" spans="1:36" x14ac:dyDescent="0.25">
      <c r="A22" t="s">
        <v>83</v>
      </c>
      <c r="B22" t="s">
        <v>25</v>
      </c>
      <c r="C22">
        <v>948.05</v>
      </c>
      <c r="D22">
        <v>2706.52</v>
      </c>
      <c r="G22">
        <v>1.4126E-2</v>
      </c>
      <c r="H22">
        <v>0</v>
      </c>
      <c r="I22">
        <v>151916.57</v>
      </c>
      <c r="J22">
        <v>23792.959999999999</v>
      </c>
      <c r="K22">
        <v>0</v>
      </c>
      <c r="L22">
        <v>29466.65</v>
      </c>
      <c r="M22">
        <v>0</v>
      </c>
      <c r="N22">
        <v>125442.81</v>
      </c>
      <c r="O22">
        <v>21271.37</v>
      </c>
      <c r="P22">
        <v>18786.400000000001</v>
      </c>
      <c r="Q22">
        <v>0</v>
      </c>
      <c r="R22">
        <v>0</v>
      </c>
      <c r="S22">
        <v>0</v>
      </c>
      <c r="T22">
        <v>0</v>
      </c>
      <c r="U22">
        <v>0</v>
      </c>
      <c r="V22">
        <v>137.41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3626.13</v>
      </c>
      <c r="AH22">
        <v>0</v>
      </c>
      <c r="AI22">
        <v>0</v>
      </c>
      <c r="AJ22">
        <v>259595687.763156</v>
      </c>
    </row>
    <row r="23" spans="1:36" x14ac:dyDescent="0.25">
      <c r="A23" t="s">
        <v>84</v>
      </c>
      <c r="B23" t="s">
        <v>25</v>
      </c>
      <c r="C23">
        <v>12747.37</v>
      </c>
      <c r="D23">
        <v>36391.519999999997</v>
      </c>
      <c r="G23">
        <v>0.18993199999999999</v>
      </c>
      <c r="H23">
        <v>0</v>
      </c>
      <c r="I23">
        <v>2302710.56</v>
      </c>
      <c r="J23">
        <v>463682.79</v>
      </c>
      <c r="K23">
        <v>0</v>
      </c>
      <c r="L23">
        <v>831153.37</v>
      </c>
      <c r="M23">
        <v>0</v>
      </c>
      <c r="N23">
        <v>343092.47</v>
      </c>
      <c r="O23">
        <v>363200.67</v>
      </c>
      <c r="P23">
        <v>336778.5</v>
      </c>
      <c r="Q23">
        <v>0</v>
      </c>
      <c r="R23">
        <v>0</v>
      </c>
      <c r="S23">
        <v>0</v>
      </c>
      <c r="T23">
        <v>0</v>
      </c>
      <c r="U23">
        <v>0</v>
      </c>
      <c r="V23">
        <v>821250.33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85800.69</v>
      </c>
      <c r="AH23">
        <v>0</v>
      </c>
      <c r="AI23">
        <v>0</v>
      </c>
      <c r="AJ23">
        <v>3082045787.5496402</v>
      </c>
    </row>
    <row r="24" spans="1:36" x14ac:dyDescent="0.25">
      <c r="A24" t="s">
        <v>85</v>
      </c>
      <c r="B24" t="s">
        <v>25</v>
      </c>
      <c r="D24">
        <v>6007.07</v>
      </c>
      <c r="E24">
        <v>2104.1799999999998</v>
      </c>
      <c r="G24">
        <v>3.1351999999999998E-2</v>
      </c>
      <c r="H24">
        <v>0</v>
      </c>
      <c r="I24">
        <v>444924.68</v>
      </c>
      <c r="J24">
        <v>201226.15</v>
      </c>
      <c r="K24">
        <v>0</v>
      </c>
      <c r="L24">
        <v>282049.05</v>
      </c>
      <c r="M24">
        <v>0</v>
      </c>
      <c r="N24">
        <v>202301.37</v>
      </c>
      <c r="O24">
        <v>33837.33</v>
      </c>
      <c r="P24">
        <v>36952.79</v>
      </c>
      <c r="Q24">
        <v>0</v>
      </c>
      <c r="R24">
        <v>0</v>
      </c>
      <c r="S24">
        <v>0</v>
      </c>
      <c r="T24">
        <v>0</v>
      </c>
      <c r="U24">
        <v>0</v>
      </c>
      <c r="V24">
        <v>290438.45</v>
      </c>
      <c r="W24">
        <v>0</v>
      </c>
      <c r="X24">
        <v>0</v>
      </c>
      <c r="Y24">
        <v>0</v>
      </c>
      <c r="Z24">
        <v>65854.75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93542.73</v>
      </c>
      <c r="AH24">
        <v>0</v>
      </c>
      <c r="AI24">
        <v>0</v>
      </c>
      <c r="AJ24">
        <v>732216872.05424404</v>
      </c>
    </row>
    <row r="25" spans="1:36" x14ac:dyDescent="0.25">
      <c r="A25" t="s">
        <v>86</v>
      </c>
      <c r="B25" t="s">
        <v>25</v>
      </c>
      <c r="C25">
        <v>2104.1799999999998</v>
      </c>
      <c r="D25">
        <v>6007.07</v>
      </c>
      <c r="G25">
        <v>3.1351999999999998E-2</v>
      </c>
      <c r="H25">
        <v>0</v>
      </c>
      <c r="I25">
        <v>561257.47</v>
      </c>
      <c r="J25">
        <v>201226.15</v>
      </c>
      <c r="K25">
        <v>0</v>
      </c>
      <c r="L25">
        <v>282049.05</v>
      </c>
      <c r="M25">
        <v>0</v>
      </c>
      <c r="N25">
        <v>202284.48</v>
      </c>
      <c r="O25">
        <v>39780.68</v>
      </c>
      <c r="P25">
        <v>36981.57</v>
      </c>
      <c r="Q25">
        <v>0</v>
      </c>
      <c r="R25">
        <v>0</v>
      </c>
      <c r="S25">
        <v>0</v>
      </c>
      <c r="T25">
        <v>0</v>
      </c>
      <c r="U25">
        <v>0</v>
      </c>
      <c r="V25">
        <v>289748.03999999998</v>
      </c>
      <c r="W25">
        <v>0</v>
      </c>
      <c r="X25">
        <v>0</v>
      </c>
      <c r="Y25">
        <v>0</v>
      </c>
      <c r="Z25">
        <v>65854.75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93543.25</v>
      </c>
      <c r="AH25">
        <v>0</v>
      </c>
      <c r="AI25">
        <v>0</v>
      </c>
      <c r="AJ25">
        <v>828668743.67681003</v>
      </c>
    </row>
    <row r="26" spans="1:36" x14ac:dyDescent="0.25">
      <c r="A26" t="s">
        <v>87</v>
      </c>
      <c r="B26" t="s">
        <v>25</v>
      </c>
      <c r="C26">
        <v>15846.95</v>
      </c>
      <c r="D26">
        <v>45240.28</v>
      </c>
      <c r="G26">
        <v>0.23611499999999999</v>
      </c>
      <c r="H26">
        <v>0</v>
      </c>
      <c r="I26">
        <v>3074388.43</v>
      </c>
      <c r="J26">
        <v>857863.39</v>
      </c>
      <c r="K26">
        <v>0</v>
      </c>
      <c r="L26">
        <v>1141299.43</v>
      </c>
      <c r="M26">
        <v>0</v>
      </c>
      <c r="N26">
        <v>801564.47</v>
      </c>
      <c r="O26">
        <v>493171.75</v>
      </c>
      <c r="P26">
        <v>444161.65</v>
      </c>
      <c r="Q26">
        <v>0</v>
      </c>
      <c r="R26">
        <v>0</v>
      </c>
      <c r="S26">
        <v>0</v>
      </c>
      <c r="T26">
        <v>0</v>
      </c>
      <c r="U26">
        <v>0</v>
      </c>
      <c r="V26">
        <v>1648602.24</v>
      </c>
      <c r="W26">
        <v>0</v>
      </c>
      <c r="X26">
        <v>0</v>
      </c>
      <c r="Y26">
        <v>0</v>
      </c>
      <c r="Z26">
        <v>43737.51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203701.21</v>
      </c>
      <c r="AH26">
        <v>0</v>
      </c>
      <c r="AI26">
        <v>0</v>
      </c>
      <c r="AJ26">
        <v>3768833553.5721798</v>
      </c>
    </row>
    <row r="27" spans="1:36" x14ac:dyDescent="0.25">
      <c r="A27" t="s">
        <v>88</v>
      </c>
      <c r="B27" t="s">
        <v>25</v>
      </c>
      <c r="C27">
        <v>2283.14</v>
      </c>
      <c r="D27">
        <v>6517.96</v>
      </c>
      <c r="G27">
        <v>3.4018E-2</v>
      </c>
      <c r="H27">
        <v>0</v>
      </c>
      <c r="I27">
        <v>668848.80000000005</v>
      </c>
      <c r="J27">
        <v>197273.03</v>
      </c>
      <c r="K27">
        <v>0</v>
      </c>
      <c r="L27">
        <v>258328.15</v>
      </c>
      <c r="M27">
        <v>0</v>
      </c>
      <c r="N27">
        <v>336701.08</v>
      </c>
      <c r="O27">
        <v>45208.4</v>
      </c>
      <c r="P27">
        <v>42323.56</v>
      </c>
      <c r="Q27">
        <v>0</v>
      </c>
      <c r="R27">
        <v>0</v>
      </c>
      <c r="S27">
        <v>0</v>
      </c>
      <c r="T27">
        <v>0</v>
      </c>
      <c r="U27">
        <v>0</v>
      </c>
      <c r="V27">
        <v>135305.94</v>
      </c>
      <c r="W27">
        <v>0</v>
      </c>
      <c r="X27">
        <v>0</v>
      </c>
      <c r="Y27">
        <v>0</v>
      </c>
      <c r="Z27">
        <v>64094.3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171950.26</v>
      </c>
      <c r="AH27">
        <v>0</v>
      </c>
      <c r="AI27">
        <v>0</v>
      </c>
      <c r="AJ27">
        <v>1338483184.43471</v>
      </c>
    </row>
    <row r="28" spans="1:36" x14ac:dyDescent="0.25">
      <c r="A28" t="s">
        <v>89</v>
      </c>
      <c r="B28" t="s">
        <v>25</v>
      </c>
      <c r="D28">
        <v>6517.96</v>
      </c>
      <c r="E28">
        <v>2283.14</v>
      </c>
      <c r="G28">
        <v>3.4018E-2</v>
      </c>
      <c r="H28">
        <v>0</v>
      </c>
      <c r="I28">
        <v>551564.56000000006</v>
      </c>
      <c r="J28">
        <v>197273.03</v>
      </c>
      <c r="K28">
        <v>0</v>
      </c>
      <c r="L28">
        <v>258328.15</v>
      </c>
      <c r="M28">
        <v>0</v>
      </c>
      <c r="N28">
        <v>336762.78</v>
      </c>
      <c r="O28">
        <v>38609.82</v>
      </c>
      <c r="P28">
        <v>42226.09</v>
      </c>
      <c r="Q28">
        <v>0</v>
      </c>
      <c r="R28">
        <v>0</v>
      </c>
      <c r="S28">
        <v>0</v>
      </c>
      <c r="T28">
        <v>0</v>
      </c>
      <c r="U28">
        <v>0</v>
      </c>
      <c r="V28">
        <v>135462.46</v>
      </c>
      <c r="W28">
        <v>0</v>
      </c>
      <c r="X28">
        <v>0</v>
      </c>
      <c r="Y28">
        <v>0</v>
      </c>
      <c r="Z28">
        <v>64094.3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171951.25</v>
      </c>
      <c r="AH28">
        <v>0</v>
      </c>
      <c r="AI28">
        <v>0</v>
      </c>
      <c r="AJ28">
        <v>1230253438.4623301</v>
      </c>
    </row>
    <row r="29" spans="1:36" x14ac:dyDescent="0.25">
      <c r="A29" t="s">
        <v>90</v>
      </c>
      <c r="B29" t="s">
        <v>25</v>
      </c>
      <c r="D29">
        <v>45240.28</v>
      </c>
      <c r="E29">
        <v>15846.95</v>
      </c>
      <c r="G29">
        <v>0.23611499999999999</v>
      </c>
      <c r="H29">
        <v>0</v>
      </c>
      <c r="I29">
        <v>2648698.7000000002</v>
      </c>
      <c r="J29">
        <v>857863.39</v>
      </c>
      <c r="K29">
        <v>0</v>
      </c>
      <c r="L29">
        <v>1141299.43</v>
      </c>
      <c r="M29">
        <v>0</v>
      </c>
      <c r="N29">
        <v>800963.7</v>
      </c>
      <c r="O29">
        <v>436766.56</v>
      </c>
      <c r="P29">
        <v>436992.18</v>
      </c>
      <c r="Q29">
        <v>0</v>
      </c>
      <c r="R29">
        <v>0</v>
      </c>
      <c r="S29">
        <v>0</v>
      </c>
      <c r="T29">
        <v>0</v>
      </c>
      <c r="U29">
        <v>0</v>
      </c>
      <c r="V29">
        <v>1647927.23</v>
      </c>
      <c r="W29">
        <v>0</v>
      </c>
      <c r="X29">
        <v>0</v>
      </c>
      <c r="Y29">
        <v>0</v>
      </c>
      <c r="Z29">
        <v>43737.51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203717.46</v>
      </c>
      <c r="AH29">
        <v>0</v>
      </c>
      <c r="AI29">
        <v>0</v>
      </c>
      <c r="AJ29">
        <v>3738674031.3622799</v>
      </c>
    </row>
    <row r="30" spans="1:36" x14ac:dyDescent="0.25">
      <c r="A30" t="s">
        <v>91</v>
      </c>
      <c r="B30" t="s">
        <v>25</v>
      </c>
      <c r="D30">
        <v>40201.160000000003</v>
      </c>
      <c r="E30">
        <v>14081.83</v>
      </c>
      <c r="G30">
        <v>0.209815</v>
      </c>
      <c r="H30">
        <v>0</v>
      </c>
      <c r="I30">
        <v>1696450.86</v>
      </c>
      <c r="J30">
        <v>350734.07</v>
      </c>
      <c r="K30">
        <v>0</v>
      </c>
      <c r="L30">
        <v>936314.72</v>
      </c>
      <c r="M30">
        <v>0</v>
      </c>
      <c r="N30">
        <v>648097.88</v>
      </c>
      <c r="O30">
        <v>350214.15</v>
      </c>
      <c r="P30">
        <v>371772.12</v>
      </c>
      <c r="Q30">
        <v>0</v>
      </c>
      <c r="R30">
        <v>0</v>
      </c>
      <c r="S30">
        <v>0</v>
      </c>
      <c r="T30">
        <v>0</v>
      </c>
      <c r="U30">
        <v>0</v>
      </c>
      <c r="V30">
        <v>905391.09</v>
      </c>
      <c r="W30">
        <v>0</v>
      </c>
      <c r="X30">
        <v>0</v>
      </c>
      <c r="Y30">
        <v>0</v>
      </c>
      <c r="Z30">
        <v>68627.600000000006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356277.67</v>
      </c>
      <c r="AH30">
        <v>0</v>
      </c>
      <c r="AI30">
        <v>0</v>
      </c>
      <c r="AJ30">
        <v>3081273625.5281</v>
      </c>
    </row>
    <row r="31" spans="1:36" x14ac:dyDescent="0.25">
      <c r="A31" t="s">
        <v>92</v>
      </c>
      <c r="B31" t="s">
        <v>25</v>
      </c>
      <c r="C31">
        <v>14081.83</v>
      </c>
      <c r="D31">
        <v>40201.160000000003</v>
      </c>
      <c r="G31">
        <v>0.209815</v>
      </c>
      <c r="H31">
        <v>0</v>
      </c>
      <c r="I31">
        <v>2329438.9900000002</v>
      </c>
      <c r="J31">
        <v>350734.07</v>
      </c>
      <c r="K31">
        <v>0</v>
      </c>
      <c r="L31">
        <v>936314.72</v>
      </c>
      <c r="M31">
        <v>0</v>
      </c>
      <c r="N31">
        <v>648412.54</v>
      </c>
      <c r="O31">
        <v>413338.84</v>
      </c>
      <c r="P31">
        <v>380803.4</v>
      </c>
      <c r="Q31">
        <v>0</v>
      </c>
      <c r="R31">
        <v>0</v>
      </c>
      <c r="S31">
        <v>0</v>
      </c>
      <c r="T31">
        <v>0</v>
      </c>
      <c r="U31">
        <v>0</v>
      </c>
      <c r="V31">
        <v>905455.41</v>
      </c>
      <c r="W31">
        <v>0</v>
      </c>
      <c r="X31">
        <v>0</v>
      </c>
      <c r="Y31">
        <v>0</v>
      </c>
      <c r="Z31">
        <v>68627.600000000006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356253.98</v>
      </c>
      <c r="AH31">
        <v>0</v>
      </c>
      <c r="AI31">
        <v>0</v>
      </c>
      <c r="AJ31">
        <v>3342317486.2094402</v>
      </c>
    </row>
    <row r="32" spans="1:36" x14ac:dyDescent="0.25">
      <c r="A32" t="s">
        <v>93</v>
      </c>
      <c r="B32" t="s">
        <v>24</v>
      </c>
      <c r="D32">
        <v>25977.47</v>
      </c>
      <c r="E32">
        <v>9099.49</v>
      </c>
      <c r="G32">
        <v>0.13558000000000001</v>
      </c>
      <c r="H32">
        <v>0</v>
      </c>
      <c r="I32">
        <v>915358.96</v>
      </c>
      <c r="J32">
        <v>774617.57</v>
      </c>
      <c r="K32">
        <v>0</v>
      </c>
      <c r="L32">
        <v>436518</v>
      </c>
      <c r="M32">
        <v>0</v>
      </c>
      <c r="N32">
        <v>357862.02</v>
      </c>
      <c r="O32">
        <v>137632.85999999999</v>
      </c>
      <c r="P32">
        <v>135772.32999999999</v>
      </c>
      <c r="Q32">
        <v>0</v>
      </c>
      <c r="R32">
        <v>0</v>
      </c>
      <c r="S32">
        <v>0</v>
      </c>
      <c r="T32">
        <v>0</v>
      </c>
      <c r="U32">
        <v>0</v>
      </c>
      <c r="V32">
        <v>640509.26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147592.87</v>
      </c>
      <c r="AH32">
        <v>0</v>
      </c>
      <c r="AI32">
        <v>0</v>
      </c>
      <c r="AJ32">
        <v>2767851166.4725299</v>
      </c>
    </row>
    <row r="33" spans="1:36" x14ac:dyDescent="0.25">
      <c r="A33" t="s">
        <v>94</v>
      </c>
      <c r="B33" t="s">
        <v>25</v>
      </c>
      <c r="D33">
        <v>90247.38</v>
      </c>
      <c r="E33">
        <v>31612.22</v>
      </c>
      <c r="G33">
        <v>0.47101300000000001</v>
      </c>
      <c r="H33">
        <v>0</v>
      </c>
      <c r="I33">
        <v>4934346.07</v>
      </c>
      <c r="J33">
        <v>1274541.22</v>
      </c>
      <c r="K33">
        <v>0</v>
      </c>
      <c r="L33">
        <v>3553012.2</v>
      </c>
      <c r="M33">
        <v>0</v>
      </c>
      <c r="N33">
        <v>1929019.36</v>
      </c>
      <c r="O33">
        <v>601249.78</v>
      </c>
      <c r="P33">
        <v>635158.69999999995</v>
      </c>
      <c r="Q33">
        <v>0</v>
      </c>
      <c r="R33">
        <v>0</v>
      </c>
      <c r="S33">
        <v>0</v>
      </c>
      <c r="T33">
        <v>0</v>
      </c>
      <c r="U33">
        <v>0</v>
      </c>
      <c r="V33">
        <v>2807747.73</v>
      </c>
      <c r="W33">
        <v>0</v>
      </c>
      <c r="X33">
        <v>0</v>
      </c>
      <c r="Y33">
        <v>0</v>
      </c>
      <c r="Z33">
        <v>127428.8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544716.48</v>
      </c>
      <c r="AH33">
        <v>0</v>
      </c>
      <c r="AI33">
        <v>0</v>
      </c>
      <c r="AJ33">
        <v>8677080461.8987503</v>
      </c>
    </row>
    <row r="34" spans="1:36" x14ac:dyDescent="0.25">
      <c r="A34" t="s">
        <v>95</v>
      </c>
      <c r="B34" t="s">
        <v>24</v>
      </c>
      <c r="C34">
        <v>9099.49</v>
      </c>
      <c r="D34">
        <v>25977.47</v>
      </c>
      <c r="G34">
        <v>0.13558000000000001</v>
      </c>
      <c r="H34">
        <v>0</v>
      </c>
      <c r="I34">
        <v>1044978.87</v>
      </c>
      <c r="J34">
        <v>774617.57</v>
      </c>
      <c r="K34">
        <v>0</v>
      </c>
      <c r="L34">
        <v>436518</v>
      </c>
      <c r="M34">
        <v>0</v>
      </c>
      <c r="N34">
        <v>357877.24</v>
      </c>
      <c r="O34">
        <v>158384.14000000001</v>
      </c>
      <c r="P34">
        <v>138347.34</v>
      </c>
      <c r="Q34">
        <v>0</v>
      </c>
      <c r="R34">
        <v>0</v>
      </c>
      <c r="S34">
        <v>0</v>
      </c>
      <c r="T34">
        <v>0</v>
      </c>
      <c r="U34">
        <v>0</v>
      </c>
      <c r="V34">
        <v>640006.87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147596.97</v>
      </c>
      <c r="AH34">
        <v>0</v>
      </c>
      <c r="AI34">
        <v>0</v>
      </c>
      <c r="AJ34">
        <v>2735289380.9762702</v>
      </c>
    </row>
    <row r="35" spans="1:36" x14ac:dyDescent="0.25">
      <c r="A35" t="s">
        <v>96</v>
      </c>
      <c r="B35" t="s">
        <v>25</v>
      </c>
      <c r="C35">
        <v>31612.22</v>
      </c>
      <c r="D35">
        <v>90247.38</v>
      </c>
      <c r="G35">
        <v>0.47101300000000001</v>
      </c>
      <c r="H35">
        <v>0</v>
      </c>
      <c r="I35">
        <v>5932097.0300000003</v>
      </c>
      <c r="J35">
        <v>1274541.22</v>
      </c>
      <c r="K35">
        <v>0</v>
      </c>
      <c r="L35">
        <v>3553012.2</v>
      </c>
      <c r="M35">
        <v>0</v>
      </c>
      <c r="N35">
        <v>1929368.26</v>
      </c>
      <c r="O35">
        <v>683428.28</v>
      </c>
      <c r="P35">
        <v>637035.03</v>
      </c>
      <c r="Q35">
        <v>0</v>
      </c>
      <c r="R35">
        <v>0</v>
      </c>
      <c r="S35">
        <v>0</v>
      </c>
      <c r="T35">
        <v>0</v>
      </c>
      <c r="U35">
        <v>0</v>
      </c>
      <c r="V35">
        <v>2819014.85</v>
      </c>
      <c r="W35">
        <v>0</v>
      </c>
      <c r="X35">
        <v>0</v>
      </c>
      <c r="Y35">
        <v>0</v>
      </c>
      <c r="Z35">
        <v>127428.8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544675.36</v>
      </c>
      <c r="AH35">
        <v>0</v>
      </c>
      <c r="AI35">
        <v>0</v>
      </c>
      <c r="AJ35">
        <v>8931884578.1089096</v>
      </c>
    </row>
    <row r="36" spans="1:36" x14ac:dyDescent="0.25">
      <c r="A36" t="s">
        <v>97</v>
      </c>
      <c r="B36" t="s">
        <v>24</v>
      </c>
      <c r="D36">
        <v>2691.48</v>
      </c>
      <c r="E36">
        <v>942.78</v>
      </c>
      <c r="G36">
        <v>1.4047E-2</v>
      </c>
      <c r="H36">
        <v>0</v>
      </c>
      <c r="I36">
        <v>71483.850000000006</v>
      </c>
      <c r="J36">
        <v>23792.959999999999</v>
      </c>
      <c r="K36">
        <v>0</v>
      </c>
      <c r="L36">
        <v>29466.65</v>
      </c>
      <c r="M36">
        <v>0</v>
      </c>
      <c r="N36">
        <v>132534.9</v>
      </c>
      <c r="O36">
        <v>14605.25</v>
      </c>
      <c r="P36">
        <v>15215.25</v>
      </c>
      <c r="Q36">
        <v>0</v>
      </c>
      <c r="R36">
        <v>0</v>
      </c>
      <c r="S36">
        <v>0</v>
      </c>
      <c r="T36">
        <v>0</v>
      </c>
      <c r="U36">
        <v>0</v>
      </c>
      <c r="V36">
        <v>1042.01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4007.76</v>
      </c>
      <c r="AH36">
        <v>0</v>
      </c>
      <c r="AI36">
        <v>0</v>
      </c>
      <c r="AJ36">
        <v>210120937.20763499</v>
      </c>
    </row>
    <row r="37" spans="1:36" x14ac:dyDescent="0.25">
      <c r="A37" t="s">
        <v>98</v>
      </c>
      <c r="B37" t="s">
        <v>24</v>
      </c>
      <c r="D37">
        <v>35984.33</v>
      </c>
      <c r="E37">
        <v>12604.74</v>
      </c>
      <c r="G37">
        <v>0.187807</v>
      </c>
      <c r="H37">
        <v>0</v>
      </c>
      <c r="I37">
        <v>1145528.07</v>
      </c>
      <c r="J37">
        <v>463682.79</v>
      </c>
      <c r="K37">
        <v>0</v>
      </c>
      <c r="L37">
        <v>831153.37</v>
      </c>
      <c r="M37">
        <v>0</v>
      </c>
      <c r="N37">
        <v>331001.19</v>
      </c>
      <c r="O37">
        <v>277805.01</v>
      </c>
      <c r="P37">
        <v>281558.06</v>
      </c>
      <c r="Q37">
        <v>0</v>
      </c>
      <c r="R37">
        <v>0</v>
      </c>
      <c r="S37">
        <v>0</v>
      </c>
      <c r="T37">
        <v>0</v>
      </c>
      <c r="U37">
        <v>0</v>
      </c>
      <c r="V37">
        <v>832937.64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96586.85</v>
      </c>
      <c r="AH37">
        <v>0</v>
      </c>
      <c r="AI37">
        <v>0</v>
      </c>
      <c r="AJ37">
        <v>2325253241.5953302</v>
      </c>
    </row>
    <row r="38" spans="1:36" x14ac:dyDescent="0.25">
      <c r="A38" t="s">
        <v>99</v>
      </c>
      <c r="B38" t="s">
        <v>24</v>
      </c>
      <c r="C38">
        <v>942.78</v>
      </c>
      <c r="D38">
        <v>2691.48</v>
      </c>
      <c r="G38">
        <v>1.4047E-2</v>
      </c>
      <c r="H38">
        <v>0</v>
      </c>
      <c r="I38">
        <v>107241.87</v>
      </c>
      <c r="J38">
        <v>23792.959999999999</v>
      </c>
      <c r="K38">
        <v>0</v>
      </c>
      <c r="L38">
        <v>29466.65</v>
      </c>
      <c r="M38">
        <v>0</v>
      </c>
      <c r="N38">
        <v>132531.29</v>
      </c>
      <c r="O38">
        <v>19742.09</v>
      </c>
      <c r="P38">
        <v>16092.28</v>
      </c>
      <c r="Q38">
        <v>0</v>
      </c>
      <c r="R38">
        <v>0</v>
      </c>
      <c r="S38">
        <v>0</v>
      </c>
      <c r="T38">
        <v>0</v>
      </c>
      <c r="U38">
        <v>0</v>
      </c>
      <c r="V38">
        <v>1042.01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4007.76</v>
      </c>
      <c r="AH38">
        <v>0</v>
      </c>
      <c r="AI38">
        <v>0</v>
      </c>
      <c r="AJ38">
        <v>248381441.41617399</v>
      </c>
    </row>
    <row r="39" spans="1:36" x14ac:dyDescent="0.25">
      <c r="A39" t="s">
        <v>100</v>
      </c>
      <c r="B39" t="s">
        <v>24</v>
      </c>
      <c r="D39">
        <v>5861.97</v>
      </c>
      <c r="E39">
        <v>2053.36</v>
      </c>
      <c r="G39">
        <v>3.0594E-2</v>
      </c>
      <c r="H39">
        <v>0</v>
      </c>
      <c r="I39">
        <v>345999.72</v>
      </c>
      <c r="J39">
        <v>201226.15</v>
      </c>
      <c r="K39">
        <v>0</v>
      </c>
      <c r="L39">
        <v>282049.05</v>
      </c>
      <c r="M39">
        <v>0</v>
      </c>
      <c r="N39">
        <v>182474.13</v>
      </c>
      <c r="O39">
        <v>29690.09</v>
      </c>
      <c r="P39">
        <v>30333.119999999999</v>
      </c>
      <c r="Q39">
        <v>0</v>
      </c>
      <c r="R39">
        <v>0</v>
      </c>
      <c r="S39">
        <v>0</v>
      </c>
      <c r="T39">
        <v>0</v>
      </c>
      <c r="U39">
        <v>0</v>
      </c>
      <c r="V39">
        <v>268889.81</v>
      </c>
      <c r="W39">
        <v>0</v>
      </c>
      <c r="X39">
        <v>0</v>
      </c>
      <c r="Y39">
        <v>0</v>
      </c>
      <c r="Z39">
        <v>65854.75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105316.32</v>
      </c>
      <c r="AH39">
        <v>0</v>
      </c>
      <c r="AI39">
        <v>0</v>
      </c>
      <c r="AJ39">
        <v>755212440.04663205</v>
      </c>
    </row>
    <row r="40" spans="1:36" x14ac:dyDescent="0.25">
      <c r="A40" t="s">
        <v>101</v>
      </c>
      <c r="B40" t="s">
        <v>24</v>
      </c>
      <c r="C40">
        <v>2053.36</v>
      </c>
      <c r="D40">
        <v>5861.97</v>
      </c>
      <c r="G40">
        <v>3.0594E-2</v>
      </c>
      <c r="H40">
        <v>0</v>
      </c>
      <c r="I40">
        <v>402758.54</v>
      </c>
      <c r="J40">
        <v>201226.15</v>
      </c>
      <c r="K40">
        <v>0</v>
      </c>
      <c r="L40">
        <v>282049.05</v>
      </c>
      <c r="M40">
        <v>0</v>
      </c>
      <c r="N40">
        <v>182469.21</v>
      </c>
      <c r="O40">
        <v>33562.129999999997</v>
      </c>
      <c r="P40">
        <v>30417.119999999999</v>
      </c>
      <c r="Q40">
        <v>0</v>
      </c>
      <c r="R40">
        <v>0</v>
      </c>
      <c r="S40">
        <v>0</v>
      </c>
      <c r="T40">
        <v>0</v>
      </c>
      <c r="U40">
        <v>0</v>
      </c>
      <c r="V40">
        <v>268693.42</v>
      </c>
      <c r="W40">
        <v>0</v>
      </c>
      <c r="X40">
        <v>0</v>
      </c>
      <c r="Y40">
        <v>0</v>
      </c>
      <c r="Z40">
        <v>65854.75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105318.83</v>
      </c>
      <c r="AH40">
        <v>0</v>
      </c>
      <c r="AI40">
        <v>0</v>
      </c>
      <c r="AJ40">
        <v>812767710.19093597</v>
      </c>
    </row>
    <row r="41" spans="1:36" x14ac:dyDescent="0.25">
      <c r="A41" t="s">
        <v>102</v>
      </c>
      <c r="B41" t="s">
        <v>24</v>
      </c>
      <c r="C41">
        <v>12604.74</v>
      </c>
      <c r="D41">
        <v>35984.33</v>
      </c>
      <c r="G41">
        <v>0.187807</v>
      </c>
      <c r="H41">
        <v>0</v>
      </c>
      <c r="I41">
        <v>1636288.68</v>
      </c>
      <c r="J41">
        <v>463682.79</v>
      </c>
      <c r="K41">
        <v>0</v>
      </c>
      <c r="L41">
        <v>831153.37</v>
      </c>
      <c r="M41">
        <v>0</v>
      </c>
      <c r="N41">
        <v>331829.28000000003</v>
      </c>
      <c r="O41">
        <v>321146.09999999998</v>
      </c>
      <c r="P41">
        <v>285395.38</v>
      </c>
      <c r="Q41">
        <v>0</v>
      </c>
      <c r="R41">
        <v>0</v>
      </c>
      <c r="S41">
        <v>0</v>
      </c>
      <c r="T41">
        <v>0</v>
      </c>
      <c r="U41">
        <v>0</v>
      </c>
      <c r="V41">
        <v>831844.21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96591.039999999994</v>
      </c>
      <c r="AH41">
        <v>0</v>
      </c>
      <c r="AI41">
        <v>0</v>
      </c>
      <c r="AJ41">
        <v>2925555293.1602302</v>
      </c>
    </row>
    <row r="42" spans="1:36" x14ac:dyDescent="0.25">
      <c r="A42" t="s">
        <v>103</v>
      </c>
      <c r="B42" t="s">
        <v>24</v>
      </c>
      <c r="C42">
        <v>15353.69</v>
      </c>
      <c r="D42">
        <v>43832.1</v>
      </c>
      <c r="G42">
        <v>0.228766</v>
      </c>
      <c r="H42">
        <v>0</v>
      </c>
      <c r="I42">
        <v>2211146.7999999998</v>
      </c>
      <c r="J42">
        <v>857863.39</v>
      </c>
      <c r="K42">
        <v>0</v>
      </c>
      <c r="L42">
        <v>1141299.43</v>
      </c>
      <c r="M42">
        <v>0</v>
      </c>
      <c r="N42">
        <v>750738.96</v>
      </c>
      <c r="O42">
        <v>477233.94</v>
      </c>
      <c r="P42">
        <v>389189.39</v>
      </c>
      <c r="Q42">
        <v>0</v>
      </c>
      <c r="R42">
        <v>0</v>
      </c>
      <c r="S42">
        <v>0</v>
      </c>
      <c r="T42">
        <v>0</v>
      </c>
      <c r="U42">
        <v>0</v>
      </c>
      <c r="V42">
        <v>1544955.31</v>
      </c>
      <c r="W42">
        <v>0</v>
      </c>
      <c r="X42">
        <v>0</v>
      </c>
      <c r="Y42">
        <v>0</v>
      </c>
      <c r="Z42">
        <v>43737.51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229429.89</v>
      </c>
      <c r="AH42">
        <v>0</v>
      </c>
      <c r="AI42">
        <v>0</v>
      </c>
      <c r="AJ42">
        <v>3552688032.8490901</v>
      </c>
    </row>
    <row r="43" spans="1:36" x14ac:dyDescent="0.25">
      <c r="A43" t="s">
        <v>104</v>
      </c>
      <c r="B43" t="s">
        <v>24</v>
      </c>
      <c r="D43">
        <v>38835.19</v>
      </c>
      <c r="E43">
        <v>13603.35</v>
      </c>
      <c r="G43">
        <v>0.20268600000000001</v>
      </c>
      <c r="H43">
        <v>0</v>
      </c>
      <c r="I43">
        <v>1212739.6499999999</v>
      </c>
      <c r="J43">
        <v>350734.07</v>
      </c>
      <c r="K43">
        <v>0</v>
      </c>
      <c r="L43">
        <v>936314.72</v>
      </c>
      <c r="M43">
        <v>0</v>
      </c>
      <c r="N43">
        <v>472857.76</v>
      </c>
      <c r="O43">
        <v>324292.39</v>
      </c>
      <c r="P43">
        <v>316034.03999999998</v>
      </c>
      <c r="Q43">
        <v>0</v>
      </c>
      <c r="R43">
        <v>0</v>
      </c>
      <c r="S43">
        <v>0</v>
      </c>
      <c r="T43">
        <v>0</v>
      </c>
      <c r="U43">
        <v>0</v>
      </c>
      <c r="V43">
        <v>384436.96</v>
      </c>
      <c r="W43">
        <v>0</v>
      </c>
      <c r="X43">
        <v>0</v>
      </c>
      <c r="Y43">
        <v>0</v>
      </c>
      <c r="Z43">
        <v>68627.600000000006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401652.56</v>
      </c>
      <c r="AH43">
        <v>0</v>
      </c>
      <c r="AI43">
        <v>0</v>
      </c>
      <c r="AJ43">
        <v>2878056649.1214299</v>
      </c>
    </row>
    <row r="44" spans="1:36" x14ac:dyDescent="0.25">
      <c r="A44" t="s">
        <v>105</v>
      </c>
      <c r="B44" t="s">
        <v>24</v>
      </c>
      <c r="C44">
        <v>30916.82</v>
      </c>
      <c r="D44">
        <v>88262.12</v>
      </c>
      <c r="G44">
        <v>0.46065200000000001</v>
      </c>
      <c r="H44">
        <v>0</v>
      </c>
      <c r="I44">
        <v>4173564.69</v>
      </c>
      <c r="J44">
        <v>1274541.22</v>
      </c>
      <c r="K44">
        <v>0</v>
      </c>
      <c r="L44">
        <v>3553012.2</v>
      </c>
      <c r="M44">
        <v>0</v>
      </c>
      <c r="N44">
        <v>1727422.6</v>
      </c>
      <c r="O44">
        <v>576251.93000000005</v>
      </c>
      <c r="P44">
        <v>522611.81</v>
      </c>
      <c r="Q44">
        <v>0</v>
      </c>
      <c r="R44">
        <v>0</v>
      </c>
      <c r="S44">
        <v>0</v>
      </c>
      <c r="T44">
        <v>0</v>
      </c>
      <c r="U44">
        <v>0</v>
      </c>
      <c r="V44">
        <v>2204419.4700000002</v>
      </c>
      <c r="W44">
        <v>0</v>
      </c>
      <c r="X44">
        <v>0</v>
      </c>
      <c r="Y44">
        <v>0</v>
      </c>
      <c r="Z44">
        <v>127428.8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613916.1</v>
      </c>
      <c r="AH44">
        <v>0</v>
      </c>
      <c r="AI44">
        <v>0</v>
      </c>
      <c r="AJ44">
        <v>8407444915.02528</v>
      </c>
    </row>
    <row r="45" spans="1:36" x14ac:dyDescent="0.25">
      <c r="A45" t="s">
        <v>106</v>
      </c>
      <c r="B45" t="s">
        <v>24</v>
      </c>
      <c r="D45">
        <v>6314.01</v>
      </c>
      <c r="E45">
        <v>2211.6999999999998</v>
      </c>
      <c r="G45">
        <v>3.2953999999999997E-2</v>
      </c>
      <c r="H45">
        <v>0</v>
      </c>
      <c r="I45">
        <v>409116.65</v>
      </c>
      <c r="J45">
        <v>197273.03</v>
      </c>
      <c r="K45">
        <v>0</v>
      </c>
      <c r="L45">
        <v>258328.15</v>
      </c>
      <c r="M45">
        <v>0</v>
      </c>
      <c r="N45">
        <v>365369.48</v>
      </c>
      <c r="O45">
        <v>33175.94</v>
      </c>
      <c r="P45">
        <v>34515.879999999997</v>
      </c>
      <c r="Q45">
        <v>0</v>
      </c>
      <c r="R45">
        <v>0</v>
      </c>
      <c r="S45">
        <v>0</v>
      </c>
      <c r="T45">
        <v>0</v>
      </c>
      <c r="U45">
        <v>0</v>
      </c>
      <c r="V45">
        <v>105052.67</v>
      </c>
      <c r="W45">
        <v>0</v>
      </c>
      <c r="X45">
        <v>0</v>
      </c>
      <c r="Y45">
        <v>0</v>
      </c>
      <c r="Z45">
        <v>64094.3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193650.81</v>
      </c>
      <c r="AH45">
        <v>0</v>
      </c>
      <c r="AI45">
        <v>0</v>
      </c>
      <c r="AJ45">
        <v>1262012700.53579</v>
      </c>
    </row>
    <row r="46" spans="1:36" x14ac:dyDescent="0.25">
      <c r="A46" t="s">
        <v>107</v>
      </c>
      <c r="B46" t="s">
        <v>24</v>
      </c>
      <c r="D46">
        <v>43832.1</v>
      </c>
      <c r="E46">
        <v>15353.69</v>
      </c>
      <c r="G46">
        <v>0.228766</v>
      </c>
      <c r="H46">
        <v>0</v>
      </c>
      <c r="I46">
        <v>1896796.55</v>
      </c>
      <c r="J46">
        <v>857863.39</v>
      </c>
      <c r="K46">
        <v>0</v>
      </c>
      <c r="L46">
        <v>1141299.43</v>
      </c>
      <c r="M46">
        <v>0</v>
      </c>
      <c r="N46">
        <v>749790.37</v>
      </c>
      <c r="O46">
        <v>413101.43</v>
      </c>
      <c r="P46">
        <v>374721.68</v>
      </c>
      <c r="Q46">
        <v>0</v>
      </c>
      <c r="R46">
        <v>0</v>
      </c>
      <c r="S46">
        <v>0</v>
      </c>
      <c r="T46">
        <v>0</v>
      </c>
      <c r="U46">
        <v>0</v>
      </c>
      <c r="V46">
        <v>1551138.23</v>
      </c>
      <c r="W46">
        <v>0</v>
      </c>
      <c r="X46">
        <v>0</v>
      </c>
      <c r="Y46">
        <v>0</v>
      </c>
      <c r="Z46">
        <v>43737.51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229435.5</v>
      </c>
      <c r="AH46">
        <v>0</v>
      </c>
      <c r="AI46">
        <v>0</v>
      </c>
      <c r="AJ46">
        <v>3492488613.85044</v>
      </c>
    </row>
    <row r="47" spans="1:36" x14ac:dyDescent="0.25">
      <c r="A47" t="s">
        <v>108</v>
      </c>
      <c r="B47" t="s">
        <v>24</v>
      </c>
      <c r="C47">
        <v>2211.6999999999998</v>
      </c>
      <c r="D47">
        <v>6314.01</v>
      </c>
      <c r="G47">
        <v>3.2953999999999997E-2</v>
      </c>
      <c r="H47">
        <v>0</v>
      </c>
      <c r="I47">
        <v>466822.67</v>
      </c>
      <c r="J47">
        <v>197273.03</v>
      </c>
      <c r="K47">
        <v>0</v>
      </c>
      <c r="L47">
        <v>258328.15</v>
      </c>
      <c r="M47">
        <v>0</v>
      </c>
      <c r="N47">
        <v>365315.58</v>
      </c>
      <c r="O47">
        <v>37763.089999999997</v>
      </c>
      <c r="P47">
        <v>34653.82</v>
      </c>
      <c r="Q47">
        <v>0</v>
      </c>
      <c r="R47">
        <v>0</v>
      </c>
      <c r="S47">
        <v>0</v>
      </c>
      <c r="T47">
        <v>0</v>
      </c>
      <c r="U47">
        <v>0</v>
      </c>
      <c r="V47">
        <v>104848.17</v>
      </c>
      <c r="W47">
        <v>0</v>
      </c>
      <c r="X47">
        <v>0</v>
      </c>
      <c r="Y47">
        <v>0</v>
      </c>
      <c r="Z47">
        <v>64094.3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193654.7</v>
      </c>
      <c r="AH47">
        <v>0</v>
      </c>
      <c r="AI47">
        <v>0</v>
      </c>
      <c r="AJ47">
        <v>1318220881.64289</v>
      </c>
    </row>
    <row r="48" spans="1:36" x14ac:dyDescent="0.25">
      <c r="A48" t="s">
        <v>109</v>
      </c>
      <c r="B48" t="s">
        <v>24</v>
      </c>
      <c r="D48">
        <v>88262.12</v>
      </c>
      <c r="E48">
        <v>30916.82</v>
      </c>
      <c r="G48">
        <v>0.46065200000000001</v>
      </c>
      <c r="H48">
        <v>0</v>
      </c>
      <c r="I48">
        <v>3477293.55</v>
      </c>
      <c r="J48">
        <v>1274541.22</v>
      </c>
      <c r="K48">
        <v>0</v>
      </c>
      <c r="L48">
        <v>3553012.2</v>
      </c>
      <c r="M48">
        <v>0</v>
      </c>
      <c r="N48">
        <v>1724917.88</v>
      </c>
      <c r="O48">
        <v>507380.43</v>
      </c>
      <c r="P48">
        <v>520033.51</v>
      </c>
      <c r="Q48">
        <v>0</v>
      </c>
      <c r="R48">
        <v>0</v>
      </c>
      <c r="S48">
        <v>0</v>
      </c>
      <c r="T48">
        <v>0</v>
      </c>
      <c r="U48">
        <v>0</v>
      </c>
      <c r="V48">
        <v>2213217.35</v>
      </c>
      <c r="W48">
        <v>0</v>
      </c>
      <c r="X48">
        <v>0</v>
      </c>
      <c r="Y48">
        <v>0</v>
      </c>
      <c r="Z48">
        <v>127428.8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613927.17000000004</v>
      </c>
      <c r="AH48">
        <v>0</v>
      </c>
      <c r="AI48">
        <v>0</v>
      </c>
      <c r="AJ48">
        <v>7884496368.0049</v>
      </c>
    </row>
    <row r="49" spans="1:36" x14ac:dyDescent="0.25">
      <c r="A49" t="s">
        <v>110</v>
      </c>
      <c r="B49" t="s">
        <v>24</v>
      </c>
      <c r="C49">
        <v>13603.35</v>
      </c>
      <c r="D49">
        <v>38835.19</v>
      </c>
      <c r="G49">
        <v>0.20268600000000001</v>
      </c>
      <c r="H49">
        <v>0</v>
      </c>
      <c r="I49">
        <v>1602828.5</v>
      </c>
      <c r="J49">
        <v>350734.07</v>
      </c>
      <c r="K49">
        <v>0</v>
      </c>
      <c r="L49">
        <v>936314.72</v>
      </c>
      <c r="M49">
        <v>0</v>
      </c>
      <c r="N49">
        <v>472883.81</v>
      </c>
      <c r="O49">
        <v>376914.8</v>
      </c>
      <c r="P49">
        <v>326649.93</v>
      </c>
      <c r="Q49">
        <v>0</v>
      </c>
      <c r="R49">
        <v>0</v>
      </c>
      <c r="S49">
        <v>0</v>
      </c>
      <c r="T49">
        <v>0</v>
      </c>
      <c r="U49">
        <v>0</v>
      </c>
      <c r="V49">
        <v>385069.44</v>
      </c>
      <c r="W49">
        <v>0</v>
      </c>
      <c r="X49">
        <v>0</v>
      </c>
      <c r="Y49">
        <v>0</v>
      </c>
      <c r="Z49">
        <v>68627.600000000006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401659.96</v>
      </c>
      <c r="AH49">
        <v>0</v>
      </c>
      <c r="AI49">
        <v>0</v>
      </c>
      <c r="AJ49">
        <v>2959232760.5162101</v>
      </c>
    </row>
    <row r="50" spans="1:36" x14ac:dyDescent="0.25">
      <c r="A50" t="s">
        <v>111</v>
      </c>
      <c r="B50" t="s">
        <v>23</v>
      </c>
      <c r="D50">
        <v>26603.98</v>
      </c>
      <c r="E50">
        <v>9318.9500000000007</v>
      </c>
      <c r="G50">
        <v>0.13885</v>
      </c>
      <c r="H50">
        <v>0</v>
      </c>
      <c r="I50">
        <v>937791.67</v>
      </c>
      <c r="J50">
        <v>774617.57</v>
      </c>
      <c r="K50">
        <v>0</v>
      </c>
      <c r="L50">
        <v>436518</v>
      </c>
      <c r="M50">
        <v>0</v>
      </c>
      <c r="N50">
        <v>310756.63</v>
      </c>
      <c r="O50">
        <v>132345.17000000001</v>
      </c>
      <c r="P50">
        <v>130157.44</v>
      </c>
      <c r="Q50">
        <v>0</v>
      </c>
      <c r="R50">
        <v>0</v>
      </c>
      <c r="S50">
        <v>0</v>
      </c>
      <c r="T50">
        <v>0</v>
      </c>
      <c r="U50">
        <v>0</v>
      </c>
      <c r="V50">
        <v>584798.74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155570.84</v>
      </c>
      <c r="AH50">
        <v>0</v>
      </c>
      <c r="AI50">
        <v>0</v>
      </c>
      <c r="AJ50">
        <v>2854528161.7276502</v>
      </c>
    </row>
    <row r="51" spans="1:36" x14ac:dyDescent="0.25">
      <c r="A51" t="s">
        <v>112</v>
      </c>
      <c r="B51" t="s">
        <v>23</v>
      </c>
      <c r="C51">
        <v>923.61</v>
      </c>
      <c r="D51">
        <v>2636.73</v>
      </c>
      <c r="G51">
        <v>1.3761000000000001E-2</v>
      </c>
      <c r="H51">
        <v>0</v>
      </c>
      <c r="I51">
        <v>99153.3</v>
      </c>
      <c r="J51">
        <v>23792.959999999999</v>
      </c>
      <c r="K51">
        <v>0</v>
      </c>
      <c r="L51">
        <v>29466.65</v>
      </c>
      <c r="M51">
        <v>0</v>
      </c>
      <c r="N51">
        <v>120835.59</v>
      </c>
      <c r="O51">
        <v>17925.990000000002</v>
      </c>
      <c r="P51">
        <v>15434.87</v>
      </c>
      <c r="Q51">
        <v>0</v>
      </c>
      <c r="R51">
        <v>0</v>
      </c>
      <c r="S51">
        <v>0</v>
      </c>
      <c r="T51">
        <v>0</v>
      </c>
      <c r="U51">
        <v>0</v>
      </c>
      <c r="V51">
        <v>2332.8000000000002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4192.6899999999996</v>
      </c>
      <c r="AH51">
        <v>0</v>
      </c>
      <c r="AI51">
        <v>0</v>
      </c>
      <c r="AJ51">
        <v>254326586.04495299</v>
      </c>
    </row>
    <row r="52" spans="1:36" x14ac:dyDescent="0.25">
      <c r="A52" t="s">
        <v>113</v>
      </c>
      <c r="B52" t="s">
        <v>23</v>
      </c>
      <c r="D52">
        <v>2636.73</v>
      </c>
      <c r="E52">
        <v>923.61</v>
      </c>
      <c r="G52">
        <v>1.3761000000000001E-2</v>
      </c>
      <c r="H52">
        <v>0</v>
      </c>
      <c r="I52">
        <v>63418.879999999997</v>
      </c>
      <c r="J52">
        <v>23792.959999999999</v>
      </c>
      <c r="K52">
        <v>0</v>
      </c>
      <c r="L52">
        <v>29466.65</v>
      </c>
      <c r="M52">
        <v>0</v>
      </c>
      <c r="N52">
        <v>120835.48</v>
      </c>
      <c r="O52">
        <v>13121.38</v>
      </c>
      <c r="P52">
        <v>14142.55</v>
      </c>
      <c r="Q52">
        <v>0</v>
      </c>
      <c r="R52">
        <v>0</v>
      </c>
      <c r="S52">
        <v>0</v>
      </c>
      <c r="T52">
        <v>0</v>
      </c>
      <c r="U52">
        <v>0</v>
      </c>
      <c r="V52">
        <v>2332.81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4192.6899999999996</v>
      </c>
      <c r="AH52">
        <v>0</v>
      </c>
      <c r="AI52">
        <v>0</v>
      </c>
      <c r="AJ52">
        <v>194857469.575434</v>
      </c>
    </row>
    <row r="53" spans="1:36" x14ac:dyDescent="0.25">
      <c r="A53" t="s">
        <v>114</v>
      </c>
      <c r="B53" t="s">
        <v>23</v>
      </c>
      <c r="D53">
        <v>5826.28</v>
      </c>
      <c r="E53">
        <v>2040.85</v>
      </c>
      <c r="G53">
        <v>3.0408000000000001E-2</v>
      </c>
      <c r="H53">
        <v>0</v>
      </c>
      <c r="I53">
        <v>309825.28999999998</v>
      </c>
      <c r="J53">
        <v>201226.15</v>
      </c>
      <c r="K53">
        <v>0</v>
      </c>
      <c r="L53">
        <v>282049.05</v>
      </c>
      <c r="M53">
        <v>0</v>
      </c>
      <c r="N53">
        <v>154968.68</v>
      </c>
      <c r="O53">
        <v>27593.29</v>
      </c>
      <c r="P53">
        <v>28235.14</v>
      </c>
      <c r="Q53">
        <v>0</v>
      </c>
      <c r="R53">
        <v>0</v>
      </c>
      <c r="S53">
        <v>0</v>
      </c>
      <c r="T53">
        <v>0</v>
      </c>
      <c r="U53">
        <v>0</v>
      </c>
      <c r="V53">
        <v>241104.64000000001</v>
      </c>
      <c r="W53">
        <v>0</v>
      </c>
      <c r="X53">
        <v>0</v>
      </c>
      <c r="Y53">
        <v>0</v>
      </c>
      <c r="Z53">
        <v>65854.75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111016.22</v>
      </c>
      <c r="AH53">
        <v>0</v>
      </c>
      <c r="AI53">
        <v>0</v>
      </c>
      <c r="AJ53">
        <v>732643941.55245101</v>
      </c>
    </row>
    <row r="54" spans="1:36" x14ac:dyDescent="0.25">
      <c r="A54" t="s">
        <v>115</v>
      </c>
      <c r="B54" t="s">
        <v>23</v>
      </c>
      <c r="C54">
        <v>9318.9500000000007</v>
      </c>
      <c r="D54">
        <v>26603.98</v>
      </c>
      <c r="G54">
        <v>0.13885</v>
      </c>
      <c r="H54">
        <v>0</v>
      </c>
      <c r="I54">
        <v>1028708.65</v>
      </c>
      <c r="J54">
        <v>774617.57</v>
      </c>
      <c r="K54">
        <v>0</v>
      </c>
      <c r="L54">
        <v>436518</v>
      </c>
      <c r="M54">
        <v>0</v>
      </c>
      <c r="N54">
        <v>310721.51</v>
      </c>
      <c r="O54">
        <v>150801.35999999999</v>
      </c>
      <c r="P54">
        <v>134122.23000000001</v>
      </c>
      <c r="Q54">
        <v>0</v>
      </c>
      <c r="R54">
        <v>0</v>
      </c>
      <c r="S54">
        <v>0</v>
      </c>
      <c r="T54">
        <v>0</v>
      </c>
      <c r="U54">
        <v>0</v>
      </c>
      <c r="V54">
        <v>585010.42000000004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155568.39000000001</v>
      </c>
      <c r="AH54">
        <v>0</v>
      </c>
      <c r="AI54">
        <v>0</v>
      </c>
      <c r="AJ54">
        <v>2851889553.0986199</v>
      </c>
    </row>
    <row r="55" spans="1:36" x14ac:dyDescent="0.25">
      <c r="A55" t="s">
        <v>116</v>
      </c>
      <c r="B55" t="s">
        <v>23</v>
      </c>
      <c r="D55">
        <v>35383.86</v>
      </c>
      <c r="E55">
        <v>12394.4</v>
      </c>
      <c r="G55">
        <v>0.184673</v>
      </c>
      <c r="H55">
        <v>0</v>
      </c>
      <c r="I55">
        <v>1147545.45</v>
      </c>
      <c r="J55">
        <v>463682.79</v>
      </c>
      <c r="K55">
        <v>0</v>
      </c>
      <c r="L55">
        <v>831153.37</v>
      </c>
      <c r="M55">
        <v>0</v>
      </c>
      <c r="N55">
        <v>294899.56</v>
      </c>
      <c r="O55">
        <v>255843.08</v>
      </c>
      <c r="P55">
        <v>264562.90999999997</v>
      </c>
      <c r="Q55">
        <v>0</v>
      </c>
      <c r="R55">
        <v>0</v>
      </c>
      <c r="S55">
        <v>0</v>
      </c>
      <c r="T55">
        <v>0</v>
      </c>
      <c r="U55">
        <v>0</v>
      </c>
      <c r="V55">
        <v>818586.02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101808.44</v>
      </c>
      <c r="AH55">
        <v>0</v>
      </c>
      <c r="AI55">
        <v>0</v>
      </c>
      <c r="AJ55">
        <v>2460020599.4757299</v>
      </c>
    </row>
    <row r="56" spans="1:36" x14ac:dyDescent="0.25">
      <c r="A56" t="s">
        <v>117</v>
      </c>
      <c r="B56" t="s">
        <v>23</v>
      </c>
      <c r="C56">
        <v>12394.4</v>
      </c>
      <c r="D56">
        <v>35383.86</v>
      </c>
      <c r="G56">
        <v>0.184673</v>
      </c>
      <c r="H56">
        <v>0</v>
      </c>
      <c r="I56">
        <v>1596406.4</v>
      </c>
      <c r="J56">
        <v>463682.79</v>
      </c>
      <c r="K56">
        <v>0</v>
      </c>
      <c r="L56">
        <v>831153.37</v>
      </c>
      <c r="M56">
        <v>0</v>
      </c>
      <c r="N56">
        <v>296285.09999999998</v>
      </c>
      <c r="O56">
        <v>294770.34000000003</v>
      </c>
      <c r="P56">
        <v>267815.71000000002</v>
      </c>
      <c r="Q56">
        <v>0</v>
      </c>
      <c r="R56">
        <v>0</v>
      </c>
      <c r="S56">
        <v>0</v>
      </c>
      <c r="T56">
        <v>0</v>
      </c>
      <c r="U56">
        <v>0</v>
      </c>
      <c r="V56">
        <v>816726.22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101805.88</v>
      </c>
      <c r="AH56">
        <v>0</v>
      </c>
      <c r="AI56">
        <v>0</v>
      </c>
      <c r="AJ56">
        <v>3063401647.66085</v>
      </c>
    </row>
    <row r="57" spans="1:36" x14ac:dyDescent="0.25">
      <c r="A57" t="s">
        <v>118</v>
      </c>
      <c r="B57" t="s">
        <v>23</v>
      </c>
      <c r="C57">
        <v>2040.85</v>
      </c>
      <c r="D57">
        <v>5826.28</v>
      </c>
      <c r="G57">
        <v>3.0408000000000001E-2</v>
      </c>
      <c r="H57">
        <v>0</v>
      </c>
      <c r="I57">
        <v>360945.44</v>
      </c>
      <c r="J57">
        <v>201226.15</v>
      </c>
      <c r="K57">
        <v>0</v>
      </c>
      <c r="L57">
        <v>282049.05</v>
      </c>
      <c r="M57">
        <v>0</v>
      </c>
      <c r="N57">
        <v>154960.66</v>
      </c>
      <c r="O57">
        <v>30882.75</v>
      </c>
      <c r="P57">
        <v>28312.63</v>
      </c>
      <c r="Q57">
        <v>0</v>
      </c>
      <c r="R57">
        <v>0</v>
      </c>
      <c r="S57">
        <v>0</v>
      </c>
      <c r="T57">
        <v>0</v>
      </c>
      <c r="U57">
        <v>0</v>
      </c>
      <c r="V57">
        <v>240961.44</v>
      </c>
      <c r="W57">
        <v>0</v>
      </c>
      <c r="X57">
        <v>0</v>
      </c>
      <c r="Y57">
        <v>0</v>
      </c>
      <c r="Z57">
        <v>65854.75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111015.61</v>
      </c>
      <c r="AH57">
        <v>0</v>
      </c>
      <c r="AI57">
        <v>0</v>
      </c>
      <c r="AJ57">
        <v>751913841.57759404</v>
      </c>
    </row>
    <row r="58" spans="1:36" x14ac:dyDescent="0.25">
      <c r="A58" t="s">
        <v>119</v>
      </c>
      <c r="B58" t="s">
        <v>23</v>
      </c>
      <c r="C58">
        <v>15428.13</v>
      </c>
      <c r="D58">
        <v>44044.61</v>
      </c>
      <c r="G58">
        <v>0.229875</v>
      </c>
      <c r="H58">
        <v>0</v>
      </c>
      <c r="I58">
        <v>2156110.13</v>
      </c>
      <c r="J58">
        <v>857863.39</v>
      </c>
      <c r="K58">
        <v>0</v>
      </c>
      <c r="L58">
        <v>1141299.43</v>
      </c>
      <c r="M58">
        <v>0</v>
      </c>
      <c r="N58">
        <v>623386.30000000005</v>
      </c>
      <c r="O58">
        <v>473706.58</v>
      </c>
      <c r="P58">
        <v>428939.12</v>
      </c>
      <c r="Q58">
        <v>0</v>
      </c>
      <c r="R58">
        <v>0</v>
      </c>
      <c r="S58">
        <v>0</v>
      </c>
      <c r="T58">
        <v>0</v>
      </c>
      <c r="U58">
        <v>0</v>
      </c>
      <c r="V58">
        <v>1357933.99</v>
      </c>
      <c r="W58">
        <v>0</v>
      </c>
      <c r="X58">
        <v>0</v>
      </c>
      <c r="Y58">
        <v>0</v>
      </c>
      <c r="Z58">
        <v>43737.51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241881.52</v>
      </c>
      <c r="AH58">
        <v>0</v>
      </c>
      <c r="AI58">
        <v>0</v>
      </c>
      <c r="AJ58">
        <v>3723506922.7220702</v>
      </c>
    </row>
    <row r="59" spans="1:36" x14ac:dyDescent="0.25">
      <c r="A59" t="s">
        <v>120</v>
      </c>
      <c r="B59" t="s">
        <v>23</v>
      </c>
      <c r="D59">
        <v>44044.61</v>
      </c>
      <c r="E59">
        <v>15428.13</v>
      </c>
      <c r="G59">
        <v>0.229875</v>
      </c>
      <c r="H59">
        <v>0</v>
      </c>
      <c r="I59">
        <v>1867954.19</v>
      </c>
      <c r="J59">
        <v>857863.39</v>
      </c>
      <c r="K59">
        <v>0</v>
      </c>
      <c r="L59">
        <v>1141299.43</v>
      </c>
      <c r="M59">
        <v>0</v>
      </c>
      <c r="N59">
        <v>622451.42000000004</v>
      </c>
      <c r="O59">
        <v>408124.91</v>
      </c>
      <c r="P59">
        <v>414570.13</v>
      </c>
      <c r="Q59">
        <v>0</v>
      </c>
      <c r="R59">
        <v>0</v>
      </c>
      <c r="S59">
        <v>0</v>
      </c>
      <c r="T59">
        <v>0</v>
      </c>
      <c r="U59">
        <v>0</v>
      </c>
      <c r="V59">
        <v>1361497.29</v>
      </c>
      <c r="W59">
        <v>0</v>
      </c>
      <c r="X59">
        <v>0</v>
      </c>
      <c r="Y59">
        <v>0</v>
      </c>
      <c r="Z59">
        <v>43737.51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241875.48</v>
      </c>
      <c r="AH59">
        <v>0</v>
      </c>
      <c r="AI59">
        <v>0</v>
      </c>
      <c r="AJ59">
        <v>3643502759.7139902</v>
      </c>
    </row>
    <row r="60" spans="1:36" x14ac:dyDescent="0.25">
      <c r="A60" t="s">
        <v>121</v>
      </c>
      <c r="B60" t="s">
        <v>23</v>
      </c>
      <c r="D60">
        <v>88225.95</v>
      </c>
      <c r="E60">
        <v>30904.15</v>
      </c>
      <c r="G60">
        <v>0.46046300000000001</v>
      </c>
      <c r="H60">
        <v>0</v>
      </c>
      <c r="I60">
        <v>3250487.06</v>
      </c>
      <c r="J60">
        <v>1274541.22</v>
      </c>
      <c r="K60">
        <v>0</v>
      </c>
      <c r="L60">
        <v>3553012.2</v>
      </c>
      <c r="M60">
        <v>0</v>
      </c>
      <c r="N60">
        <v>1474166.2</v>
      </c>
      <c r="O60">
        <v>463485.34</v>
      </c>
      <c r="P60">
        <v>480874.56</v>
      </c>
      <c r="Q60">
        <v>0</v>
      </c>
      <c r="R60">
        <v>0</v>
      </c>
      <c r="S60">
        <v>0</v>
      </c>
      <c r="T60">
        <v>0</v>
      </c>
      <c r="U60">
        <v>0</v>
      </c>
      <c r="V60">
        <v>1886995.53</v>
      </c>
      <c r="W60">
        <v>0</v>
      </c>
      <c r="X60">
        <v>0</v>
      </c>
      <c r="Y60">
        <v>0</v>
      </c>
      <c r="Z60">
        <v>127428.8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647908.91</v>
      </c>
      <c r="AH60">
        <v>0</v>
      </c>
      <c r="AI60">
        <v>0</v>
      </c>
      <c r="AJ60">
        <v>8280822965.0825701</v>
      </c>
    </row>
    <row r="61" spans="1:36" x14ac:dyDescent="0.25">
      <c r="A61" t="s">
        <v>122</v>
      </c>
      <c r="B61" t="s">
        <v>23</v>
      </c>
      <c r="D61">
        <v>6335.18</v>
      </c>
      <c r="E61">
        <v>2219.11</v>
      </c>
      <c r="G61">
        <v>3.3064000000000003E-2</v>
      </c>
      <c r="H61">
        <v>0</v>
      </c>
      <c r="I61">
        <v>352129.46</v>
      </c>
      <c r="J61">
        <v>197273.03</v>
      </c>
      <c r="K61">
        <v>0</v>
      </c>
      <c r="L61">
        <v>258328.15</v>
      </c>
      <c r="M61">
        <v>0</v>
      </c>
      <c r="N61">
        <v>357884.67</v>
      </c>
      <c r="O61">
        <v>30021.48</v>
      </c>
      <c r="P61">
        <v>31339.99</v>
      </c>
      <c r="Q61">
        <v>0</v>
      </c>
      <c r="R61">
        <v>0</v>
      </c>
      <c r="S61">
        <v>0</v>
      </c>
      <c r="T61">
        <v>0</v>
      </c>
      <c r="U61">
        <v>0</v>
      </c>
      <c r="V61">
        <v>127401.18</v>
      </c>
      <c r="W61">
        <v>0</v>
      </c>
      <c r="X61">
        <v>0</v>
      </c>
      <c r="Y61">
        <v>0</v>
      </c>
      <c r="Z61">
        <v>64094.3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204220.03</v>
      </c>
      <c r="AH61">
        <v>0</v>
      </c>
      <c r="AI61">
        <v>0</v>
      </c>
      <c r="AJ61">
        <v>1155857262.3527801</v>
      </c>
    </row>
    <row r="62" spans="1:36" x14ac:dyDescent="0.25">
      <c r="A62" t="s">
        <v>123</v>
      </c>
      <c r="B62" t="s">
        <v>23</v>
      </c>
      <c r="C62">
        <v>30904.15</v>
      </c>
      <c r="D62">
        <v>88225.95</v>
      </c>
      <c r="G62">
        <v>0.46046300000000001</v>
      </c>
      <c r="H62">
        <v>0</v>
      </c>
      <c r="I62">
        <v>3966328.78</v>
      </c>
      <c r="J62">
        <v>1274541.22</v>
      </c>
      <c r="K62">
        <v>0</v>
      </c>
      <c r="L62">
        <v>3553012.2</v>
      </c>
      <c r="M62">
        <v>0</v>
      </c>
      <c r="N62">
        <v>1475492.95</v>
      </c>
      <c r="O62">
        <v>528562.67000000004</v>
      </c>
      <c r="P62">
        <v>483707.46</v>
      </c>
      <c r="Q62">
        <v>0</v>
      </c>
      <c r="R62">
        <v>0</v>
      </c>
      <c r="S62">
        <v>0</v>
      </c>
      <c r="T62">
        <v>0</v>
      </c>
      <c r="U62">
        <v>0</v>
      </c>
      <c r="V62">
        <v>1884662.41</v>
      </c>
      <c r="W62">
        <v>0</v>
      </c>
      <c r="X62">
        <v>0</v>
      </c>
      <c r="Y62">
        <v>0</v>
      </c>
      <c r="Z62">
        <v>127428.8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647903.98</v>
      </c>
      <c r="AH62">
        <v>0</v>
      </c>
      <c r="AI62">
        <v>0</v>
      </c>
      <c r="AJ62">
        <v>8624778445.3816109</v>
      </c>
    </row>
    <row r="63" spans="1:36" x14ac:dyDescent="0.25">
      <c r="A63" t="s">
        <v>124</v>
      </c>
      <c r="B63" t="s">
        <v>23</v>
      </c>
      <c r="C63">
        <v>13632.7</v>
      </c>
      <c r="D63">
        <v>38918.980000000003</v>
      </c>
      <c r="G63">
        <v>0.203123</v>
      </c>
      <c r="H63">
        <v>0</v>
      </c>
      <c r="I63">
        <v>1583744.17</v>
      </c>
      <c r="J63">
        <v>350734.07</v>
      </c>
      <c r="K63">
        <v>0</v>
      </c>
      <c r="L63">
        <v>936314.72</v>
      </c>
      <c r="M63">
        <v>0</v>
      </c>
      <c r="N63">
        <v>419976.82</v>
      </c>
      <c r="O63">
        <v>355528.33</v>
      </c>
      <c r="P63">
        <v>325296</v>
      </c>
      <c r="Q63">
        <v>0</v>
      </c>
      <c r="R63">
        <v>0</v>
      </c>
      <c r="S63">
        <v>0</v>
      </c>
      <c r="T63">
        <v>0</v>
      </c>
      <c r="U63">
        <v>0</v>
      </c>
      <c r="V63">
        <v>389960.24</v>
      </c>
      <c r="W63">
        <v>0</v>
      </c>
      <c r="X63">
        <v>0</v>
      </c>
      <c r="Y63">
        <v>0</v>
      </c>
      <c r="Z63">
        <v>68627.600000000006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424533.3</v>
      </c>
      <c r="AH63">
        <v>0</v>
      </c>
      <c r="AI63">
        <v>0</v>
      </c>
      <c r="AJ63">
        <v>3113350640.7620001</v>
      </c>
    </row>
    <row r="64" spans="1:36" x14ac:dyDescent="0.25">
      <c r="A64" t="s">
        <v>125</v>
      </c>
      <c r="B64" t="s">
        <v>22</v>
      </c>
      <c r="C64">
        <v>8858.16</v>
      </c>
      <c r="D64">
        <v>25288.49</v>
      </c>
      <c r="G64">
        <v>0.13198399999999999</v>
      </c>
      <c r="H64">
        <v>0</v>
      </c>
      <c r="I64">
        <v>872607.89</v>
      </c>
      <c r="J64">
        <v>774617.57</v>
      </c>
      <c r="K64">
        <v>0</v>
      </c>
      <c r="L64">
        <v>436518</v>
      </c>
      <c r="M64">
        <v>0</v>
      </c>
      <c r="N64">
        <v>279436.59000000003</v>
      </c>
      <c r="O64">
        <v>136846.5</v>
      </c>
      <c r="P64">
        <v>119270.57</v>
      </c>
      <c r="Q64">
        <v>0</v>
      </c>
      <c r="R64">
        <v>0</v>
      </c>
      <c r="S64">
        <v>0</v>
      </c>
      <c r="T64">
        <v>0</v>
      </c>
      <c r="U64">
        <v>0</v>
      </c>
      <c r="V64">
        <v>580418.37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164667.68</v>
      </c>
      <c r="AH64">
        <v>0</v>
      </c>
      <c r="AI64">
        <v>0</v>
      </c>
      <c r="AJ64">
        <v>2729655732.5121198</v>
      </c>
    </row>
    <row r="65" spans="1:36" x14ac:dyDescent="0.25">
      <c r="A65" t="s">
        <v>126</v>
      </c>
      <c r="B65" t="s">
        <v>22</v>
      </c>
      <c r="D65">
        <v>2540.7199999999998</v>
      </c>
      <c r="E65">
        <v>889.97</v>
      </c>
      <c r="G65">
        <v>1.3259999999999999E-2</v>
      </c>
      <c r="H65">
        <v>0</v>
      </c>
      <c r="I65">
        <v>48025.77</v>
      </c>
      <c r="J65">
        <v>23792.959999999999</v>
      </c>
      <c r="K65">
        <v>0</v>
      </c>
      <c r="L65">
        <v>29466.65</v>
      </c>
      <c r="M65">
        <v>0</v>
      </c>
      <c r="N65">
        <v>113959.13</v>
      </c>
      <c r="O65">
        <v>11305.28</v>
      </c>
      <c r="P65">
        <v>11727.66</v>
      </c>
      <c r="Q65">
        <v>0</v>
      </c>
      <c r="R65">
        <v>0</v>
      </c>
      <c r="S65">
        <v>0</v>
      </c>
      <c r="T65">
        <v>0</v>
      </c>
      <c r="U65">
        <v>0</v>
      </c>
      <c r="V65">
        <v>3587.08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4403.43</v>
      </c>
      <c r="AH65">
        <v>0</v>
      </c>
      <c r="AI65">
        <v>0</v>
      </c>
      <c r="AJ65">
        <v>181700180.068165</v>
      </c>
    </row>
    <row r="66" spans="1:36" x14ac:dyDescent="0.25">
      <c r="A66" t="s">
        <v>127</v>
      </c>
      <c r="B66" t="s">
        <v>23</v>
      </c>
      <c r="C66">
        <v>2219.11</v>
      </c>
      <c r="D66">
        <v>6335.18</v>
      </c>
      <c r="G66">
        <v>3.3064000000000003E-2</v>
      </c>
      <c r="H66">
        <v>0</v>
      </c>
      <c r="I66">
        <v>412197.4</v>
      </c>
      <c r="J66">
        <v>197273.03</v>
      </c>
      <c r="K66">
        <v>0</v>
      </c>
      <c r="L66">
        <v>258328.15</v>
      </c>
      <c r="M66">
        <v>0</v>
      </c>
      <c r="N66">
        <v>357421.81</v>
      </c>
      <c r="O66">
        <v>34424.26</v>
      </c>
      <c r="P66">
        <v>31540.07</v>
      </c>
      <c r="Q66">
        <v>0</v>
      </c>
      <c r="R66">
        <v>0</v>
      </c>
      <c r="S66">
        <v>0</v>
      </c>
      <c r="T66">
        <v>0</v>
      </c>
      <c r="U66">
        <v>0</v>
      </c>
      <c r="V66">
        <v>127457.62</v>
      </c>
      <c r="W66">
        <v>0</v>
      </c>
      <c r="X66">
        <v>0</v>
      </c>
      <c r="Y66">
        <v>0</v>
      </c>
      <c r="Z66">
        <v>64094.3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204221.71</v>
      </c>
      <c r="AH66">
        <v>0</v>
      </c>
      <c r="AI66">
        <v>0</v>
      </c>
      <c r="AJ66">
        <v>1217068611.2852499</v>
      </c>
    </row>
    <row r="67" spans="1:36" x14ac:dyDescent="0.25">
      <c r="A67" t="s">
        <v>128</v>
      </c>
      <c r="B67" t="s">
        <v>22</v>
      </c>
      <c r="D67">
        <v>25288.49</v>
      </c>
      <c r="E67">
        <v>8858.16</v>
      </c>
      <c r="G67">
        <v>0.13198399999999999</v>
      </c>
      <c r="H67">
        <v>0</v>
      </c>
      <c r="I67">
        <v>814977.96</v>
      </c>
      <c r="J67">
        <v>774617.57</v>
      </c>
      <c r="K67">
        <v>0</v>
      </c>
      <c r="L67">
        <v>436518</v>
      </c>
      <c r="M67">
        <v>0</v>
      </c>
      <c r="N67">
        <v>279486.86</v>
      </c>
      <c r="O67">
        <v>119397.95</v>
      </c>
      <c r="P67">
        <v>115549.93</v>
      </c>
      <c r="Q67">
        <v>0</v>
      </c>
      <c r="R67">
        <v>0</v>
      </c>
      <c r="S67">
        <v>0</v>
      </c>
      <c r="T67">
        <v>0</v>
      </c>
      <c r="U67">
        <v>0</v>
      </c>
      <c r="V67">
        <v>580184.77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164668.16</v>
      </c>
      <c r="AH67">
        <v>0</v>
      </c>
      <c r="AI67">
        <v>0</v>
      </c>
      <c r="AJ67">
        <v>2746703335.57373</v>
      </c>
    </row>
    <row r="68" spans="1:36" x14ac:dyDescent="0.25">
      <c r="A68" t="s">
        <v>129</v>
      </c>
      <c r="B68" t="s">
        <v>23</v>
      </c>
      <c r="D68">
        <v>38918.980000000003</v>
      </c>
      <c r="E68">
        <v>13632.7</v>
      </c>
      <c r="G68">
        <v>0.203123</v>
      </c>
      <c r="H68">
        <v>0</v>
      </c>
      <c r="I68">
        <v>978290.53</v>
      </c>
      <c r="J68">
        <v>350734.07</v>
      </c>
      <c r="K68">
        <v>0</v>
      </c>
      <c r="L68">
        <v>936314.72</v>
      </c>
      <c r="M68">
        <v>0</v>
      </c>
      <c r="N68">
        <v>419937.15</v>
      </c>
      <c r="O68">
        <v>297478.71000000002</v>
      </c>
      <c r="P68">
        <v>314677.96000000002</v>
      </c>
      <c r="Q68">
        <v>0</v>
      </c>
      <c r="R68">
        <v>0</v>
      </c>
      <c r="S68">
        <v>0</v>
      </c>
      <c r="T68">
        <v>0</v>
      </c>
      <c r="U68">
        <v>0</v>
      </c>
      <c r="V68">
        <v>390302.86</v>
      </c>
      <c r="W68">
        <v>0</v>
      </c>
      <c r="X68">
        <v>0</v>
      </c>
      <c r="Y68">
        <v>0</v>
      </c>
      <c r="Z68">
        <v>68627.600000000006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424513.75</v>
      </c>
      <c r="AH68">
        <v>0</v>
      </c>
      <c r="AI68">
        <v>0</v>
      </c>
      <c r="AJ68">
        <v>2568259775.05832</v>
      </c>
    </row>
    <row r="69" spans="1:36" x14ac:dyDescent="0.25">
      <c r="A69" t="s">
        <v>130</v>
      </c>
      <c r="B69" t="s">
        <v>22</v>
      </c>
      <c r="C69">
        <v>889.97</v>
      </c>
      <c r="D69">
        <v>2540.7199999999998</v>
      </c>
      <c r="G69">
        <v>1.3259999999999999E-2</v>
      </c>
      <c r="H69">
        <v>0</v>
      </c>
      <c r="I69">
        <v>75175.539999999994</v>
      </c>
      <c r="J69">
        <v>23792.959999999999</v>
      </c>
      <c r="K69">
        <v>0</v>
      </c>
      <c r="L69">
        <v>29466.65</v>
      </c>
      <c r="M69">
        <v>0</v>
      </c>
      <c r="N69">
        <v>113959.21</v>
      </c>
      <c r="O69">
        <v>15611.49</v>
      </c>
      <c r="P69">
        <v>12862.67</v>
      </c>
      <c r="Q69">
        <v>0</v>
      </c>
      <c r="R69">
        <v>0</v>
      </c>
      <c r="S69">
        <v>0</v>
      </c>
      <c r="T69">
        <v>0</v>
      </c>
      <c r="U69">
        <v>0</v>
      </c>
      <c r="V69">
        <v>3587.06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4403.42</v>
      </c>
      <c r="AH69">
        <v>0</v>
      </c>
      <c r="AI69">
        <v>0</v>
      </c>
      <c r="AJ69">
        <v>236656694.922153</v>
      </c>
    </row>
    <row r="70" spans="1:36" x14ac:dyDescent="0.25">
      <c r="A70" t="s">
        <v>131</v>
      </c>
      <c r="B70" t="s">
        <v>22</v>
      </c>
      <c r="C70">
        <v>12106.63</v>
      </c>
      <c r="D70">
        <v>34562.33</v>
      </c>
      <c r="G70">
        <v>0.18038599999999999</v>
      </c>
      <c r="H70">
        <v>0</v>
      </c>
      <c r="I70">
        <v>1341565.8999999999</v>
      </c>
      <c r="J70">
        <v>463682.79</v>
      </c>
      <c r="K70">
        <v>0</v>
      </c>
      <c r="L70">
        <v>831153.37</v>
      </c>
      <c r="M70">
        <v>0</v>
      </c>
      <c r="N70">
        <v>272988.51</v>
      </c>
      <c r="O70">
        <v>278407.34000000003</v>
      </c>
      <c r="P70">
        <v>247020.75</v>
      </c>
      <c r="Q70">
        <v>0</v>
      </c>
      <c r="R70">
        <v>0</v>
      </c>
      <c r="S70">
        <v>0</v>
      </c>
      <c r="T70">
        <v>0</v>
      </c>
      <c r="U70">
        <v>0</v>
      </c>
      <c r="V70">
        <v>841582.42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107768.44</v>
      </c>
      <c r="AH70">
        <v>0</v>
      </c>
      <c r="AI70">
        <v>0</v>
      </c>
      <c r="AJ70">
        <v>2936322780.33916</v>
      </c>
    </row>
    <row r="71" spans="1:36" x14ac:dyDescent="0.25">
      <c r="A71" t="s">
        <v>132</v>
      </c>
      <c r="B71" t="s">
        <v>22</v>
      </c>
      <c r="D71">
        <v>34562.33</v>
      </c>
      <c r="E71">
        <v>12106.63</v>
      </c>
      <c r="G71">
        <v>0.18038599999999999</v>
      </c>
      <c r="H71">
        <v>0</v>
      </c>
      <c r="I71">
        <v>988686.77</v>
      </c>
      <c r="J71">
        <v>463682.79</v>
      </c>
      <c r="K71">
        <v>0</v>
      </c>
      <c r="L71">
        <v>831153.37</v>
      </c>
      <c r="M71">
        <v>0</v>
      </c>
      <c r="N71">
        <v>271518.56</v>
      </c>
      <c r="O71">
        <v>240090.39</v>
      </c>
      <c r="P71">
        <v>241439.23</v>
      </c>
      <c r="Q71">
        <v>0</v>
      </c>
      <c r="R71">
        <v>0</v>
      </c>
      <c r="S71">
        <v>0</v>
      </c>
      <c r="T71">
        <v>0</v>
      </c>
      <c r="U71">
        <v>0</v>
      </c>
      <c r="V71">
        <v>843666.37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107763.32</v>
      </c>
      <c r="AH71">
        <v>0</v>
      </c>
      <c r="AI71">
        <v>0</v>
      </c>
      <c r="AJ71">
        <v>2318141067.6457701</v>
      </c>
    </row>
    <row r="72" spans="1:36" x14ac:dyDescent="0.25">
      <c r="A72" t="s">
        <v>133</v>
      </c>
      <c r="B72" t="s">
        <v>22</v>
      </c>
      <c r="D72">
        <v>5599.86</v>
      </c>
      <c r="E72">
        <v>1961.54</v>
      </c>
      <c r="G72">
        <v>2.9225999999999999E-2</v>
      </c>
      <c r="H72">
        <v>0</v>
      </c>
      <c r="I72">
        <v>247420.74</v>
      </c>
      <c r="J72">
        <v>201226.15</v>
      </c>
      <c r="K72">
        <v>0</v>
      </c>
      <c r="L72">
        <v>282049.05</v>
      </c>
      <c r="M72">
        <v>0</v>
      </c>
      <c r="N72">
        <v>135146.82</v>
      </c>
      <c r="O72">
        <v>24485.06</v>
      </c>
      <c r="P72">
        <v>24657.01</v>
      </c>
      <c r="Q72">
        <v>0</v>
      </c>
      <c r="R72">
        <v>0</v>
      </c>
      <c r="S72">
        <v>0</v>
      </c>
      <c r="T72">
        <v>0</v>
      </c>
      <c r="U72">
        <v>0</v>
      </c>
      <c r="V72">
        <v>235114.43</v>
      </c>
      <c r="W72">
        <v>0</v>
      </c>
      <c r="X72">
        <v>0</v>
      </c>
      <c r="Y72">
        <v>0</v>
      </c>
      <c r="Z72">
        <v>65854.75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117531.44</v>
      </c>
      <c r="AH72">
        <v>0</v>
      </c>
      <c r="AI72">
        <v>0</v>
      </c>
      <c r="AJ72">
        <v>655397265.61001098</v>
      </c>
    </row>
    <row r="73" spans="1:36" x14ac:dyDescent="0.25">
      <c r="A73" t="s">
        <v>134</v>
      </c>
      <c r="B73" t="s">
        <v>22</v>
      </c>
      <c r="C73">
        <v>1961.54</v>
      </c>
      <c r="D73">
        <v>5599.86</v>
      </c>
      <c r="G73">
        <v>2.9225999999999999E-2</v>
      </c>
      <c r="H73">
        <v>0</v>
      </c>
      <c r="I73">
        <v>288048.64000000001</v>
      </c>
      <c r="J73">
        <v>201226.15</v>
      </c>
      <c r="K73">
        <v>0</v>
      </c>
      <c r="L73">
        <v>282049.05</v>
      </c>
      <c r="M73">
        <v>0</v>
      </c>
      <c r="N73">
        <v>135156.62</v>
      </c>
      <c r="O73">
        <v>27487.66</v>
      </c>
      <c r="P73">
        <v>24755</v>
      </c>
      <c r="Q73">
        <v>0</v>
      </c>
      <c r="R73">
        <v>0</v>
      </c>
      <c r="S73">
        <v>0</v>
      </c>
      <c r="T73">
        <v>0</v>
      </c>
      <c r="U73">
        <v>0</v>
      </c>
      <c r="V73">
        <v>234984.06</v>
      </c>
      <c r="W73">
        <v>0</v>
      </c>
      <c r="X73">
        <v>0</v>
      </c>
      <c r="Y73">
        <v>0</v>
      </c>
      <c r="Z73">
        <v>65854.75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117529.83</v>
      </c>
      <c r="AH73">
        <v>0</v>
      </c>
      <c r="AI73">
        <v>0</v>
      </c>
      <c r="AJ73">
        <v>696370032.83233702</v>
      </c>
    </row>
    <row r="74" spans="1:36" x14ac:dyDescent="0.25">
      <c r="A74" t="s">
        <v>135</v>
      </c>
      <c r="B74" t="s">
        <v>22</v>
      </c>
      <c r="D74">
        <v>42624.6</v>
      </c>
      <c r="E74">
        <v>14930.72</v>
      </c>
      <c r="G74">
        <v>0.222464</v>
      </c>
      <c r="H74">
        <v>0</v>
      </c>
      <c r="I74">
        <v>1550708.47</v>
      </c>
      <c r="J74">
        <v>857863.39</v>
      </c>
      <c r="K74">
        <v>0</v>
      </c>
      <c r="L74">
        <v>1141299.43</v>
      </c>
      <c r="M74">
        <v>0</v>
      </c>
      <c r="N74">
        <v>551820.42000000004</v>
      </c>
      <c r="O74">
        <v>385174.91</v>
      </c>
      <c r="P74">
        <v>383505.49</v>
      </c>
      <c r="Q74">
        <v>0</v>
      </c>
      <c r="R74">
        <v>0</v>
      </c>
      <c r="S74">
        <v>0</v>
      </c>
      <c r="T74">
        <v>0</v>
      </c>
      <c r="U74">
        <v>0</v>
      </c>
      <c r="V74">
        <v>1267360.1299999999</v>
      </c>
      <c r="W74">
        <v>0</v>
      </c>
      <c r="X74">
        <v>0</v>
      </c>
      <c r="Y74">
        <v>0</v>
      </c>
      <c r="Z74">
        <v>43737.51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256106.83</v>
      </c>
      <c r="AH74">
        <v>0</v>
      </c>
      <c r="AI74">
        <v>0</v>
      </c>
      <c r="AJ74">
        <v>3498417549.19242</v>
      </c>
    </row>
    <row r="75" spans="1:36" x14ac:dyDescent="0.25">
      <c r="A75" t="s">
        <v>136</v>
      </c>
      <c r="B75" t="s">
        <v>22</v>
      </c>
      <c r="C75">
        <v>14930.72</v>
      </c>
      <c r="D75">
        <v>42624.6</v>
      </c>
      <c r="G75">
        <v>0.222464</v>
      </c>
      <c r="H75">
        <v>0</v>
      </c>
      <c r="I75">
        <v>1791928.08</v>
      </c>
      <c r="J75">
        <v>857863.39</v>
      </c>
      <c r="K75">
        <v>0</v>
      </c>
      <c r="L75">
        <v>1141299.43</v>
      </c>
      <c r="M75">
        <v>0</v>
      </c>
      <c r="N75">
        <v>552696.89</v>
      </c>
      <c r="O75">
        <v>450381.84</v>
      </c>
      <c r="P75">
        <v>400124.3</v>
      </c>
      <c r="Q75">
        <v>0</v>
      </c>
      <c r="R75">
        <v>0</v>
      </c>
      <c r="S75">
        <v>0</v>
      </c>
      <c r="T75">
        <v>0</v>
      </c>
      <c r="U75">
        <v>0</v>
      </c>
      <c r="V75">
        <v>1262619.82</v>
      </c>
      <c r="W75">
        <v>0</v>
      </c>
      <c r="X75">
        <v>0</v>
      </c>
      <c r="Y75">
        <v>0</v>
      </c>
      <c r="Z75">
        <v>43737.51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256096.06</v>
      </c>
      <c r="AH75">
        <v>0</v>
      </c>
      <c r="AI75">
        <v>0</v>
      </c>
      <c r="AJ75">
        <v>3568429715.0887799</v>
      </c>
    </row>
    <row r="76" spans="1:36" x14ac:dyDescent="0.25">
      <c r="A76" t="s">
        <v>137</v>
      </c>
      <c r="B76" t="s">
        <v>22</v>
      </c>
      <c r="D76">
        <v>6072.64</v>
      </c>
      <c r="E76">
        <v>2127.15</v>
      </c>
      <c r="G76">
        <v>3.1694E-2</v>
      </c>
      <c r="H76">
        <v>0</v>
      </c>
      <c r="I76">
        <v>289235.3</v>
      </c>
      <c r="J76">
        <v>197273.03</v>
      </c>
      <c r="K76">
        <v>0</v>
      </c>
      <c r="L76">
        <v>258328.15</v>
      </c>
      <c r="M76">
        <v>0</v>
      </c>
      <c r="N76">
        <v>358177.56</v>
      </c>
      <c r="O76">
        <v>27447.31</v>
      </c>
      <c r="P76">
        <v>28161.759999999998</v>
      </c>
      <c r="Q76">
        <v>0</v>
      </c>
      <c r="R76">
        <v>0</v>
      </c>
      <c r="S76">
        <v>0</v>
      </c>
      <c r="T76">
        <v>0</v>
      </c>
      <c r="U76">
        <v>0</v>
      </c>
      <c r="V76">
        <v>174934.88</v>
      </c>
      <c r="W76">
        <v>0</v>
      </c>
      <c r="X76">
        <v>0</v>
      </c>
      <c r="Y76">
        <v>0</v>
      </c>
      <c r="Z76">
        <v>64094.3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216287.01</v>
      </c>
      <c r="AH76">
        <v>0</v>
      </c>
      <c r="AI76">
        <v>0</v>
      </c>
      <c r="AJ76">
        <v>1087316094.22857</v>
      </c>
    </row>
    <row r="77" spans="1:36" x14ac:dyDescent="0.25">
      <c r="A77" t="s">
        <v>138</v>
      </c>
      <c r="B77" t="s">
        <v>22</v>
      </c>
      <c r="C77">
        <v>2127.15</v>
      </c>
      <c r="D77">
        <v>6072.64</v>
      </c>
      <c r="G77">
        <v>3.1694E-2</v>
      </c>
      <c r="H77">
        <v>0</v>
      </c>
      <c r="I77">
        <v>331112.84999999998</v>
      </c>
      <c r="J77">
        <v>197273.03</v>
      </c>
      <c r="K77">
        <v>0</v>
      </c>
      <c r="L77">
        <v>258328.15</v>
      </c>
      <c r="M77">
        <v>0</v>
      </c>
      <c r="N77">
        <v>358069.15</v>
      </c>
      <c r="O77">
        <v>31403.52</v>
      </c>
      <c r="P77">
        <v>28401.48</v>
      </c>
      <c r="Q77">
        <v>0</v>
      </c>
      <c r="R77">
        <v>0</v>
      </c>
      <c r="S77">
        <v>0</v>
      </c>
      <c r="T77">
        <v>0</v>
      </c>
      <c r="U77">
        <v>0</v>
      </c>
      <c r="V77">
        <v>174716.01</v>
      </c>
      <c r="W77">
        <v>0</v>
      </c>
      <c r="X77">
        <v>0</v>
      </c>
      <c r="Y77">
        <v>0</v>
      </c>
      <c r="Z77">
        <v>64094.3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216288.73</v>
      </c>
      <c r="AH77">
        <v>0</v>
      </c>
      <c r="AI77">
        <v>0</v>
      </c>
      <c r="AJ77">
        <v>1141069299.8934901</v>
      </c>
    </row>
    <row r="78" spans="1:36" x14ac:dyDescent="0.25">
      <c r="A78" t="s">
        <v>139</v>
      </c>
      <c r="B78" t="s">
        <v>22</v>
      </c>
      <c r="D78">
        <v>85754.95</v>
      </c>
      <c r="E78">
        <v>30038.59</v>
      </c>
      <c r="G78">
        <v>0.44756699999999999</v>
      </c>
      <c r="H78">
        <v>0</v>
      </c>
      <c r="I78">
        <v>2726797.12</v>
      </c>
      <c r="J78">
        <v>1274541.22</v>
      </c>
      <c r="K78">
        <v>0</v>
      </c>
      <c r="L78">
        <v>3553012.2</v>
      </c>
      <c r="M78">
        <v>0</v>
      </c>
      <c r="N78">
        <v>1379515.14</v>
      </c>
      <c r="O78">
        <v>416269.51</v>
      </c>
      <c r="P78">
        <v>424079.05</v>
      </c>
      <c r="Q78">
        <v>0</v>
      </c>
      <c r="R78">
        <v>0</v>
      </c>
      <c r="S78">
        <v>0</v>
      </c>
      <c r="T78">
        <v>0</v>
      </c>
      <c r="U78">
        <v>0</v>
      </c>
      <c r="V78">
        <v>1821785.21</v>
      </c>
      <c r="W78">
        <v>0</v>
      </c>
      <c r="X78">
        <v>0</v>
      </c>
      <c r="Y78">
        <v>0</v>
      </c>
      <c r="Z78">
        <v>127428.8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686831.78</v>
      </c>
      <c r="AH78">
        <v>0</v>
      </c>
      <c r="AI78">
        <v>0</v>
      </c>
      <c r="AJ78">
        <v>7897759062.0164299</v>
      </c>
    </row>
    <row r="79" spans="1:36" x14ac:dyDescent="0.25">
      <c r="A79" t="s">
        <v>140</v>
      </c>
      <c r="B79" t="s">
        <v>22</v>
      </c>
      <c r="C79">
        <v>30038.59</v>
      </c>
      <c r="D79">
        <v>85754.95</v>
      </c>
      <c r="G79">
        <v>0.44756699999999999</v>
      </c>
      <c r="H79">
        <v>0</v>
      </c>
      <c r="I79">
        <v>3252135.93</v>
      </c>
      <c r="J79">
        <v>1274541.22</v>
      </c>
      <c r="K79">
        <v>0</v>
      </c>
      <c r="L79">
        <v>3553012.2</v>
      </c>
      <c r="M79">
        <v>0</v>
      </c>
      <c r="N79">
        <v>1380035.12</v>
      </c>
      <c r="O79">
        <v>474682.55</v>
      </c>
      <c r="P79">
        <v>428161.14</v>
      </c>
      <c r="Q79">
        <v>0</v>
      </c>
      <c r="R79">
        <v>0</v>
      </c>
      <c r="S79">
        <v>0</v>
      </c>
      <c r="T79">
        <v>0</v>
      </c>
      <c r="U79">
        <v>0</v>
      </c>
      <c r="V79">
        <v>1818347.42</v>
      </c>
      <c r="W79">
        <v>0</v>
      </c>
      <c r="X79">
        <v>0</v>
      </c>
      <c r="Y79">
        <v>0</v>
      </c>
      <c r="Z79">
        <v>127428.8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686940.41</v>
      </c>
      <c r="AH79">
        <v>0</v>
      </c>
      <c r="AI79">
        <v>0</v>
      </c>
      <c r="AJ79">
        <v>8291181011.0355701</v>
      </c>
    </row>
    <row r="80" spans="1:36" x14ac:dyDescent="0.25">
      <c r="A80" t="s">
        <v>141</v>
      </c>
      <c r="B80" t="s">
        <v>22</v>
      </c>
      <c r="D80">
        <v>37713.24</v>
      </c>
      <c r="E80">
        <v>13210.35</v>
      </c>
      <c r="G80">
        <v>0.19683100000000001</v>
      </c>
      <c r="H80">
        <v>0</v>
      </c>
      <c r="I80">
        <v>866223.47</v>
      </c>
      <c r="J80">
        <v>350734.07</v>
      </c>
      <c r="K80">
        <v>0</v>
      </c>
      <c r="L80">
        <v>936314.72</v>
      </c>
      <c r="M80">
        <v>0</v>
      </c>
      <c r="N80">
        <v>459640.08</v>
      </c>
      <c r="O80">
        <v>278377.15000000002</v>
      </c>
      <c r="P80">
        <v>286568.28000000003</v>
      </c>
      <c r="Q80">
        <v>0</v>
      </c>
      <c r="R80">
        <v>0</v>
      </c>
      <c r="S80">
        <v>0</v>
      </c>
      <c r="T80">
        <v>0</v>
      </c>
      <c r="U80">
        <v>0</v>
      </c>
      <c r="V80">
        <v>641165.73</v>
      </c>
      <c r="W80">
        <v>0</v>
      </c>
      <c r="X80">
        <v>0</v>
      </c>
      <c r="Y80">
        <v>0</v>
      </c>
      <c r="Z80">
        <v>68627.600000000006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450758.13</v>
      </c>
      <c r="AH80">
        <v>0</v>
      </c>
      <c r="AI80">
        <v>0</v>
      </c>
      <c r="AJ80">
        <v>2547771843.0299101</v>
      </c>
    </row>
    <row r="81" spans="1:36" x14ac:dyDescent="0.25">
      <c r="A81" t="s">
        <v>142</v>
      </c>
      <c r="B81" t="s">
        <v>22</v>
      </c>
      <c r="C81">
        <v>13210.35</v>
      </c>
      <c r="D81">
        <v>37713.24</v>
      </c>
      <c r="G81">
        <v>0.19683100000000001</v>
      </c>
      <c r="H81">
        <v>0</v>
      </c>
      <c r="I81">
        <v>1414479.46</v>
      </c>
      <c r="J81">
        <v>350734.07</v>
      </c>
      <c r="K81">
        <v>0</v>
      </c>
      <c r="L81">
        <v>936314.72</v>
      </c>
      <c r="M81">
        <v>0</v>
      </c>
      <c r="N81">
        <v>459700.04</v>
      </c>
      <c r="O81">
        <v>332815.14</v>
      </c>
      <c r="P81">
        <v>300040.14</v>
      </c>
      <c r="Q81">
        <v>0</v>
      </c>
      <c r="R81">
        <v>0</v>
      </c>
      <c r="S81">
        <v>0</v>
      </c>
      <c r="T81">
        <v>0</v>
      </c>
      <c r="U81">
        <v>0</v>
      </c>
      <c r="V81">
        <v>641139.25</v>
      </c>
      <c r="W81">
        <v>0</v>
      </c>
      <c r="X81">
        <v>0</v>
      </c>
      <c r="Y81">
        <v>0</v>
      </c>
      <c r="Z81">
        <v>68627.600000000006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450768.63</v>
      </c>
      <c r="AH81">
        <v>0</v>
      </c>
      <c r="AI81">
        <v>0</v>
      </c>
      <c r="AJ81">
        <v>3014471618.8907399</v>
      </c>
    </row>
    <row r="82" spans="1:36" x14ac:dyDescent="0.25">
      <c r="A82" t="s">
        <v>143</v>
      </c>
      <c r="B82" t="s">
        <v>21</v>
      </c>
      <c r="C82">
        <v>9159.27</v>
      </c>
      <c r="D82">
        <v>26148.13</v>
      </c>
      <c r="G82">
        <v>0.13647100000000001</v>
      </c>
      <c r="H82">
        <v>0</v>
      </c>
      <c r="I82">
        <v>921282.73</v>
      </c>
      <c r="J82">
        <v>774617.57</v>
      </c>
      <c r="K82">
        <v>0</v>
      </c>
      <c r="L82">
        <v>436518</v>
      </c>
      <c r="M82">
        <v>0</v>
      </c>
      <c r="N82">
        <v>300420.83</v>
      </c>
      <c r="O82">
        <v>144250.70000000001</v>
      </c>
      <c r="P82">
        <v>126270.55</v>
      </c>
      <c r="Q82">
        <v>0</v>
      </c>
      <c r="R82">
        <v>0</v>
      </c>
      <c r="S82">
        <v>0</v>
      </c>
      <c r="T82">
        <v>0</v>
      </c>
      <c r="U82">
        <v>0</v>
      </c>
      <c r="V82">
        <v>666036.99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160208.70000000001</v>
      </c>
      <c r="AH82">
        <v>0</v>
      </c>
      <c r="AI82">
        <v>0</v>
      </c>
      <c r="AJ82">
        <v>2795470795.21943</v>
      </c>
    </row>
    <row r="83" spans="1:36" x14ac:dyDescent="0.25">
      <c r="A83" t="s">
        <v>144</v>
      </c>
      <c r="B83" t="s">
        <v>21</v>
      </c>
      <c r="D83">
        <v>26148.13</v>
      </c>
      <c r="E83">
        <v>9159.27</v>
      </c>
      <c r="G83">
        <v>0.13647100000000001</v>
      </c>
      <c r="H83">
        <v>0</v>
      </c>
      <c r="I83">
        <v>837398.57</v>
      </c>
      <c r="J83">
        <v>774617.57</v>
      </c>
      <c r="K83">
        <v>0</v>
      </c>
      <c r="L83">
        <v>436518</v>
      </c>
      <c r="M83">
        <v>0</v>
      </c>
      <c r="N83">
        <v>300448.65000000002</v>
      </c>
      <c r="O83">
        <v>126002.23</v>
      </c>
      <c r="P83">
        <v>122753.66</v>
      </c>
      <c r="Q83">
        <v>0</v>
      </c>
      <c r="R83">
        <v>0</v>
      </c>
      <c r="S83">
        <v>0</v>
      </c>
      <c r="T83">
        <v>0</v>
      </c>
      <c r="U83">
        <v>0</v>
      </c>
      <c r="V83">
        <v>665628.11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160206.15</v>
      </c>
      <c r="AH83">
        <v>0</v>
      </c>
      <c r="AI83">
        <v>0</v>
      </c>
      <c r="AJ83">
        <v>2801085695.3541198</v>
      </c>
    </row>
    <row r="84" spans="1:36" x14ac:dyDescent="0.25">
      <c r="A84" t="s">
        <v>145</v>
      </c>
      <c r="B84" t="s">
        <v>21</v>
      </c>
      <c r="D84">
        <v>2712.56</v>
      </c>
      <c r="E84">
        <v>950.17</v>
      </c>
      <c r="G84">
        <v>1.4156999999999999E-2</v>
      </c>
      <c r="H84">
        <v>0</v>
      </c>
      <c r="I84">
        <v>58448.42</v>
      </c>
      <c r="J84">
        <v>23792.959999999999</v>
      </c>
      <c r="K84">
        <v>0</v>
      </c>
      <c r="L84">
        <v>29466.65</v>
      </c>
      <c r="M84">
        <v>0</v>
      </c>
      <c r="N84">
        <v>125539.7</v>
      </c>
      <c r="O84">
        <v>13149.77</v>
      </c>
      <c r="P84">
        <v>13842.17</v>
      </c>
      <c r="Q84">
        <v>0</v>
      </c>
      <c r="R84">
        <v>0</v>
      </c>
      <c r="S84">
        <v>0</v>
      </c>
      <c r="T84">
        <v>0</v>
      </c>
      <c r="U84">
        <v>0</v>
      </c>
      <c r="V84">
        <v>3445.22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4300.1400000000003</v>
      </c>
      <c r="AH84">
        <v>0</v>
      </c>
      <c r="AI84">
        <v>0</v>
      </c>
      <c r="AJ84">
        <v>210221285.37251899</v>
      </c>
    </row>
    <row r="85" spans="1:36" x14ac:dyDescent="0.25">
      <c r="A85" t="s">
        <v>146</v>
      </c>
      <c r="B85" t="s">
        <v>21</v>
      </c>
      <c r="D85">
        <v>35797.56</v>
      </c>
      <c r="E85">
        <v>12539.31</v>
      </c>
      <c r="G85">
        <v>0.186832</v>
      </c>
      <c r="H85">
        <v>0</v>
      </c>
      <c r="I85">
        <v>1059192.28</v>
      </c>
      <c r="J85">
        <v>463682.79</v>
      </c>
      <c r="K85">
        <v>0</v>
      </c>
      <c r="L85">
        <v>831153.37</v>
      </c>
      <c r="M85">
        <v>0</v>
      </c>
      <c r="N85">
        <v>290517.09999999998</v>
      </c>
      <c r="O85">
        <v>250776.28</v>
      </c>
      <c r="P85">
        <v>254285.53</v>
      </c>
      <c r="Q85">
        <v>0</v>
      </c>
      <c r="R85">
        <v>0</v>
      </c>
      <c r="S85">
        <v>0</v>
      </c>
      <c r="T85">
        <v>0</v>
      </c>
      <c r="U85">
        <v>0</v>
      </c>
      <c r="V85">
        <v>972847.76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104844.23</v>
      </c>
      <c r="AH85">
        <v>0</v>
      </c>
      <c r="AI85">
        <v>0</v>
      </c>
      <c r="AJ85">
        <v>2377075412.5243902</v>
      </c>
    </row>
    <row r="86" spans="1:36" x14ac:dyDescent="0.25">
      <c r="A86" t="s">
        <v>147</v>
      </c>
      <c r="B86" t="s">
        <v>21</v>
      </c>
      <c r="C86">
        <v>950.17</v>
      </c>
      <c r="D86">
        <v>2712.56</v>
      </c>
      <c r="G86">
        <v>1.4156999999999999E-2</v>
      </c>
      <c r="H86">
        <v>0</v>
      </c>
      <c r="I86">
        <v>89916.05</v>
      </c>
      <c r="J86">
        <v>23792.959999999999</v>
      </c>
      <c r="K86">
        <v>0</v>
      </c>
      <c r="L86">
        <v>29466.65</v>
      </c>
      <c r="M86">
        <v>0</v>
      </c>
      <c r="N86">
        <v>125539.99</v>
      </c>
      <c r="O86">
        <v>17988.740000000002</v>
      </c>
      <c r="P86">
        <v>15129.52</v>
      </c>
      <c r="Q86">
        <v>0</v>
      </c>
      <c r="R86">
        <v>0</v>
      </c>
      <c r="S86">
        <v>0</v>
      </c>
      <c r="T86">
        <v>0</v>
      </c>
      <c r="U86">
        <v>0</v>
      </c>
      <c r="V86">
        <v>3445.22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4300.1400000000003</v>
      </c>
      <c r="AH86">
        <v>0</v>
      </c>
      <c r="AI86">
        <v>0</v>
      </c>
      <c r="AJ86">
        <v>248406003.25030199</v>
      </c>
    </row>
    <row r="87" spans="1:36" x14ac:dyDescent="0.25">
      <c r="A87" t="s">
        <v>148</v>
      </c>
      <c r="B87" t="s">
        <v>21</v>
      </c>
      <c r="C87">
        <v>12539.31</v>
      </c>
      <c r="D87">
        <v>35797.56</v>
      </c>
      <c r="G87">
        <v>0.186832</v>
      </c>
      <c r="H87">
        <v>0</v>
      </c>
      <c r="I87">
        <v>1460746.82</v>
      </c>
      <c r="J87">
        <v>463682.79</v>
      </c>
      <c r="K87">
        <v>0</v>
      </c>
      <c r="L87">
        <v>831153.37</v>
      </c>
      <c r="M87">
        <v>0</v>
      </c>
      <c r="N87">
        <v>292110.81</v>
      </c>
      <c r="O87">
        <v>289813.93</v>
      </c>
      <c r="P87">
        <v>258441.60000000001</v>
      </c>
      <c r="Q87">
        <v>0</v>
      </c>
      <c r="R87">
        <v>0</v>
      </c>
      <c r="S87">
        <v>0</v>
      </c>
      <c r="T87">
        <v>0</v>
      </c>
      <c r="U87">
        <v>0</v>
      </c>
      <c r="V87">
        <v>970577.35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104843.26</v>
      </c>
      <c r="AH87">
        <v>0</v>
      </c>
      <c r="AI87">
        <v>0</v>
      </c>
      <c r="AJ87">
        <v>2934981020.7658601</v>
      </c>
    </row>
    <row r="88" spans="1:36" x14ac:dyDescent="0.25">
      <c r="A88" t="s">
        <v>149</v>
      </c>
      <c r="B88" t="s">
        <v>21</v>
      </c>
      <c r="D88">
        <v>5807.66</v>
      </c>
      <c r="E88">
        <v>2034.33</v>
      </c>
      <c r="G88">
        <v>3.0311000000000001E-2</v>
      </c>
      <c r="H88">
        <v>0</v>
      </c>
      <c r="I88">
        <v>283347.42</v>
      </c>
      <c r="J88">
        <v>201226.15</v>
      </c>
      <c r="K88">
        <v>0</v>
      </c>
      <c r="L88">
        <v>282049.05</v>
      </c>
      <c r="M88">
        <v>0</v>
      </c>
      <c r="N88">
        <v>153230.04999999999</v>
      </c>
      <c r="O88">
        <v>25689.62</v>
      </c>
      <c r="P88">
        <v>26135.759999999998</v>
      </c>
      <c r="Q88">
        <v>0</v>
      </c>
      <c r="R88">
        <v>0</v>
      </c>
      <c r="S88">
        <v>0</v>
      </c>
      <c r="T88">
        <v>0</v>
      </c>
      <c r="U88">
        <v>0</v>
      </c>
      <c r="V88">
        <v>299776.57</v>
      </c>
      <c r="W88">
        <v>0</v>
      </c>
      <c r="X88">
        <v>0</v>
      </c>
      <c r="Y88">
        <v>0</v>
      </c>
      <c r="Z88">
        <v>65854.75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114330.42</v>
      </c>
      <c r="AH88">
        <v>0</v>
      </c>
      <c r="AI88">
        <v>0</v>
      </c>
      <c r="AJ88">
        <v>690490888.55693996</v>
      </c>
    </row>
    <row r="89" spans="1:36" x14ac:dyDescent="0.25">
      <c r="A89" t="s">
        <v>150</v>
      </c>
      <c r="B89" t="s">
        <v>21</v>
      </c>
      <c r="C89">
        <v>2034.33</v>
      </c>
      <c r="D89">
        <v>5807.66</v>
      </c>
      <c r="G89">
        <v>3.0311000000000001E-2</v>
      </c>
      <c r="H89">
        <v>0</v>
      </c>
      <c r="I89">
        <v>329504.88</v>
      </c>
      <c r="J89">
        <v>201226.15</v>
      </c>
      <c r="K89">
        <v>0</v>
      </c>
      <c r="L89">
        <v>282049.05</v>
      </c>
      <c r="M89">
        <v>0</v>
      </c>
      <c r="N89">
        <v>153227.72</v>
      </c>
      <c r="O89">
        <v>28885.39</v>
      </c>
      <c r="P89">
        <v>26210.73</v>
      </c>
      <c r="Q89">
        <v>0</v>
      </c>
      <c r="R89">
        <v>0</v>
      </c>
      <c r="S89">
        <v>0</v>
      </c>
      <c r="T89">
        <v>0</v>
      </c>
      <c r="U89">
        <v>0</v>
      </c>
      <c r="V89">
        <v>299651.40999999997</v>
      </c>
      <c r="W89">
        <v>0</v>
      </c>
      <c r="X89">
        <v>0</v>
      </c>
      <c r="Y89">
        <v>0</v>
      </c>
      <c r="Z89">
        <v>65854.75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114325.87</v>
      </c>
      <c r="AH89">
        <v>0</v>
      </c>
      <c r="AI89">
        <v>0</v>
      </c>
      <c r="AJ89">
        <v>732505736.684376</v>
      </c>
    </row>
    <row r="90" spans="1:36" x14ac:dyDescent="0.25">
      <c r="A90" t="s">
        <v>151</v>
      </c>
      <c r="B90" t="s">
        <v>21</v>
      </c>
      <c r="D90">
        <v>43590.66</v>
      </c>
      <c r="E90">
        <v>15269.12</v>
      </c>
      <c r="G90">
        <v>0.22750600000000001</v>
      </c>
      <c r="H90">
        <v>0</v>
      </c>
      <c r="I90">
        <v>1667231.45</v>
      </c>
      <c r="J90">
        <v>857863.39</v>
      </c>
      <c r="K90">
        <v>0</v>
      </c>
      <c r="L90">
        <v>1141299.43</v>
      </c>
      <c r="M90">
        <v>0</v>
      </c>
      <c r="N90">
        <v>601292.77</v>
      </c>
      <c r="O90">
        <v>400455.01</v>
      </c>
      <c r="P90">
        <v>396912.66</v>
      </c>
      <c r="Q90">
        <v>0</v>
      </c>
      <c r="R90">
        <v>0</v>
      </c>
      <c r="S90">
        <v>0</v>
      </c>
      <c r="T90">
        <v>0</v>
      </c>
      <c r="U90">
        <v>0</v>
      </c>
      <c r="V90">
        <v>1478601.66</v>
      </c>
      <c r="W90">
        <v>0</v>
      </c>
      <c r="X90">
        <v>0</v>
      </c>
      <c r="Y90">
        <v>0</v>
      </c>
      <c r="Z90">
        <v>43737.51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249112.05</v>
      </c>
      <c r="AH90">
        <v>0</v>
      </c>
      <c r="AI90">
        <v>0</v>
      </c>
      <c r="AJ90">
        <v>3414973447.3474102</v>
      </c>
    </row>
    <row r="91" spans="1:36" x14ac:dyDescent="0.25">
      <c r="A91" t="s">
        <v>152</v>
      </c>
      <c r="B91" t="s">
        <v>21</v>
      </c>
      <c r="C91">
        <v>15269.12</v>
      </c>
      <c r="D91">
        <v>43590.66</v>
      </c>
      <c r="G91">
        <v>0.22750600000000001</v>
      </c>
      <c r="H91">
        <v>0</v>
      </c>
      <c r="I91">
        <v>1941455.47</v>
      </c>
      <c r="J91">
        <v>857863.39</v>
      </c>
      <c r="K91">
        <v>0</v>
      </c>
      <c r="L91">
        <v>1141299.43</v>
      </c>
      <c r="M91">
        <v>0</v>
      </c>
      <c r="N91">
        <v>602585.98</v>
      </c>
      <c r="O91">
        <v>467671.41</v>
      </c>
      <c r="P91">
        <v>411873.7</v>
      </c>
      <c r="Q91">
        <v>0</v>
      </c>
      <c r="R91">
        <v>0</v>
      </c>
      <c r="S91">
        <v>0</v>
      </c>
      <c r="T91">
        <v>0</v>
      </c>
      <c r="U91">
        <v>0</v>
      </c>
      <c r="V91">
        <v>1473011.16</v>
      </c>
      <c r="W91">
        <v>0</v>
      </c>
      <c r="X91">
        <v>0</v>
      </c>
      <c r="Y91">
        <v>0</v>
      </c>
      <c r="Z91">
        <v>43737.51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249128.61</v>
      </c>
      <c r="AH91">
        <v>0</v>
      </c>
      <c r="AI91">
        <v>0</v>
      </c>
      <c r="AJ91">
        <v>3534765047.12784</v>
      </c>
    </row>
    <row r="92" spans="1:36" x14ac:dyDescent="0.25">
      <c r="A92" t="s">
        <v>153</v>
      </c>
      <c r="B92" t="s">
        <v>21</v>
      </c>
      <c r="D92">
        <v>6320.86</v>
      </c>
      <c r="E92">
        <v>2214.1</v>
      </c>
      <c r="G92">
        <v>3.2988999999999997E-2</v>
      </c>
      <c r="H92">
        <v>0</v>
      </c>
      <c r="I92">
        <v>314937.74</v>
      </c>
      <c r="J92">
        <v>197273.03</v>
      </c>
      <c r="K92">
        <v>0</v>
      </c>
      <c r="L92">
        <v>258328.15</v>
      </c>
      <c r="M92">
        <v>0</v>
      </c>
      <c r="N92">
        <v>372266.13</v>
      </c>
      <c r="O92">
        <v>28437.32</v>
      </c>
      <c r="P92">
        <v>29603.3</v>
      </c>
      <c r="Q92">
        <v>0</v>
      </c>
      <c r="R92">
        <v>0</v>
      </c>
      <c r="S92">
        <v>0</v>
      </c>
      <c r="T92">
        <v>0</v>
      </c>
      <c r="U92">
        <v>0</v>
      </c>
      <c r="V92">
        <v>160538</v>
      </c>
      <c r="W92">
        <v>0</v>
      </c>
      <c r="X92">
        <v>0</v>
      </c>
      <c r="Y92">
        <v>0</v>
      </c>
      <c r="Z92">
        <v>64094.3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210325.89</v>
      </c>
      <c r="AH92">
        <v>0</v>
      </c>
      <c r="AI92">
        <v>0</v>
      </c>
      <c r="AJ92">
        <v>1138766396.2694299</v>
      </c>
    </row>
    <row r="93" spans="1:36" x14ac:dyDescent="0.25">
      <c r="A93" t="s">
        <v>154</v>
      </c>
      <c r="B93" t="s">
        <v>21</v>
      </c>
      <c r="C93">
        <v>2214.1</v>
      </c>
      <c r="D93">
        <v>6320.86</v>
      </c>
      <c r="G93">
        <v>3.2988999999999997E-2</v>
      </c>
      <c r="H93">
        <v>0</v>
      </c>
      <c r="I93">
        <v>373140.9</v>
      </c>
      <c r="J93">
        <v>197273.03</v>
      </c>
      <c r="K93">
        <v>0</v>
      </c>
      <c r="L93">
        <v>258328.15</v>
      </c>
      <c r="M93">
        <v>0</v>
      </c>
      <c r="N93">
        <v>372354.54</v>
      </c>
      <c r="O93">
        <v>32680.720000000001</v>
      </c>
      <c r="P93">
        <v>29823.32</v>
      </c>
      <c r="Q93">
        <v>0</v>
      </c>
      <c r="R93">
        <v>0</v>
      </c>
      <c r="S93">
        <v>0</v>
      </c>
      <c r="T93">
        <v>0</v>
      </c>
      <c r="U93">
        <v>0</v>
      </c>
      <c r="V93">
        <v>160689.32999999999</v>
      </c>
      <c r="W93">
        <v>0</v>
      </c>
      <c r="X93">
        <v>0</v>
      </c>
      <c r="Y93">
        <v>0</v>
      </c>
      <c r="Z93">
        <v>64094.3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210329.34</v>
      </c>
      <c r="AH93">
        <v>0</v>
      </c>
      <c r="AI93">
        <v>0</v>
      </c>
      <c r="AJ93">
        <v>1219475889.6858201</v>
      </c>
    </row>
    <row r="94" spans="1:36" x14ac:dyDescent="0.25">
      <c r="A94" t="s">
        <v>155</v>
      </c>
      <c r="B94" t="s">
        <v>21</v>
      </c>
      <c r="D94">
        <v>87782.25</v>
      </c>
      <c r="E94">
        <v>30748.73</v>
      </c>
      <c r="G94">
        <v>0.458148</v>
      </c>
      <c r="H94">
        <v>0</v>
      </c>
      <c r="I94">
        <v>2873241.31</v>
      </c>
      <c r="J94">
        <v>1274541.22</v>
      </c>
      <c r="K94">
        <v>0</v>
      </c>
      <c r="L94">
        <v>3553012.2</v>
      </c>
      <c r="M94">
        <v>0</v>
      </c>
      <c r="N94">
        <v>1440160</v>
      </c>
      <c r="O94">
        <v>433116</v>
      </c>
      <c r="P94">
        <v>444328.78</v>
      </c>
      <c r="Q94">
        <v>0</v>
      </c>
      <c r="R94">
        <v>0</v>
      </c>
      <c r="S94">
        <v>0</v>
      </c>
      <c r="T94">
        <v>0</v>
      </c>
      <c r="U94">
        <v>0</v>
      </c>
      <c r="V94">
        <v>2054564.72</v>
      </c>
      <c r="W94">
        <v>0</v>
      </c>
      <c r="X94">
        <v>0</v>
      </c>
      <c r="Y94">
        <v>0</v>
      </c>
      <c r="Z94">
        <v>127428.8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667526.85</v>
      </c>
      <c r="AH94">
        <v>0</v>
      </c>
      <c r="AI94">
        <v>0</v>
      </c>
      <c r="AJ94">
        <v>7584456047.4007101</v>
      </c>
    </row>
    <row r="95" spans="1:36" x14ac:dyDescent="0.25">
      <c r="A95" t="s">
        <v>156</v>
      </c>
      <c r="B95" t="s">
        <v>21</v>
      </c>
      <c r="C95">
        <v>13542.45</v>
      </c>
      <c r="D95">
        <v>38661.339999999997</v>
      </c>
      <c r="G95">
        <v>0.20177899999999999</v>
      </c>
      <c r="H95">
        <v>0</v>
      </c>
      <c r="I95">
        <v>1412623.31</v>
      </c>
      <c r="J95">
        <v>350734.07</v>
      </c>
      <c r="K95">
        <v>0</v>
      </c>
      <c r="L95">
        <v>936314.72</v>
      </c>
      <c r="M95">
        <v>0</v>
      </c>
      <c r="N95">
        <v>415394.84</v>
      </c>
      <c r="O95">
        <v>337751.16</v>
      </c>
      <c r="P95">
        <v>305855</v>
      </c>
      <c r="Q95">
        <v>0</v>
      </c>
      <c r="R95">
        <v>0</v>
      </c>
      <c r="S95">
        <v>0</v>
      </c>
      <c r="T95">
        <v>0</v>
      </c>
      <c r="U95">
        <v>0</v>
      </c>
      <c r="V95">
        <v>451803.81</v>
      </c>
      <c r="W95">
        <v>0</v>
      </c>
      <c r="X95">
        <v>0</v>
      </c>
      <c r="Y95">
        <v>0</v>
      </c>
      <c r="Z95">
        <v>68627.600000000006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437501.61</v>
      </c>
      <c r="AH95">
        <v>0</v>
      </c>
      <c r="AI95">
        <v>0</v>
      </c>
      <c r="AJ95">
        <v>2926915090.6012402</v>
      </c>
    </row>
    <row r="96" spans="1:36" x14ac:dyDescent="0.25">
      <c r="A96" t="s">
        <v>157</v>
      </c>
      <c r="B96" t="s">
        <v>21</v>
      </c>
      <c r="C96">
        <v>30748.73</v>
      </c>
      <c r="D96">
        <v>87782.25</v>
      </c>
      <c r="G96">
        <v>0.458148</v>
      </c>
      <c r="H96">
        <v>0</v>
      </c>
      <c r="I96">
        <v>3534906.94</v>
      </c>
      <c r="J96">
        <v>1274541.22</v>
      </c>
      <c r="K96">
        <v>0</v>
      </c>
      <c r="L96">
        <v>3553012.2</v>
      </c>
      <c r="M96">
        <v>0</v>
      </c>
      <c r="N96">
        <v>1441465.93</v>
      </c>
      <c r="O96">
        <v>494354.44</v>
      </c>
      <c r="P96">
        <v>446912.93</v>
      </c>
      <c r="Q96">
        <v>0</v>
      </c>
      <c r="R96">
        <v>0</v>
      </c>
      <c r="S96">
        <v>0</v>
      </c>
      <c r="T96">
        <v>0</v>
      </c>
      <c r="U96">
        <v>0</v>
      </c>
      <c r="V96">
        <v>2046069.76</v>
      </c>
      <c r="W96">
        <v>0</v>
      </c>
      <c r="X96">
        <v>0</v>
      </c>
      <c r="Y96">
        <v>0</v>
      </c>
      <c r="Z96">
        <v>127428.8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667529.87</v>
      </c>
      <c r="AH96">
        <v>0</v>
      </c>
      <c r="AI96">
        <v>0</v>
      </c>
      <c r="AJ96">
        <v>8257675730.4593697</v>
      </c>
    </row>
    <row r="97" spans="1:36" x14ac:dyDescent="0.25">
      <c r="A97" t="s">
        <v>158</v>
      </c>
      <c r="B97" t="s">
        <v>20</v>
      </c>
      <c r="C97">
        <v>9697.85</v>
      </c>
      <c r="D97">
        <v>27685.68</v>
      </c>
      <c r="G97">
        <v>0.14449500000000001</v>
      </c>
      <c r="H97">
        <v>0</v>
      </c>
      <c r="I97">
        <v>1124942.3899999999</v>
      </c>
      <c r="J97">
        <v>774617.57</v>
      </c>
      <c r="K97">
        <v>0</v>
      </c>
      <c r="L97">
        <v>436518</v>
      </c>
      <c r="M97">
        <v>0</v>
      </c>
      <c r="N97">
        <v>321636.73</v>
      </c>
      <c r="O97">
        <v>172538.59</v>
      </c>
      <c r="P97">
        <v>154347.92000000001</v>
      </c>
      <c r="Q97">
        <v>0</v>
      </c>
      <c r="R97">
        <v>0</v>
      </c>
      <c r="S97">
        <v>0</v>
      </c>
      <c r="T97">
        <v>0</v>
      </c>
      <c r="U97">
        <v>0</v>
      </c>
      <c r="V97">
        <v>678917.41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156630.51</v>
      </c>
      <c r="AH97">
        <v>0</v>
      </c>
      <c r="AI97">
        <v>0</v>
      </c>
      <c r="AJ97">
        <v>2805044324.4605598</v>
      </c>
    </row>
    <row r="98" spans="1:36" x14ac:dyDescent="0.25">
      <c r="A98" t="s">
        <v>159</v>
      </c>
      <c r="B98" t="s">
        <v>21</v>
      </c>
      <c r="D98">
        <v>38661.339999999997</v>
      </c>
      <c r="E98">
        <v>13542.45</v>
      </c>
      <c r="G98">
        <v>0.20177899999999999</v>
      </c>
      <c r="H98">
        <v>0</v>
      </c>
      <c r="I98">
        <v>989445.66</v>
      </c>
      <c r="J98">
        <v>350734.07</v>
      </c>
      <c r="K98">
        <v>0</v>
      </c>
      <c r="L98">
        <v>936314.72</v>
      </c>
      <c r="M98">
        <v>0</v>
      </c>
      <c r="N98">
        <v>415757.44</v>
      </c>
      <c r="O98">
        <v>286246.05</v>
      </c>
      <c r="P98">
        <v>294471.40000000002</v>
      </c>
      <c r="Q98">
        <v>0</v>
      </c>
      <c r="R98">
        <v>0</v>
      </c>
      <c r="S98">
        <v>0</v>
      </c>
      <c r="T98">
        <v>0</v>
      </c>
      <c r="U98">
        <v>0</v>
      </c>
      <c r="V98">
        <v>449792.58</v>
      </c>
      <c r="W98">
        <v>0</v>
      </c>
      <c r="X98">
        <v>0</v>
      </c>
      <c r="Y98">
        <v>0</v>
      </c>
      <c r="Z98">
        <v>68627.600000000006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437501.42</v>
      </c>
      <c r="AH98">
        <v>0</v>
      </c>
      <c r="AI98">
        <v>0</v>
      </c>
      <c r="AJ98">
        <v>2682670448.6634102</v>
      </c>
    </row>
    <row r="99" spans="1:36" x14ac:dyDescent="0.25">
      <c r="A99" t="s">
        <v>160</v>
      </c>
      <c r="B99" t="s">
        <v>20</v>
      </c>
      <c r="D99">
        <v>27685.68</v>
      </c>
      <c r="E99">
        <v>9697.85</v>
      </c>
      <c r="G99">
        <v>0.14449500000000001</v>
      </c>
      <c r="H99">
        <v>0</v>
      </c>
      <c r="I99">
        <v>964300.21</v>
      </c>
      <c r="J99">
        <v>774617.57</v>
      </c>
      <c r="K99">
        <v>0</v>
      </c>
      <c r="L99">
        <v>436518</v>
      </c>
      <c r="M99">
        <v>0</v>
      </c>
      <c r="N99">
        <v>321661.37</v>
      </c>
      <c r="O99">
        <v>149482.10999999999</v>
      </c>
      <c r="P99">
        <v>150205.42000000001</v>
      </c>
      <c r="Q99">
        <v>0</v>
      </c>
      <c r="R99">
        <v>0</v>
      </c>
      <c r="S99">
        <v>0</v>
      </c>
      <c r="T99">
        <v>0</v>
      </c>
      <c r="U99">
        <v>0</v>
      </c>
      <c r="V99">
        <v>677930.11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156627.68</v>
      </c>
      <c r="AH99">
        <v>0</v>
      </c>
      <c r="AI99">
        <v>0</v>
      </c>
      <c r="AJ99">
        <v>2772497368.2497101</v>
      </c>
    </row>
    <row r="100" spans="1:36" x14ac:dyDescent="0.25">
      <c r="A100" t="s">
        <v>161</v>
      </c>
      <c r="B100" t="s">
        <v>20</v>
      </c>
      <c r="D100">
        <v>33861.050000000003</v>
      </c>
      <c r="E100">
        <v>11860.99</v>
      </c>
      <c r="G100">
        <v>0.17672499999999999</v>
      </c>
      <c r="H100">
        <v>0</v>
      </c>
      <c r="I100">
        <v>1107039.19</v>
      </c>
      <c r="J100">
        <v>463682.79</v>
      </c>
      <c r="K100">
        <v>0</v>
      </c>
      <c r="L100">
        <v>831153.37</v>
      </c>
      <c r="M100">
        <v>0</v>
      </c>
      <c r="N100">
        <v>293760.55</v>
      </c>
      <c r="O100">
        <v>266816.77</v>
      </c>
      <c r="P100">
        <v>279539.23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687865.48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102507.42</v>
      </c>
      <c r="AH100">
        <v>0</v>
      </c>
      <c r="AI100">
        <v>0</v>
      </c>
      <c r="AJ100">
        <v>2091366838.83289</v>
      </c>
    </row>
    <row r="101" spans="1:36" x14ac:dyDescent="0.25">
      <c r="A101" t="s">
        <v>162</v>
      </c>
      <c r="B101" t="s">
        <v>20</v>
      </c>
      <c r="D101">
        <v>2457.65</v>
      </c>
      <c r="E101">
        <v>860.87</v>
      </c>
      <c r="G101">
        <v>1.2827E-2</v>
      </c>
      <c r="H101">
        <v>0</v>
      </c>
      <c r="I101">
        <v>51492.04</v>
      </c>
      <c r="J101">
        <v>23792.959999999999</v>
      </c>
      <c r="K101">
        <v>0</v>
      </c>
      <c r="L101">
        <v>29466.65</v>
      </c>
      <c r="M101">
        <v>0</v>
      </c>
      <c r="N101">
        <v>112092.37</v>
      </c>
      <c r="O101">
        <v>11026.8</v>
      </c>
      <c r="P101">
        <v>11807.31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882.82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4217.4799999999996</v>
      </c>
      <c r="AH101">
        <v>0</v>
      </c>
      <c r="AI101">
        <v>0</v>
      </c>
      <c r="AJ101">
        <v>168912003.01189101</v>
      </c>
    </row>
    <row r="102" spans="1:36" x14ac:dyDescent="0.25">
      <c r="A102" t="s">
        <v>163</v>
      </c>
      <c r="B102" t="s">
        <v>20</v>
      </c>
      <c r="C102">
        <v>11860.99</v>
      </c>
      <c r="D102">
        <v>33861.050000000003</v>
      </c>
      <c r="G102">
        <v>0.17672499999999999</v>
      </c>
      <c r="H102">
        <v>0</v>
      </c>
      <c r="I102">
        <v>1537486.32</v>
      </c>
      <c r="J102">
        <v>463682.79</v>
      </c>
      <c r="K102">
        <v>0</v>
      </c>
      <c r="L102">
        <v>831153.37</v>
      </c>
      <c r="M102">
        <v>0</v>
      </c>
      <c r="N102">
        <v>293924.5</v>
      </c>
      <c r="O102">
        <v>309061.40999999997</v>
      </c>
      <c r="P102">
        <v>282829.58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686074.56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102505.1</v>
      </c>
      <c r="AH102">
        <v>0</v>
      </c>
      <c r="AI102">
        <v>0</v>
      </c>
      <c r="AJ102">
        <v>2791655686.9377398</v>
      </c>
    </row>
    <row r="103" spans="1:36" x14ac:dyDescent="0.25">
      <c r="A103" t="s">
        <v>164</v>
      </c>
      <c r="B103" t="s">
        <v>20</v>
      </c>
      <c r="C103">
        <v>860.87</v>
      </c>
      <c r="D103">
        <v>2457.65</v>
      </c>
      <c r="G103">
        <v>1.2827E-2</v>
      </c>
      <c r="H103">
        <v>0</v>
      </c>
      <c r="I103">
        <v>82181.23</v>
      </c>
      <c r="J103">
        <v>23792.959999999999</v>
      </c>
      <c r="K103">
        <v>0</v>
      </c>
      <c r="L103">
        <v>29466.65</v>
      </c>
      <c r="M103">
        <v>0</v>
      </c>
      <c r="N103">
        <v>112092.37</v>
      </c>
      <c r="O103">
        <v>15685.26</v>
      </c>
      <c r="P103">
        <v>13286.56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882.82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4217.4799999999996</v>
      </c>
      <c r="AH103">
        <v>0</v>
      </c>
      <c r="AI103">
        <v>0</v>
      </c>
      <c r="AJ103">
        <v>223650732.720844</v>
      </c>
    </row>
    <row r="104" spans="1:36" x14ac:dyDescent="0.25">
      <c r="A104" t="s">
        <v>165</v>
      </c>
      <c r="B104" t="s">
        <v>20</v>
      </c>
      <c r="D104">
        <v>5630.96</v>
      </c>
      <c r="E104">
        <v>1972.43</v>
      </c>
      <c r="G104">
        <v>2.9388999999999998E-2</v>
      </c>
      <c r="H104">
        <v>0</v>
      </c>
      <c r="I104">
        <v>276773.23</v>
      </c>
      <c r="J104">
        <v>201226.15</v>
      </c>
      <c r="K104">
        <v>0</v>
      </c>
      <c r="L104">
        <v>282049.05</v>
      </c>
      <c r="M104">
        <v>0</v>
      </c>
      <c r="N104">
        <v>144675.97</v>
      </c>
      <c r="O104">
        <v>28393.55</v>
      </c>
      <c r="P104">
        <v>29508.17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177982.45</v>
      </c>
      <c r="W104">
        <v>0</v>
      </c>
      <c r="X104">
        <v>0</v>
      </c>
      <c r="Y104">
        <v>0</v>
      </c>
      <c r="Z104">
        <v>65854.75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111784.7</v>
      </c>
      <c r="AH104">
        <v>0</v>
      </c>
      <c r="AI104">
        <v>0</v>
      </c>
      <c r="AJ104">
        <v>580774357.04543996</v>
      </c>
    </row>
    <row r="105" spans="1:36" x14ac:dyDescent="0.25">
      <c r="A105" t="s">
        <v>166</v>
      </c>
      <c r="B105" t="s">
        <v>20</v>
      </c>
      <c r="C105">
        <v>1972.43</v>
      </c>
      <c r="D105">
        <v>5630.96</v>
      </c>
      <c r="G105">
        <v>2.9388999999999998E-2</v>
      </c>
      <c r="H105">
        <v>0</v>
      </c>
      <c r="I105">
        <v>335484.39</v>
      </c>
      <c r="J105">
        <v>201226.15</v>
      </c>
      <c r="K105">
        <v>0</v>
      </c>
      <c r="L105">
        <v>282049.05</v>
      </c>
      <c r="M105">
        <v>0</v>
      </c>
      <c r="N105">
        <v>144678.09</v>
      </c>
      <c r="O105">
        <v>32042</v>
      </c>
      <c r="P105">
        <v>29562.05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177736.19</v>
      </c>
      <c r="W105">
        <v>0</v>
      </c>
      <c r="X105">
        <v>0</v>
      </c>
      <c r="Y105">
        <v>0</v>
      </c>
      <c r="Z105">
        <v>65854.75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111792.34</v>
      </c>
      <c r="AH105">
        <v>0</v>
      </c>
      <c r="AI105">
        <v>0</v>
      </c>
      <c r="AJ105">
        <v>662741255.09346902</v>
      </c>
    </row>
    <row r="106" spans="1:36" x14ac:dyDescent="0.25">
      <c r="A106" t="s">
        <v>167</v>
      </c>
      <c r="B106" t="s">
        <v>20</v>
      </c>
      <c r="C106">
        <v>15483.29</v>
      </c>
      <c r="D106">
        <v>44202.1</v>
      </c>
      <c r="G106">
        <v>0.23069700000000001</v>
      </c>
      <c r="H106">
        <v>0</v>
      </c>
      <c r="I106">
        <v>2148299.02</v>
      </c>
      <c r="J106">
        <v>857863.39</v>
      </c>
      <c r="K106">
        <v>0</v>
      </c>
      <c r="L106">
        <v>1141299.43</v>
      </c>
      <c r="M106">
        <v>0</v>
      </c>
      <c r="N106">
        <v>627837.62</v>
      </c>
      <c r="O106">
        <v>471928.1</v>
      </c>
      <c r="P106">
        <v>423924.31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1358412.55</v>
      </c>
      <c r="W106">
        <v>0</v>
      </c>
      <c r="X106">
        <v>0</v>
      </c>
      <c r="Y106">
        <v>0</v>
      </c>
      <c r="Z106">
        <v>43737.51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243580.3</v>
      </c>
      <c r="AH106">
        <v>0</v>
      </c>
      <c r="AI106">
        <v>0</v>
      </c>
      <c r="AJ106">
        <v>3621996474.0362601</v>
      </c>
    </row>
    <row r="107" spans="1:36" x14ac:dyDescent="0.25">
      <c r="A107" t="s">
        <v>168</v>
      </c>
      <c r="B107" t="s">
        <v>20</v>
      </c>
      <c r="D107">
        <v>44202.1</v>
      </c>
      <c r="E107">
        <v>15483.29</v>
      </c>
      <c r="G107">
        <v>0.23069700000000001</v>
      </c>
      <c r="H107">
        <v>0</v>
      </c>
      <c r="I107">
        <v>1804830.54</v>
      </c>
      <c r="J107">
        <v>857863.39</v>
      </c>
      <c r="K107">
        <v>0</v>
      </c>
      <c r="L107">
        <v>1141299.43</v>
      </c>
      <c r="M107">
        <v>0</v>
      </c>
      <c r="N107">
        <v>627222.98</v>
      </c>
      <c r="O107">
        <v>407317.53</v>
      </c>
      <c r="P107">
        <v>410976.95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1362452.22</v>
      </c>
      <c r="W107">
        <v>0</v>
      </c>
      <c r="X107">
        <v>0</v>
      </c>
      <c r="Y107">
        <v>0</v>
      </c>
      <c r="Z107">
        <v>43737.51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243571.32</v>
      </c>
      <c r="AH107">
        <v>0</v>
      </c>
      <c r="AI107">
        <v>0</v>
      </c>
      <c r="AJ107">
        <v>3468217838.8204999</v>
      </c>
    </row>
    <row r="108" spans="1:36" x14ac:dyDescent="0.25">
      <c r="A108" t="s">
        <v>169</v>
      </c>
      <c r="B108" t="s">
        <v>20</v>
      </c>
      <c r="D108">
        <v>6228.78</v>
      </c>
      <c r="E108">
        <v>2181.84</v>
      </c>
      <c r="G108">
        <v>3.2509000000000003E-2</v>
      </c>
      <c r="H108">
        <v>0</v>
      </c>
      <c r="I108">
        <v>322219.81</v>
      </c>
      <c r="J108">
        <v>197273.03</v>
      </c>
      <c r="K108">
        <v>0</v>
      </c>
      <c r="L108">
        <v>258328.15</v>
      </c>
      <c r="M108">
        <v>0</v>
      </c>
      <c r="N108">
        <v>357130.11</v>
      </c>
      <c r="O108">
        <v>31947.599999999999</v>
      </c>
      <c r="P108">
        <v>34054.81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102631.9</v>
      </c>
      <c r="W108">
        <v>0</v>
      </c>
      <c r="X108">
        <v>0</v>
      </c>
      <c r="Y108">
        <v>0</v>
      </c>
      <c r="Z108">
        <v>64094.3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205705.88</v>
      </c>
      <c r="AH108">
        <v>0</v>
      </c>
      <c r="AI108">
        <v>0</v>
      </c>
      <c r="AJ108">
        <v>957860757.81790197</v>
      </c>
    </row>
    <row r="109" spans="1:36" x14ac:dyDescent="0.25">
      <c r="A109" t="s">
        <v>170</v>
      </c>
      <c r="B109" t="s">
        <v>20</v>
      </c>
      <c r="C109">
        <v>2181.84</v>
      </c>
      <c r="D109">
        <v>6228.78</v>
      </c>
      <c r="G109">
        <v>3.2509000000000003E-2</v>
      </c>
      <c r="H109">
        <v>0</v>
      </c>
      <c r="I109">
        <v>388461.74</v>
      </c>
      <c r="J109">
        <v>197273.03</v>
      </c>
      <c r="K109">
        <v>0</v>
      </c>
      <c r="L109">
        <v>258328.15</v>
      </c>
      <c r="M109">
        <v>0</v>
      </c>
      <c r="N109">
        <v>357059.81</v>
      </c>
      <c r="O109">
        <v>36857.629999999997</v>
      </c>
      <c r="P109">
        <v>34268.620000000003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102532.44</v>
      </c>
      <c r="W109">
        <v>0</v>
      </c>
      <c r="X109">
        <v>0</v>
      </c>
      <c r="Y109">
        <v>0</v>
      </c>
      <c r="Z109">
        <v>64094.3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205703.65</v>
      </c>
      <c r="AH109">
        <v>0</v>
      </c>
      <c r="AI109">
        <v>0</v>
      </c>
      <c r="AJ109">
        <v>1090532780.85833</v>
      </c>
    </row>
    <row r="110" spans="1:36" x14ac:dyDescent="0.25">
      <c r="A110" t="s">
        <v>171</v>
      </c>
      <c r="B110" t="s">
        <v>20</v>
      </c>
      <c r="C110">
        <v>29886.5</v>
      </c>
      <c r="D110">
        <v>85320.76</v>
      </c>
      <c r="G110">
        <v>0.445301</v>
      </c>
      <c r="H110">
        <v>0</v>
      </c>
      <c r="I110">
        <v>3741520.9</v>
      </c>
      <c r="J110">
        <v>1274541.22</v>
      </c>
      <c r="K110">
        <v>0</v>
      </c>
      <c r="L110">
        <v>3553012.2</v>
      </c>
      <c r="M110">
        <v>0</v>
      </c>
      <c r="N110">
        <v>1392428.15</v>
      </c>
      <c r="O110">
        <v>538718.41</v>
      </c>
      <c r="P110">
        <v>497505.33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1475714.4</v>
      </c>
      <c r="W110">
        <v>0</v>
      </c>
      <c r="X110">
        <v>0</v>
      </c>
      <c r="Y110">
        <v>0</v>
      </c>
      <c r="Z110">
        <v>127428.8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652997.67000000004</v>
      </c>
      <c r="AH110">
        <v>0</v>
      </c>
      <c r="AI110">
        <v>0</v>
      </c>
      <c r="AJ110">
        <v>7964265377.5064001</v>
      </c>
    </row>
    <row r="111" spans="1:36" x14ac:dyDescent="0.25">
      <c r="A111" t="s">
        <v>172</v>
      </c>
      <c r="B111" t="s">
        <v>19</v>
      </c>
      <c r="D111">
        <v>25715.64</v>
      </c>
      <c r="E111">
        <v>9007.7800000000007</v>
      </c>
      <c r="G111">
        <v>0.134213</v>
      </c>
      <c r="H111">
        <v>0</v>
      </c>
      <c r="I111">
        <v>987148.63</v>
      </c>
      <c r="J111">
        <v>774617.57</v>
      </c>
      <c r="K111">
        <v>0</v>
      </c>
      <c r="L111">
        <v>436518</v>
      </c>
      <c r="M111">
        <v>0</v>
      </c>
      <c r="N111">
        <v>290045.14</v>
      </c>
      <c r="O111">
        <v>142484.5</v>
      </c>
      <c r="P111">
        <v>146746.32999999999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449659.05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157890.81</v>
      </c>
      <c r="AH111">
        <v>0</v>
      </c>
      <c r="AI111">
        <v>0</v>
      </c>
      <c r="AJ111">
        <v>1981791158.2892799</v>
      </c>
    </row>
    <row r="112" spans="1:36" x14ac:dyDescent="0.25">
      <c r="A112" t="s">
        <v>173</v>
      </c>
      <c r="B112" t="s">
        <v>20</v>
      </c>
      <c r="D112">
        <v>38243.21</v>
      </c>
      <c r="E112">
        <v>13395.99</v>
      </c>
      <c r="G112">
        <v>0.199597</v>
      </c>
      <c r="H112">
        <v>0</v>
      </c>
      <c r="I112">
        <v>1058650.73</v>
      </c>
      <c r="J112">
        <v>350734.07</v>
      </c>
      <c r="K112">
        <v>0</v>
      </c>
      <c r="L112">
        <v>936314.72</v>
      </c>
      <c r="M112">
        <v>0</v>
      </c>
      <c r="N112">
        <v>376587.26</v>
      </c>
      <c r="O112">
        <v>303779.40999999997</v>
      </c>
      <c r="P112">
        <v>321293.68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340678.11</v>
      </c>
      <c r="W112">
        <v>0</v>
      </c>
      <c r="X112">
        <v>0</v>
      </c>
      <c r="Y112">
        <v>0</v>
      </c>
      <c r="Z112">
        <v>68627.600000000006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428567.2</v>
      </c>
      <c r="AH112">
        <v>0</v>
      </c>
      <c r="AI112">
        <v>0</v>
      </c>
      <c r="AJ112">
        <v>2352883194.4458499</v>
      </c>
    </row>
    <row r="113" spans="1:36" x14ac:dyDescent="0.25">
      <c r="A113" t="s">
        <v>174</v>
      </c>
      <c r="B113" t="s">
        <v>20</v>
      </c>
      <c r="D113">
        <v>85320.76</v>
      </c>
      <c r="E113">
        <v>29886.5</v>
      </c>
      <c r="G113">
        <v>0.445301</v>
      </c>
      <c r="H113">
        <v>0</v>
      </c>
      <c r="I113">
        <v>2983613.96</v>
      </c>
      <c r="J113">
        <v>1274541.22</v>
      </c>
      <c r="K113">
        <v>0</v>
      </c>
      <c r="L113">
        <v>3553012.2</v>
      </c>
      <c r="M113">
        <v>0</v>
      </c>
      <c r="N113">
        <v>1391836.19</v>
      </c>
      <c r="O113">
        <v>471259.97</v>
      </c>
      <c r="P113">
        <v>494517.83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1479672.64</v>
      </c>
      <c r="W113">
        <v>0</v>
      </c>
      <c r="X113">
        <v>0</v>
      </c>
      <c r="Y113">
        <v>0</v>
      </c>
      <c r="Z113">
        <v>127428.8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653042.16</v>
      </c>
      <c r="AH113">
        <v>0</v>
      </c>
      <c r="AI113">
        <v>0</v>
      </c>
      <c r="AJ113">
        <v>7034431102.7249203</v>
      </c>
    </row>
    <row r="114" spans="1:36" x14ac:dyDescent="0.25">
      <c r="A114" t="s">
        <v>175</v>
      </c>
      <c r="B114" t="s">
        <v>20</v>
      </c>
      <c r="C114">
        <v>13395.99</v>
      </c>
      <c r="D114">
        <v>38243.21</v>
      </c>
      <c r="G114">
        <v>0.199597</v>
      </c>
      <c r="H114">
        <v>0</v>
      </c>
      <c r="I114">
        <v>1566176.55</v>
      </c>
      <c r="J114">
        <v>350734.07</v>
      </c>
      <c r="K114">
        <v>0</v>
      </c>
      <c r="L114">
        <v>936314.72</v>
      </c>
      <c r="M114">
        <v>0</v>
      </c>
      <c r="N114">
        <v>376309.04</v>
      </c>
      <c r="O114">
        <v>355847.71</v>
      </c>
      <c r="P114">
        <v>328670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340961.11</v>
      </c>
      <c r="W114">
        <v>0</v>
      </c>
      <c r="X114">
        <v>0</v>
      </c>
      <c r="Y114">
        <v>0</v>
      </c>
      <c r="Z114">
        <v>68627.600000000006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428588.69</v>
      </c>
      <c r="AH114">
        <v>0</v>
      </c>
      <c r="AI114">
        <v>0</v>
      </c>
      <c r="AJ114">
        <v>2853248834.88305</v>
      </c>
    </row>
    <row r="115" spans="1:36" x14ac:dyDescent="0.25">
      <c r="A115" t="s">
        <v>176</v>
      </c>
      <c r="B115" t="s">
        <v>19</v>
      </c>
      <c r="C115">
        <v>9007.7800000000007</v>
      </c>
      <c r="D115">
        <v>25715.64</v>
      </c>
      <c r="G115">
        <v>0.134213</v>
      </c>
      <c r="H115">
        <v>0</v>
      </c>
      <c r="I115">
        <v>1048250.4</v>
      </c>
      <c r="J115">
        <v>774617.57</v>
      </c>
      <c r="K115">
        <v>0</v>
      </c>
      <c r="L115">
        <v>436518</v>
      </c>
      <c r="M115">
        <v>0</v>
      </c>
      <c r="N115">
        <v>289952.68</v>
      </c>
      <c r="O115">
        <v>163339.20000000001</v>
      </c>
      <c r="P115">
        <v>151098.69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451636.03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157893.14000000001</v>
      </c>
      <c r="AH115">
        <v>0</v>
      </c>
      <c r="AI115">
        <v>0</v>
      </c>
      <c r="AJ115">
        <v>2154112241.6129599</v>
      </c>
    </row>
    <row r="116" spans="1:36" x14ac:dyDescent="0.25">
      <c r="A116" t="s">
        <v>177</v>
      </c>
      <c r="B116" t="s">
        <v>19</v>
      </c>
      <c r="D116">
        <v>33835.660000000003</v>
      </c>
      <c r="E116">
        <v>11852.09</v>
      </c>
      <c r="G116">
        <v>0.176593</v>
      </c>
      <c r="H116">
        <v>0</v>
      </c>
      <c r="I116">
        <v>1236774.72</v>
      </c>
      <c r="J116">
        <v>463682.79</v>
      </c>
      <c r="K116">
        <v>0</v>
      </c>
      <c r="L116">
        <v>831153.37</v>
      </c>
      <c r="M116">
        <v>0</v>
      </c>
      <c r="N116">
        <v>291330.69</v>
      </c>
      <c r="O116">
        <v>287639.90999999997</v>
      </c>
      <c r="P116">
        <v>309836.52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615093.87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103351.38</v>
      </c>
      <c r="AH116">
        <v>0</v>
      </c>
      <c r="AI116">
        <v>0</v>
      </c>
      <c r="AJ116">
        <v>1645705791.0074501</v>
      </c>
    </row>
    <row r="117" spans="1:36" x14ac:dyDescent="0.25">
      <c r="A117" t="s">
        <v>178</v>
      </c>
      <c r="B117" t="s">
        <v>19</v>
      </c>
      <c r="D117">
        <v>2621.1</v>
      </c>
      <c r="E117">
        <v>918.13</v>
      </c>
      <c r="G117">
        <v>1.3679999999999999E-2</v>
      </c>
      <c r="H117">
        <v>0</v>
      </c>
      <c r="I117">
        <v>47928.639999999999</v>
      </c>
      <c r="J117">
        <v>23792.959999999999</v>
      </c>
      <c r="K117">
        <v>0</v>
      </c>
      <c r="L117">
        <v>29466.65</v>
      </c>
      <c r="M117">
        <v>0</v>
      </c>
      <c r="N117">
        <v>121625.56</v>
      </c>
      <c r="O117">
        <v>11288.01</v>
      </c>
      <c r="P117">
        <v>12487.01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172.39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4247.5200000000004</v>
      </c>
      <c r="AH117">
        <v>0</v>
      </c>
      <c r="AI117">
        <v>0</v>
      </c>
      <c r="AJ117">
        <v>152720900.686488</v>
      </c>
    </row>
    <row r="118" spans="1:36" x14ac:dyDescent="0.25">
      <c r="A118" t="s">
        <v>179</v>
      </c>
      <c r="B118" t="s">
        <v>19</v>
      </c>
      <c r="C118">
        <v>918.13</v>
      </c>
      <c r="D118">
        <v>2621.1</v>
      </c>
      <c r="G118">
        <v>1.3679999999999999E-2</v>
      </c>
      <c r="H118">
        <v>0</v>
      </c>
      <c r="I118">
        <v>76541.16</v>
      </c>
      <c r="J118">
        <v>23792.959999999999</v>
      </c>
      <c r="K118">
        <v>0</v>
      </c>
      <c r="L118">
        <v>29466.65</v>
      </c>
      <c r="M118">
        <v>0</v>
      </c>
      <c r="N118">
        <v>121626.98</v>
      </c>
      <c r="O118">
        <v>17391.169999999998</v>
      </c>
      <c r="P118">
        <v>15378.73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172.38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4247.5200000000004</v>
      </c>
      <c r="AH118">
        <v>0</v>
      </c>
      <c r="AI118">
        <v>0</v>
      </c>
      <c r="AJ118">
        <v>195367775.80270401</v>
      </c>
    </row>
    <row r="119" spans="1:36" x14ac:dyDescent="0.25">
      <c r="A119" t="s">
        <v>180</v>
      </c>
      <c r="B119" t="s">
        <v>19</v>
      </c>
      <c r="C119">
        <v>11852.09</v>
      </c>
      <c r="D119">
        <v>33835.660000000003</v>
      </c>
      <c r="G119">
        <v>0.176593</v>
      </c>
      <c r="H119">
        <v>0</v>
      </c>
      <c r="I119">
        <v>1554097.25</v>
      </c>
      <c r="J119">
        <v>463682.79</v>
      </c>
      <c r="K119">
        <v>0</v>
      </c>
      <c r="L119">
        <v>831153.37</v>
      </c>
      <c r="M119">
        <v>0</v>
      </c>
      <c r="N119">
        <v>293444.90000000002</v>
      </c>
      <c r="O119">
        <v>331645.63</v>
      </c>
      <c r="P119">
        <v>311332.12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612322.9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103352.53</v>
      </c>
      <c r="AH119">
        <v>0</v>
      </c>
      <c r="AI119">
        <v>0</v>
      </c>
      <c r="AJ119">
        <v>2160527166.9786801</v>
      </c>
    </row>
    <row r="120" spans="1:36" x14ac:dyDescent="0.25">
      <c r="A120" t="s">
        <v>181</v>
      </c>
      <c r="B120" t="s">
        <v>19</v>
      </c>
      <c r="D120">
        <v>41548.28</v>
      </c>
      <c r="E120">
        <v>14553.7</v>
      </c>
      <c r="G120">
        <v>0.21684600000000001</v>
      </c>
      <c r="H120">
        <v>0</v>
      </c>
      <c r="I120">
        <v>1737389.15</v>
      </c>
      <c r="J120">
        <v>857863.39</v>
      </c>
      <c r="K120">
        <v>0</v>
      </c>
      <c r="L120">
        <v>1141299.43</v>
      </c>
      <c r="M120">
        <v>0</v>
      </c>
      <c r="N120">
        <v>546739.07999999996</v>
      </c>
      <c r="O120">
        <v>387328.1</v>
      </c>
      <c r="P120">
        <v>409486.97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909218.58</v>
      </c>
      <c r="W120">
        <v>0</v>
      </c>
      <c r="X120">
        <v>0</v>
      </c>
      <c r="Y120">
        <v>0</v>
      </c>
      <c r="Z120">
        <v>43737.51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245617.74</v>
      </c>
      <c r="AH120">
        <v>0</v>
      </c>
      <c r="AI120">
        <v>0</v>
      </c>
      <c r="AJ120">
        <v>2344297006.86133</v>
      </c>
    </row>
    <row r="121" spans="1:36" x14ac:dyDescent="0.25">
      <c r="A121" t="s">
        <v>182</v>
      </c>
      <c r="B121" t="s">
        <v>19</v>
      </c>
      <c r="D121">
        <v>5341.97</v>
      </c>
      <c r="E121">
        <v>1871.21</v>
      </c>
      <c r="G121">
        <v>2.7879999999999999E-2</v>
      </c>
      <c r="H121">
        <v>0</v>
      </c>
      <c r="I121">
        <v>282959.34000000003</v>
      </c>
      <c r="J121">
        <v>201226.15</v>
      </c>
      <c r="K121">
        <v>0</v>
      </c>
      <c r="L121">
        <v>282049.05</v>
      </c>
      <c r="M121">
        <v>0</v>
      </c>
      <c r="N121">
        <v>138589.15</v>
      </c>
      <c r="O121">
        <v>29757.39</v>
      </c>
      <c r="P121">
        <v>30820.16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130739.93</v>
      </c>
      <c r="W121">
        <v>0</v>
      </c>
      <c r="X121">
        <v>0</v>
      </c>
      <c r="Y121">
        <v>0</v>
      </c>
      <c r="Z121">
        <v>65854.75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112723.47</v>
      </c>
      <c r="AH121">
        <v>0</v>
      </c>
      <c r="AI121">
        <v>0</v>
      </c>
      <c r="AJ121">
        <v>375847849.230721</v>
      </c>
    </row>
    <row r="122" spans="1:36" x14ac:dyDescent="0.25">
      <c r="A122" t="s">
        <v>183</v>
      </c>
      <c r="B122" t="s">
        <v>19</v>
      </c>
      <c r="C122">
        <v>1871.21</v>
      </c>
      <c r="D122">
        <v>5341.97</v>
      </c>
      <c r="G122">
        <v>2.7879999999999999E-2</v>
      </c>
      <c r="H122">
        <v>0</v>
      </c>
      <c r="I122">
        <v>313885.81</v>
      </c>
      <c r="J122">
        <v>201226.15</v>
      </c>
      <c r="K122">
        <v>0</v>
      </c>
      <c r="L122">
        <v>282049.05</v>
      </c>
      <c r="M122">
        <v>0</v>
      </c>
      <c r="N122">
        <v>138596.95000000001</v>
      </c>
      <c r="O122">
        <v>32925.730000000003</v>
      </c>
      <c r="P122">
        <v>30842.05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130686.94</v>
      </c>
      <c r="W122">
        <v>0</v>
      </c>
      <c r="X122">
        <v>0</v>
      </c>
      <c r="Y122">
        <v>0</v>
      </c>
      <c r="Z122">
        <v>65854.75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112721.09</v>
      </c>
      <c r="AH122">
        <v>0</v>
      </c>
      <c r="AI122">
        <v>0</v>
      </c>
      <c r="AJ122">
        <v>431599725.355928</v>
      </c>
    </row>
    <row r="123" spans="1:36" x14ac:dyDescent="0.25">
      <c r="A123" t="s">
        <v>184</v>
      </c>
      <c r="B123" t="s">
        <v>19</v>
      </c>
      <c r="C123">
        <v>14553.7</v>
      </c>
      <c r="D123">
        <v>41548.28</v>
      </c>
      <c r="G123">
        <v>0.21684600000000001</v>
      </c>
      <c r="H123">
        <v>0</v>
      </c>
      <c r="I123">
        <v>2006825.36</v>
      </c>
      <c r="J123">
        <v>857863.39</v>
      </c>
      <c r="K123">
        <v>0</v>
      </c>
      <c r="L123">
        <v>1141299.43</v>
      </c>
      <c r="M123">
        <v>0</v>
      </c>
      <c r="N123">
        <v>546499.79</v>
      </c>
      <c r="O123">
        <v>446188.21</v>
      </c>
      <c r="P123">
        <v>415995.96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901610.23</v>
      </c>
      <c r="W123">
        <v>0</v>
      </c>
      <c r="X123">
        <v>0</v>
      </c>
      <c r="Y123">
        <v>0</v>
      </c>
      <c r="Z123">
        <v>43737.51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245614.97</v>
      </c>
      <c r="AH123">
        <v>0</v>
      </c>
      <c r="AI123">
        <v>0</v>
      </c>
      <c r="AJ123">
        <v>2626843715.77985</v>
      </c>
    </row>
    <row r="124" spans="1:36" x14ac:dyDescent="0.25">
      <c r="A124" t="s">
        <v>185</v>
      </c>
      <c r="B124" t="s">
        <v>19</v>
      </c>
      <c r="D124">
        <v>84058.97</v>
      </c>
      <c r="E124">
        <v>29444.52</v>
      </c>
      <c r="G124">
        <v>0.43871500000000002</v>
      </c>
      <c r="H124">
        <v>0</v>
      </c>
      <c r="I124">
        <v>3120892.26</v>
      </c>
      <c r="J124">
        <v>1274541.22</v>
      </c>
      <c r="K124">
        <v>0</v>
      </c>
      <c r="L124">
        <v>3553012.2</v>
      </c>
      <c r="M124">
        <v>0</v>
      </c>
      <c r="N124">
        <v>1301551.46</v>
      </c>
      <c r="O124">
        <v>502979.07</v>
      </c>
      <c r="P124">
        <v>533087.80000000005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1101480.07</v>
      </c>
      <c r="W124">
        <v>0</v>
      </c>
      <c r="X124">
        <v>0</v>
      </c>
      <c r="Y124">
        <v>0</v>
      </c>
      <c r="Z124">
        <v>127428.8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659369.1</v>
      </c>
      <c r="AH124">
        <v>0</v>
      </c>
      <c r="AI124">
        <v>0</v>
      </c>
      <c r="AJ124">
        <v>4328772099.7628698</v>
      </c>
    </row>
    <row r="125" spans="1:36" x14ac:dyDescent="0.25">
      <c r="A125" t="s">
        <v>186</v>
      </c>
      <c r="B125" t="s">
        <v>19</v>
      </c>
      <c r="D125">
        <v>6012.55</v>
      </c>
      <c r="E125">
        <v>2106.1</v>
      </c>
      <c r="G125">
        <v>3.1379999999999998E-2</v>
      </c>
      <c r="H125">
        <v>0</v>
      </c>
      <c r="I125">
        <v>315264.05</v>
      </c>
      <c r="J125">
        <v>197273.03</v>
      </c>
      <c r="K125">
        <v>0</v>
      </c>
      <c r="L125">
        <v>258328.15</v>
      </c>
      <c r="M125">
        <v>0</v>
      </c>
      <c r="N125">
        <v>351959.84</v>
      </c>
      <c r="O125">
        <v>34052.33</v>
      </c>
      <c r="P125">
        <v>35861.68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84433.64</v>
      </c>
      <c r="W125">
        <v>0</v>
      </c>
      <c r="X125">
        <v>0</v>
      </c>
      <c r="Y125">
        <v>0</v>
      </c>
      <c r="Z125">
        <v>64094.3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207497.9</v>
      </c>
      <c r="AH125">
        <v>0</v>
      </c>
      <c r="AI125">
        <v>0</v>
      </c>
      <c r="AJ125">
        <v>701135680.06549597</v>
      </c>
    </row>
    <row r="126" spans="1:36" x14ac:dyDescent="0.25">
      <c r="A126" t="s">
        <v>187</v>
      </c>
      <c r="B126" t="s">
        <v>19</v>
      </c>
      <c r="C126">
        <v>2106.1</v>
      </c>
      <c r="D126">
        <v>6012.55</v>
      </c>
      <c r="G126">
        <v>3.1379999999999998E-2</v>
      </c>
      <c r="H126">
        <v>0</v>
      </c>
      <c r="I126">
        <v>339963.35</v>
      </c>
      <c r="J126">
        <v>197273.03</v>
      </c>
      <c r="K126">
        <v>0</v>
      </c>
      <c r="L126">
        <v>258328.15</v>
      </c>
      <c r="M126">
        <v>0</v>
      </c>
      <c r="N126">
        <v>352221.7</v>
      </c>
      <c r="O126">
        <v>38189.42</v>
      </c>
      <c r="P126">
        <v>35869.870000000003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82959.81</v>
      </c>
      <c r="W126">
        <v>0</v>
      </c>
      <c r="X126">
        <v>0</v>
      </c>
      <c r="Y126">
        <v>0</v>
      </c>
      <c r="Z126">
        <v>64094.3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207493.44</v>
      </c>
      <c r="AH126">
        <v>0</v>
      </c>
      <c r="AI126">
        <v>0</v>
      </c>
      <c r="AJ126">
        <v>773439744.44062996</v>
      </c>
    </row>
    <row r="127" spans="1:36" x14ac:dyDescent="0.25">
      <c r="A127" t="s">
        <v>188</v>
      </c>
      <c r="B127" t="s">
        <v>19</v>
      </c>
      <c r="C127">
        <v>29444.52</v>
      </c>
      <c r="D127">
        <v>84058.97</v>
      </c>
      <c r="G127">
        <v>0.43871500000000002</v>
      </c>
      <c r="H127">
        <v>0</v>
      </c>
      <c r="I127">
        <v>3626131.11</v>
      </c>
      <c r="J127">
        <v>1274541.22</v>
      </c>
      <c r="K127">
        <v>0</v>
      </c>
      <c r="L127">
        <v>3553012.2</v>
      </c>
      <c r="M127">
        <v>0</v>
      </c>
      <c r="N127">
        <v>1301504.6299999999</v>
      </c>
      <c r="O127">
        <v>570216.21</v>
      </c>
      <c r="P127">
        <v>534893.54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1106258.8</v>
      </c>
      <c r="W127">
        <v>0</v>
      </c>
      <c r="X127">
        <v>0</v>
      </c>
      <c r="Y127">
        <v>0</v>
      </c>
      <c r="Z127">
        <v>127428.8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659431.07999999996</v>
      </c>
      <c r="AH127">
        <v>0</v>
      </c>
      <c r="AI127">
        <v>0</v>
      </c>
      <c r="AJ127">
        <v>5306186420.3983402</v>
      </c>
    </row>
    <row r="128" spans="1:36" x14ac:dyDescent="0.25">
      <c r="A128" t="s">
        <v>189</v>
      </c>
      <c r="B128" t="s">
        <v>19</v>
      </c>
      <c r="D128">
        <v>35648.49</v>
      </c>
      <c r="E128">
        <v>12487.1</v>
      </c>
      <c r="G128">
        <v>0.186054</v>
      </c>
      <c r="H128">
        <v>0</v>
      </c>
      <c r="I128">
        <v>1238916.08</v>
      </c>
      <c r="J128">
        <v>350734.07</v>
      </c>
      <c r="K128">
        <v>0</v>
      </c>
      <c r="L128">
        <v>936314.72</v>
      </c>
      <c r="M128">
        <v>0</v>
      </c>
      <c r="N128">
        <v>404672.05</v>
      </c>
      <c r="O128">
        <v>305357.28000000003</v>
      </c>
      <c r="P128">
        <v>324102.92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380325.41</v>
      </c>
      <c r="W128">
        <v>0</v>
      </c>
      <c r="X128">
        <v>0</v>
      </c>
      <c r="Y128">
        <v>0</v>
      </c>
      <c r="Z128">
        <v>68627.600000000006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433598.94</v>
      </c>
      <c r="AH128">
        <v>0</v>
      </c>
      <c r="AI128">
        <v>0</v>
      </c>
      <c r="AJ128">
        <v>1819947901.9790399</v>
      </c>
    </row>
    <row r="129" spans="1:36" x14ac:dyDescent="0.25">
      <c r="A129" t="s">
        <v>190</v>
      </c>
      <c r="B129" t="s">
        <v>18</v>
      </c>
      <c r="D129">
        <v>24616.61</v>
      </c>
      <c r="E129">
        <v>8622.81</v>
      </c>
      <c r="G129">
        <v>0.12847700000000001</v>
      </c>
      <c r="H129">
        <v>0</v>
      </c>
      <c r="I129">
        <v>896638.43</v>
      </c>
      <c r="J129">
        <v>774617.57</v>
      </c>
      <c r="K129">
        <v>0</v>
      </c>
      <c r="L129">
        <v>436518</v>
      </c>
      <c r="M129">
        <v>0</v>
      </c>
      <c r="N129">
        <v>273756.88</v>
      </c>
      <c r="O129">
        <v>133795.10999999999</v>
      </c>
      <c r="P129">
        <v>137796.23000000001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386693.48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160078.79</v>
      </c>
      <c r="AH129">
        <v>0</v>
      </c>
      <c r="AI129">
        <v>0</v>
      </c>
      <c r="AJ129">
        <v>1922744189.4756701</v>
      </c>
    </row>
    <row r="130" spans="1:36" x14ac:dyDescent="0.25">
      <c r="A130" t="s">
        <v>191</v>
      </c>
      <c r="B130" t="s">
        <v>18</v>
      </c>
      <c r="D130">
        <v>2505.4899999999998</v>
      </c>
      <c r="E130">
        <v>877.63</v>
      </c>
      <c r="G130">
        <v>1.3076000000000001E-2</v>
      </c>
      <c r="H130">
        <v>0</v>
      </c>
      <c r="I130">
        <v>41312.22</v>
      </c>
      <c r="J130">
        <v>23792.959999999999</v>
      </c>
      <c r="K130">
        <v>0</v>
      </c>
      <c r="L130">
        <v>29466.65</v>
      </c>
      <c r="M130">
        <v>0</v>
      </c>
      <c r="N130">
        <v>113792.72</v>
      </c>
      <c r="O130">
        <v>10126.56</v>
      </c>
      <c r="P130">
        <v>11094.87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215.89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4298.3500000000004</v>
      </c>
      <c r="AH130">
        <v>0</v>
      </c>
      <c r="AI130">
        <v>0</v>
      </c>
      <c r="AJ130">
        <v>141578039.60859099</v>
      </c>
    </row>
    <row r="131" spans="1:36" x14ac:dyDescent="0.25">
      <c r="A131" t="s">
        <v>192</v>
      </c>
      <c r="B131" t="s">
        <v>19</v>
      </c>
      <c r="C131">
        <v>12487.1</v>
      </c>
      <c r="D131">
        <v>35648.49</v>
      </c>
      <c r="G131">
        <v>0.186054</v>
      </c>
      <c r="H131">
        <v>0</v>
      </c>
      <c r="I131">
        <v>1568611.96</v>
      </c>
      <c r="J131">
        <v>350734.07</v>
      </c>
      <c r="K131">
        <v>0</v>
      </c>
      <c r="L131">
        <v>936314.72</v>
      </c>
      <c r="M131">
        <v>0</v>
      </c>
      <c r="N131">
        <v>404628.98</v>
      </c>
      <c r="O131">
        <v>349495.39</v>
      </c>
      <c r="P131">
        <v>327971.84000000003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381193.14</v>
      </c>
      <c r="W131">
        <v>0</v>
      </c>
      <c r="X131">
        <v>0</v>
      </c>
      <c r="Y131">
        <v>0</v>
      </c>
      <c r="Z131">
        <v>68627.600000000006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433643.07</v>
      </c>
      <c r="AH131">
        <v>0</v>
      </c>
      <c r="AI131">
        <v>0</v>
      </c>
      <c r="AJ131">
        <v>1910288323.4442201</v>
      </c>
    </row>
    <row r="132" spans="1:36" x14ac:dyDescent="0.25">
      <c r="A132" t="s">
        <v>193</v>
      </c>
      <c r="B132" t="s">
        <v>18</v>
      </c>
      <c r="C132">
        <v>877.63</v>
      </c>
      <c r="D132">
        <v>2505.4899999999998</v>
      </c>
      <c r="G132">
        <v>1.3076000000000001E-2</v>
      </c>
      <c r="H132">
        <v>0</v>
      </c>
      <c r="I132">
        <v>65263.4</v>
      </c>
      <c r="J132">
        <v>23792.959999999999</v>
      </c>
      <c r="K132">
        <v>0</v>
      </c>
      <c r="L132">
        <v>29466.65</v>
      </c>
      <c r="M132">
        <v>0</v>
      </c>
      <c r="N132">
        <v>113791.57</v>
      </c>
      <c r="O132">
        <v>15684</v>
      </c>
      <c r="P132">
        <v>13684.48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215.89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4298.3500000000004</v>
      </c>
      <c r="AH132">
        <v>0</v>
      </c>
      <c r="AI132">
        <v>0</v>
      </c>
      <c r="AJ132">
        <v>176384523.23069301</v>
      </c>
    </row>
    <row r="133" spans="1:36" x14ac:dyDescent="0.25">
      <c r="A133" t="s">
        <v>194</v>
      </c>
      <c r="B133" t="s">
        <v>18</v>
      </c>
      <c r="C133">
        <v>8622.81</v>
      </c>
      <c r="D133">
        <v>24616.61</v>
      </c>
      <c r="G133">
        <v>0.12847700000000001</v>
      </c>
      <c r="H133">
        <v>0</v>
      </c>
      <c r="I133">
        <v>939176.56</v>
      </c>
      <c r="J133">
        <v>774617.57</v>
      </c>
      <c r="K133">
        <v>0</v>
      </c>
      <c r="L133">
        <v>436518</v>
      </c>
      <c r="M133">
        <v>0</v>
      </c>
      <c r="N133">
        <v>273613.98</v>
      </c>
      <c r="O133">
        <v>153249.06</v>
      </c>
      <c r="P133">
        <v>141332.60999999999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388801.4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160082.06</v>
      </c>
      <c r="AH133">
        <v>0</v>
      </c>
      <c r="AI133">
        <v>0</v>
      </c>
      <c r="AJ133">
        <v>2017842890.6709001</v>
      </c>
    </row>
    <row r="134" spans="1:36" x14ac:dyDescent="0.25">
      <c r="A134" t="s">
        <v>195</v>
      </c>
      <c r="B134" t="s">
        <v>18</v>
      </c>
      <c r="C134">
        <v>11597.22</v>
      </c>
      <c r="D134">
        <v>33108.050000000003</v>
      </c>
      <c r="G134">
        <v>0.172795</v>
      </c>
      <c r="H134">
        <v>0</v>
      </c>
      <c r="I134">
        <v>1433074.95</v>
      </c>
      <c r="J134">
        <v>463682.79</v>
      </c>
      <c r="K134">
        <v>0</v>
      </c>
      <c r="L134">
        <v>831153.37</v>
      </c>
      <c r="M134">
        <v>0</v>
      </c>
      <c r="N134">
        <v>280777.57</v>
      </c>
      <c r="O134">
        <v>320499.63</v>
      </c>
      <c r="P134">
        <v>300312.61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556089.93000000005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104787.08</v>
      </c>
      <c r="AH134">
        <v>0</v>
      </c>
      <c r="AI134">
        <v>0</v>
      </c>
      <c r="AJ134">
        <v>1990275185.1292801</v>
      </c>
    </row>
    <row r="135" spans="1:36" x14ac:dyDescent="0.25">
      <c r="A135" t="s">
        <v>196</v>
      </c>
      <c r="B135" t="s">
        <v>18</v>
      </c>
      <c r="D135">
        <v>5304.23</v>
      </c>
      <c r="E135">
        <v>1857.99</v>
      </c>
      <c r="G135">
        <v>2.7682999999999999E-2</v>
      </c>
      <c r="H135">
        <v>0</v>
      </c>
      <c r="I135">
        <v>256420.95</v>
      </c>
      <c r="J135">
        <v>201226.15</v>
      </c>
      <c r="K135">
        <v>0</v>
      </c>
      <c r="L135">
        <v>282049.05</v>
      </c>
      <c r="M135">
        <v>0</v>
      </c>
      <c r="N135">
        <v>123101.59</v>
      </c>
      <c r="O135">
        <v>28799.91</v>
      </c>
      <c r="P135">
        <v>29765.9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105576.79</v>
      </c>
      <c r="W135">
        <v>0</v>
      </c>
      <c r="X135">
        <v>0</v>
      </c>
      <c r="Y135">
        <v>0</v>
      </c>
      <c r="Z135">
        <v>65854.75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114283.02</v>
      </c>
      <c r="AH135">
        <v>0</v>
      </c>
      <c r="AI135">
        <v>0</v>
      </c>
      <c r="AJ135">
        <v>364407059.45249599</v>
      </c>
    </row>
    <row r="136" spans="1:36" x14ac:dyDescent="0.25">
      <c r="A136" t="s">
        <v>197</v>
      </c>
      <c r="B136" t="s">
        <v>18</v>
      </c>
      <c r="D136">
        <v>33108.050000000003</v>
      </c>
      <c r="E136">
        <v>11597.22</v>
      </c>
      <c r="G136">
        <v>0.172795</v>
      </c>
      <c r="H136">
        <v>0</v>
      </c>
      <c r="I136">
        <v>1153669.7</v>
      </c>
      <c r="J136">
        <v>463682.79</v>
      </c>
      <c r="K136">
        <v>0</v>
      </c>
      <c r="L136">
        <v>831153.37</v>
      </c>
      <c r="M136">
        <v>0</v>
      </c>
      <c r="N136">
        <v>278976.19</v>
      </c>
      <c r="O136">
        <v>277528.7</v>
      </c>
      <c r="P136">
        <v>297676.21999999997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557799.43000000005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104785.89</v>
      </c>
      <c r="AH136">
        <v>0</v>
      </c>
      <c r="AI136">
        <v>0</v>
      </c>
      <c r="AJ136">
        <v>1527407985.83145</v>
      </c>
    </row>
    <row r="137" spans="1:36" x14ac:dyDescent="0.25">
      <c r="A137" t="s">
        <v>198</v>
      </c>
      <c r="B137" t="s">
        <v>18</v>
      </c>
      <c r="C137">
        <v>1857.99</v>
      </c>
      <c r="D137">
        <v>5304.23</v>
      </c>
      <c r="G137">
        <v>2.7682999999999999E-2</v>
      </c>
      <c r="H137">
        <v>0</v>
      </c>
      <c r="I137">
        <v>284369.14</v>
      </c>
      <c r="J137">
        <v>201226.15</v>
      </c>
      <c r="K137">
        <v>0</v>
      </c>
      <c r="L137">
        <v>282049.05</v>
      </c>
      <c r="M137">
        <v>0</v>
      </c>
      <c r="N137">
        <v>123117.58</v>
      </c>
      <c r="O137">
        <v>31849.59</v>
      </c>
      <c r="P137">
        <v>29798.560000000001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105550.53</v>
      </c>
      <c r="W137">
        <v>0</v>
      </c>
      <c r="X137">
        <v>0</v>
      </c>
      <c r="Y137">
        <v>0</v>
      </c>
      <c r="Z137">
        <v>65854.75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114281.87</v>
      </c>
      <c r="AH137">
        <v>0</v>
      </c>
      <c r="AI137">
        <v>0</v>
      </c>
      <c r="AJ137">
        <v>413310361.46036297</v>
      </c>
    </row>
    <row r="138" spans="1:36" x14ac:dyDescent="0.25">
      <c r="A138" t="s">
        <v>199</v>
      </c>
      <c r="B138" t="s">
        <v>18</v>
      </c>
      <c r="D138">
        <v>40699.46</v>
      </c>
      <c r="E138">
        <v>14256.37</v>
      </c>
      <c r="G138">
        <v>0.21241599999999999</v>
      </c>
      <c r="H138">
        <v>0</v>
      </c>
      <c r="I138">
        <v>1551909.58</v>
      </c>
      <c r="J138">
        <v>857863.39</v>
      </c>
      <c r="K138">
        <v>0</v>
      </c>
      <c r="L138">
        <v>1141299.43</v>
      </c>
      <c r="M138">
        <v>0</v>
      </c>
      <c r="N138">
        <v>471875.77</v>
      </c>
      <c r="O138">
        <v>375078.28</v>
      </c>
      <c r="P138">
        <v>395652.1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739596.22</v>
      </c>
      <c r="W138">
        <v>0</v>
      </c>
      <c r="X138">
        <v>0</v>
      </c>
      <c r="Y138">
        <v>0</v>
      </c>
      <c r="Z138">
        <v>43737.51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249023.41</v>
      </c>
      <c r="AH138">
        <v>0</v>
      </c>
      <c r="AI138">
        <v>0</v>
      </c>
      <c r="AJ138">
        <v>2246766593.0402298</v>
      </c>
    </row>
    <row r="139" spans="1:36" x14ac:dyDescent="0.25">
      <c r="A139" t="s">
        <v>200</v>
      </c>
      <c r="B139" t="s">
        <v>18</v>
      </c>
      <c r="C139">
        <v>14256.37</v>
      </c>
      <c r="D139">
        <v>40699.46</v>
      </c>
      <c r="G139">
        <v>0.21241599999999999</v>
      </c>
      <c r="H139">
        <v>0</v>
      </c>
      <c r="I139">
        <v>1824135.7</v>
      </c>
      <c r="J139">
        <v>857863.39</v>
      </c>
      <c r="K139">
        <v>0</v>
      </c>
      <c r="L139">
        <v>1141299.43</v>
      </c>
      <c r="M139">
        <v>0</v>
      </c>
      <c r="N139">
        <v>472077.41</v>
      </c>
      <c r="O139">
        <v>435106.53</v>
      </c>
      <c r="P139">
        <v>403975.13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730856.31</v>
      </c>
      <c r="W139">
        <v>0</v>
      </c>
      <c r="X139">
        <v>0</v>
      </c>
      <c r="Y139">
        <v>0</v>
      </c>
      <c r="Z139">
        <v>43737.51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249031.9</v>
      </c>
      <c r="AH139">
        <v>0</v>
      </c>
      <c r="AI139">
        <v>0</v>
      </c>
      <c r="AJ139">
        <v>2474954366.0676198</v>
      </c>
    </row>
    <row r="140" spans="1:36" x14ac:dyDescent="0.25">
      <c r="A140" t="s">
        <v>201</v>
      </c>
      <c r="B140" t="s">
        <v>18</v>
      </c>
      <c r="D140">
        <v>5855.28</v>
      </c>
      <c r="E140">
        <v>2051.0100000000002</v>
      </c>
      <c r="G140">
        <v>3.056E-2</v>
      </c>
      <c r="H140">
        <v>0</v>
      </c>
      <c r="I140">
        <v>260619.36</v>
      </c>
      <c r="J140">
        <v>197273.03</v>
      </c>
      <c r="K140">
        <v>0</v>
      </c>
      <c r="L140">
        <v>258328.15</v>
      </c>
      <c r="M140">
        <v>0</v>
      </c>
      <c r="N140">
        <v>334658.03999999998</v>
      </c>
      <c r="O140">
        <v>31951.74</v>
      </c>
      <c r="P140">
        <v>34160.980000000003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66094.880000000005</v>
      </c>
      <c r="W140">
        <v>0</v>
      </c>
      <c r="X140">
        <v>0</v>
      </c>
      <c r="Y140">
        <v>0</v>
      </c>
      <c r="Z140">
        <v>64094.3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210399.61</v>
      </c>
      <c r="AH140">
        <v>0</v>
      </c>
      <c r="AI140">
        <v>0</v>
      </c>
      <c r="AJ140">
        <v>621844273.00874496</v>
      </c>
    </row>
    <row r="141" spans="1:36" x14ac:dyDescent="0.25">
      <c r="A141" t="s">
        <v>202</v>
      </c>
      <c r="B141" t="s">
        <v>18</v>
      </c>
      <c r="C141">
        <v>2051.0100000000002</v>
      </c>
      <c r="D141">
        <v>5855.28</v>
      </c>
      <c r="G141">
        <v>3.056E-2</v>
      </c>
      <c r="H141">
        <v>0</v>
      </c>
      <c r="I141">
        <v>300041.8</v>
      </c>
      <c r="J141">
        <v>197273.03</v>
      </c>
      <c r="K141">
        <v>0</v>
      </c>
      <c r="L141">
        <v>258328.15</v>
      </c>
      <c r="M141">
        <v>0</v>
      </c>
      <c r="N141">
        <v>334829.65000000002</v>
      </c>
      <c r="O141">
        <v>36460.99</v>
      </c>
      <c r="P141">
        <v>34206.660000000003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65832.149999999994</v>
      </c>
      <c r="W141">
        <v>0</v>
      </c>
      <c r="X141">
        <v>0</v>
      </c>
      <c r="Y141">
        <v>0</v>
      </c>
      <c r="Z141">
        <v>64094.3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210398.35</v>
      </c>
      <c r="AH141">
        <v>0</v>
      </c>
      <c r="AI141">
        <v>0</v>
      </c>
      <c r="AJ141">
        <v>711321520.96908402</v>
      </c>
    </row>
    <row r="142" spans="1:36" x14ac:dyDescent="0.25">
      <c r="A142" t="s">
        <v>203</v>
      </c>
      <c r="B142" t="s">
        <v>18</v>
      </c>
      <c r="D142">
        <v>82729.37</v>
      </c>
      <c r="E142">
        <v>28978.78</v>
      </c>
      <c r="G142">
        <v>0.43177599999999999</v>
      </c>
      <c r="H142">
        <v>0</v>
      </c>
      <c r="I142">
        <v>2846421.33</v>
      </c>
      <c r="J142">
        <v>1274541.22</v>
      </c>
      <c r="K142">
        <v>0</v>
      </c>
      <c r="L142">
        <v>3553012.2</v>
      </c>
      <c r="M142">
        <v>0</v>
      </c>
      <c r="N142">
        <v>1223243.28</v>
      </c>
      <c r="O142">
        <v>480392.2</v>
      </c>
      <c r="P142">
        <v>509303.44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940257.93</v>
      </c>
      <c r="W142">
        <v>0</v>
      </c>
      <c r="X142">
        <v>0</v>
      </c>
      <c r="Y142">
        <v>0</v>
      </c>
      <c r="Z142">
        <v>127428.8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668519.11</v>
      </c>
      <c r="AH142">
        <v>0</v>
      </c>
      <c r="AI142">
        <v>0</v>
      </c>
      <c r="AJ142">
        <v>4081664503.5794802</v>
      </c>
    </row>
    <row r="143" spans="1:36" x14ac:dyDescent="0.25">
      <c r="A143" t="s">
        <v>204</v>
      </c>
      <c r="B143" t="s">
        <v>17</v>
      </c>
      <c r="D143">
        <v>23521.25</v>
      </c>
      <c r="E143">
        <v>8239.1200000000008</v>
      </c>
      <c r="G143">
        <v>0.122761</v>
      </c>
      <c r="H143">
        <v>0</v>
      </c>
      <c r="I143">
        <v>848652.35</v>
      </c>
      <c r="J143">
        <v>774617.57</v>
      </c>
      <c r="K143">
        <v>0</v>
      </c>
      <c r="L143">
        <v>436518</v>
      </c>
      <c r="M143">
        <v>0</v>
      </c>
      <c r="N143">
        <v>277105.5</v>
      </c>
      <c r="O143">
        <v>131743.54</v>
      </c>
      <c r="P143">
        <v>135418.57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316984.67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160360.87</v>
      </c>
      <c r="AH143">
        <v>0</v>
      </c>
      <c r="AI143">
        <v>0</v>
      </c>
      <c r="AJ143">
        <v>2080774574.10794</v>
      </c>
    </row>
    <row r="144" spans="1:36" x14ac:dyDescent="0.25">
      <c r="A144" t="s">
        <v>205</v>
      </c>
      <c r="B144" t="s">
        <v>18</v>
      </c>
      <c r="D144">
        <v>35165.43</v>
      </c>
      <c r="E144">
        <v>12317.89</v>
      </c>
      <c r="G144">
        <v>0.183533</v>
      </c>
      <c r="H144">
        <v>0</v>
      </c>
      <c r="I144">
        <v>982157.24</v>
      </c>
      <c r="J144">
        <v>350734.07</v>
      </c>
      <c r="K144">
        <v>0</v>
      </c>
      <c r="L144">
        <v>936314.72</v>
      </c>
      <c r="M144">
        <v>0</v>
      </c>
      <c r="N144">
        <v>325090.01</v>
      </c>
      <c r="O144">
        <v>293306.18</v>
      </c>
      <c r="P144">
        <v>315030.58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204240.78</v>
      </c>
      <c r="W144">
        <v>0</v>
      </c>
      <c r="X144">
        <v>0</v>
      </c>
      <c r="Y144">
        <v>0</v>
      </c>
      <c r="Z144">
        <v>68627.600000000006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439685.55</v>
      </c>
      <c r="AH144">
        <v>0</v>
      </c>
      <c r="AI144">
        <v>0</v>
      </c>
      <c r="AJ144">
        <v>1443389453.5013101</v>
      </c>
    </row>
    <row r="145" spans="1:36" x14ac:dyDescent="0.25">
      <c r="A145" t="s">
        <v>206</v>
      </c>
      <c r="B145" t="s">
        <v>17</v>
      </c>
      <c r="C145">
        <v>8239.1200000000008</v>
      </c>
      <c r="D145">
        <v>23521.25</v>
      </c>
      <c r="G145">
        <v>0.122761</v>
      </c>
      <c r="H145">
        <v>0</v>
      </c>
      <c r="I145">
        <v>894199.43</v>
      </c>
      <c r="J145">
        <v>774617.57</v>
      </c>
      <c r="K145">
        <v>0</v>
      </c>
      <c r="L145">
        <v>436518</v>
      </c>
      <c r="M145">
        <v>0</v>
      </c>
      <c r="N145">
        <v>276858.93</v>
      </c>
      <c r="O145">
        <v>149410.89000000001</v>
      </c>
      <c r="P145">
        <v>138637.85999999999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322058.06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160360.91</v>
      </c>
      <c r="AH145">
        <v>0</v>
      </c>
      <c r="AI145">
        <v>0</v>
      </c>
      <c r="AJ145">
        <v>2126943984.66644</v>
      </c>
    </row>
    <row r="146" spans="1:36" x14ac:dyDescent="0.25">
      <c r="A146" t="s">
        <v>207</v>
      </c>
      <c r="B146" t="s">
        <v>18</v>
      </c>
      <c r="C146">
        <v>28978.78</v>
      </c>
      <c r="D146">
        <v>82729.37</v>
      </c>
      <c r="G146">
        <v>0.43177599999999999</v>
      </c>
      <c r="H146">
        <v>0</v>
      </c>
      <c r="I146">
        <v>3306539.81</v>
      </c>
      <c r="J146">
        <v>1274541.22</v>
      </c>
      <c r="K146">
        <v>0</v>
      </c>
      <c r="L146">
        <v>3553012.2</v>
      </c>
      <c r="M146">
        <v>0</v>
      </c>
      <c r="N146">
        <v>1223412.8400000001</v>
      </c>
      <c r="O146">
        <v>546512.82999999996</v>
      </c>
      <c r="P146">
        <v>511290.61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944485.08</v>
      </c>
      <c r="W146">
        <v>0</v>
      </c>
      <c r="X146">
        <v>0</v>
      </c>
      <c r="Y146">
        <v>0</v>
      </c>
      <c r="Z146">
        <v>127428.8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668760.93000000005</v>
      </c>
      <c r="AH146">
        <v>0</v>
      </c>
      <c r="AI146">
        <v>0</v>
      </c>
      <c r="AJ146">
        <v>4947875351.1533499</v>
      </c>
    </row>
    <row r="147" spans="1:36" x14ac:dyDescent="0.25">
      <c r="A147" t="s">
        <v>208</v>
      </c>
      <c r="B147" t="s">
        <v>18</v>
      </c>
      <c r="C147">
        <v>12317.89</v>
      </c>
      <c r="D147">
        <v>35165.43</v>
      </c>
      <c r="G147">
        <v>0.183533</v>
      </c>
      <c r="H147">
        <v>0</v>
      </c>
      <c r="I147">
        <v>1429957.29</v>
      </c>
      <c r="J147">
        <v>350734.07</v>
      </c>
      <c r="K147">
        <v>0</v>
      </c>
      <c r="L147">
        <v>936314.72</v>
      </c>
      <c r="M147">
        <v>0</v>
      </c>
      <c r="N147">
        <v>324844.38</v>
      </c>
      <c r="O147">
        <v>341239.51</v>
      </c>
      <c r="P147">
        <v>319990.17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207737.42</v>
      </c>
      <c r="W147">
        <v>0</v>
      </c>
      <c r="X147">
        <v>0</v>
      </c>
      <c r="Y147">
        <v>0</v>
      </c>
      <c r="Z147">
        <v>68627.600000000006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439720.13</v>
      </c>
      <c r="AH147">
        <v>0</v>
      </c>
      <c r="AI147">
        <v>0</v>
      </c>
      <c r="AJ147">
        <v>1716578056.1805799</v>
      </c>
    </row>
    <row r="148" spans="1:36" x14ac:dyDescent="0.25">
      <c r="A148" t="s">
        <v>209</v>
      </c>
      <c r="B148" t="s">
        <v>17</v>
      </c>
      <c r="D148">
        <v>2325.15</v>
      </c>
      <c r="E148">
        <v>814.46</v>
      </c>
      <c r="G148">
        <v>1.2135E-2</v>
      </c>
      <c r="H148">
        <v>0</v>
      </c>
      <c r="I148">
        <v>37398.94</v>
      </c>
      <c r="J148">
        <v>23792.959999999999</v>
      </c>
      <c r="K148">
        <v>0</v>
      </c>
      <c r="L148">
        <v>29466.65</v>
      </c>
      <c r="M148">
        <v>0</v>
      </c>
      <c r="N148">
        <v>105524.53</v>
      </c>
      <c r="O148">
        <v>8971.5</v>
      </c>
      <c r="P148">
        <v>9897.44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77.739999999999995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4304.7299999999996</v>
      </c>
      <c r="AH148">
        <v>0</v>
      </c>
      <c r="AI148">
        <v>0</v>
      </c>
      <c r="AJ148">
        <v>129485721.042743</v>
      </c>
    </row>
    <row r="149" spans="1:36" x14ac:dyDescent="0.25">
      <c r="A149" t="s">
        <v>210</v>
      </c>
      <c r="B149" t="s">
        <v>17</v>
      </c>
      <c r="C149">
        <v>814.46</v>
      </c>
      <c r="D149">
        <v>2325.15</v>
      </c>
      <c r="G149">
        <v>1.2135E-2</v>
      </c>
      <c r="H149">
        <v>0</v>
      </c>
      <c r="I149">
        <v>55937.57</v>
      </c>
      <c r="J149">
        <v>23792.959999999999</v>
      </c>
      <c r="K149">
        <v>0</v>
      </c>
      <c r="L149">
        <v>29466.65</v>
      </c>
      <c r="M149">
        <v>0</v>
      </c>
      <c r="N149">
        <v>105526.17</v>
      </c>
      <c r="O149">
        <v>14740.9</v>
      </c>
      <c r="P149">
        <v>13068.72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77.73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4304.7299999999996</v>
      </c>
      <c r="AH149">
        <v>0</v>
      </c>
      <c r="AI149">
        <v>0</v>
      </c>
      <c r="AJ149">
        <v>159465511.28853601</v>
      </c>
    </row>
    <row r="150" spans="1:36" x14ac:dyDescent="0.25">
      <c r="A150" t="s">
        <v>211</v>
      </c>
      <c r="B150" t="s">
        <v>17</v>
      </c>
      <c r="C150">
        <v>10779.37</v>
      </c>
      <c r="D150">
        <v>30773.22</v>
      </c>
      <c r="G150">
        <v>0.16061</v>
      </c>
      <c r="H150">
        <v>0</v>
      </c>
      <c r="I150">
        <v>1355737.28</v>
      </c>
      <c r="J150">
        <v>463682.79</v>
      </c>
      <c r="K150">
        <v>0</v>
      </c>
      <c r="L150">
        <v>831153.37</v>
      </c>
      <c r="M150">
        <v>0</v>
      </c>
      <c r="N150">
        <v>279757.88</v>
      </c>
      <c r="O150">
        <v>312452.73</v>
      </c>
      <c r="P150">
        <v>293480.56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491993.8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104968.26</v>
      </c>
      <c r="AH150">
        <v>0</v>
      </c>
      <c r="AI150">
        <v>0</v>
      </c>
      <c r="AJ150">
        <v>1958838226.0883501</v>
      </c>
    </row>
    <row r="151" spans="1:36" x14ac:dyDescent="0.25">
      <c r="A151" t="s">
        <v>212</v>
      </c>
      <c r="B151" t="s">
        <v>17</v>
      </c>
      <c r="D151">
        <v>30773.22</v>
      </c>
      <c r="E151">
        <v>10779.37</v>
      </c>
      <c r="G151">
        <v>0.16061</v>
      </c>
      <c r="H151">
        <v>0</v>
      </c>
      <c r="I151">
        <v>1130811.83</v>
      </c>
      <c r="J151">
        <v>463682.79</v>
      </c>
      <c r="K151">
        <v>0</v>
      </c>
      <c r="L151">
        <v>831153.37</v>
      </c>
      <c r="M151">
        <v>0</v>
      </c>
      <c r="N151">
        <v>278966.89</v>
      </c>
      <c r="O151">
        <v>271826.37</v>
      </c>
      <c r="P151">
        <v>292240.86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498789.47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104973.84</v>
      </c>
      <c r="AH151">
        <v>0</v>
      </c>
      <c r="AI151">
        <v>0</v>
      </c>
      <c r="AJ151">
        <v>1557283199.4506199</v>
      </c>
    </row>
    <row r="152" spans="1:36" x14ac:dyDescent="0.25">
      <c r="A152" t="s">
        <v>213</v>
      </c>
      <c r="B152" t="s">
        <v>17</v>
      </c>
      <c r="D152">
        <v>4929.2700000000004</v>
      </c>
      <c r="E152">
        <v>1726.65</v>
      </c>
      <c r="G152">
        <v>2.5727E-2</v>
      </c>
      <c r="H152">
        <v>0</v>
      </c>
      <c r="I152">
        <v>258365.98</v>
      </c>
      <c r="J152">
        <v>201226.15</v>
      </c>
      <c r="K152">
        <v>0</v>
      </c>
      <c r="L152">
        <v>282049.05</v>
      </c>
      <c r="M152">
        <v>0</v>
      </c>
      <c r="N152">
        <v>111852.9</v>
      </c>
      <c r="O152">
        <v>28647.25</v>
      </c>
      <c r="P152">
        <v>29209.73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88075.68</v>
      </c>
      <c r="W152">
        <v>0</v>
      </c>
      <c r="X152">
        <v>0</v>
      </c>
      <c r="Y152">
        <v>0</v>
      </c>
      <c r="Z152">
        <v>65854.75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114478.96</v>
      </c>
      <c r="AH152">
        <v>0</v>
      </c>
      <c r="AI152">
        <v>0</v>
      </c>
      <c r="AJ152">
        <v>381033678.66586798</v>
      </c>
    </row>
    <row r="153" spans="1:36" x14ac:dyDescent="0.25">
      <c r="A153" t="s">
        <v>214</v>
      </c>
      <c r="B153" t="s">
        <v>17</v>
      </c>
      <c r="C153">
        <v>1726.65</v>
      </c>
      <c r="D153">
        <v>4929.2700000000004</v>
      </c>
      <c r="G153">
        <v>2.5727E-2</v>
      </c>
      <c r="H153">
        <v>0</v>
      </c>
      <c r="I153">
        <v>270774.34999999998</v>
      </c>
      <c r="J153">
        <v>201226.15</v>
      </c>
      <c r="K153">
        <v>0</v>
      </c>
      <c r="L153">
        <v>282049.05</v>
      </c>
      <c r="M153">
        <v>0</v>
      </c>
      <c r="N153">
        <v>111868.52</v>
      </c>
      <c r="O153">
        <v>31190.09</v>
      </c>
      <c r="P153">
        <v>29222.62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88082.43</v>
      </c>
      <c r="W153">
        <v>0</v>
      </c>
      <c r="X153">
        <v>0</v>
      </c>
      <c r="Y153">
        <v>0</v>
      </c>
      <c r="Z153">
        <v>65854.75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114483.69</v>
      </c>
      <c r="AH153">
        <v>0</v>
      </c>
      <c r="AI153">
        <v>0</v>
      </c>
      <c r="AJ153">
        <v>400423417.22647798</v>
      </c>
    </row>
    <row r="154" spans="1:36" x14ac:dyDescent="0.25">
      <c r="A154" t="s">
        <v>215</v>
      </c>
      <c r="B154" t="s">
        <v>17</v>
      </c>
      <c r="D154">
        <v>38730.120000000003</v>
      </c>
      <c r="E154">
        <v>13566.54</v>
      </c>
      <c r="G154">
        <v>0.20213800000000001</v>
      </c>
      <c r="H154">
        <v>0</v>
      </c>
      <c r="I154">
        <v>1439821.78</v>
      </c>
      <c r="J154">
        <v>857863.39</v>
      </c>
      <c r="K154">
        <v>0</v>
      </c>
      <c r="L154">
        <v>1141299.43</v>
      </c>
      <c r="M154">
        <v>0</v>
      </c>
      <c r="N154">
        <v>409183.65</v>
      </c>
      <c r="O154">
        <v>363494.62</v>
      </c>
      <c r="P154">
        <v>391370.61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545747.41</v>
      </c>
      <c r="W154">
        <v>0</v>
      </c>
      <c r="X154">
        <v>0</v>
      </c>
      <c r="Y154">
        <v>0</v>
      </c>
      <c r="Z154">
        <v>43737.51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249459.29</v>
      </c>
      <c r="AH154">
        <v>0</v>
      </c>
      <c r="AI154">
        <v>0</v>
      </c>
      <c r="AJ154">
        <v>2460465906.3173599</v>
      </c>
    </row>
    <row r="155" spans="1:36" x14ac:dyDescent="0.25">
      <c r="A155" t="s">
        <v>216</v>
      </c>
      <c r="B155" t="s">
        <v>17</v>
      </c>
      <c r="C155">
        <v>1918.23</v>
      </c>
      <c r="D155">
        <v>5476.21</v>
      </c>
      <c r="G155">
        <v>2.8580999999999999E-2</v>
      </c>
      <c r="H155">
        <v>0</v>
      </c>
      <c r="I155">
        <v>256932.55</v>
      </c>
      <c r="J155">
        <v>197273.03</v>
      </c>
      <c r="K155">
        <v>0</v>
      </c>
      <c r="L155">
        <v>258328.15</v>
      </c>
      <c r="M155">
        <v>0</v>
      </c>
      <c r="N155">
        <v>332607.19</v>
      </c>
      <c r="O155">
        <v>34975.46</v>
      </c>
      <c r="P155">
        <v>32888.639999999999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45852.67</v>
      </c>
      <c r="W155">
        <v>0</v>
      </c>
      <c r="X155">
        <v>0</v>
      </c>
      <c r="Y155">
        <v>0</v>
      </c>
      <c r="Z155">
        <v>64094.3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210772.48000000001</v>
      </c>
      <c r="AH155">
        <v>0</v>
      </c>
      <c r="AI155">
        <v>0</v>
      </c>
      <c r="AJ155">
        <v>663049648.01214898</v>
      </c>
    </row>
    <row r="156" spans="1:36" x14ac:dyDescent="0.25">
      <c r="A156" t="s">
        <v>217</v>
      </c>
      <c r="B156" t="s">
        <v>17</v>
      </c>
      <c r="C156">
        <v>13566.54</v>
      </c>
      <c r="D156">
        <v>38730.120000000003</v>
      </c>
      <c r="G156">
        <v>0.20213800000000001</v>
      </c>
      <c r="H156">
        <v>0</v>
      </c>
      <c r="I156">
        <v>1701708.7</v>
      </c>
      <c r="J156">
        <v>857863.39</v>
      </c>
      <c r="K156">
        <v>0</v>
      </c>
      <c r="L156">
        <v>1141299.43</v>
      </c>
      <c r="M156">
        <v>0</v>
      </c>
      <c r="N156">
        <v>411413.69</v>
      </c>
      <c r="O156">
        <v>421911.93</v>
      </c>
      <c r="P156">
        <v>395585.27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525400.80000000005</v>
      </c>
      <c r="W156">
        <v>0</v>
      </c>
      <c r="X156">
        <v>0</v>
      </c>
      <c r="Y156">
        <v>0</v>
      </c>
      <c r="Z156">
        <v>43737.51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249462.94</v>
      </c>
      <c r="AH156">
        <v>0</v>
      </c>
      <c r="AI156">
        <v>0</v>
      </c>
      <c r="AJ156">
        <v>2581295111.4147501</v>
      </c>
    </row>
    <row r="157" spans="1:36" x14ac:dyDescent="0.25">
      <c r="A157" t="s">
        <v>218</v>
      </c>
      <c r="B157" t="s">
        <v>17</v>
      </c>
      <c r="D157">
        <v>5476.21</v>
      </c>
      <c r="E157">
        <v>1918.23</v>
      </c>
      <c r="G157">
        <v>2.8580999999999999E-2</v>
      </c>
      <c r="H157">
        <v>0</v>
      </c>
      <c r="I157">
        <v>233009.09</v>
      </c>
      <c r="J157">
        <v>197273.03</v>
      </c>
      <c r="K157">
        <v>0</v>
      </c>
      <c r="L157">
        <v>258328.15</v>
      </c>
      <c r="M157">
        <v>0</v>
      </c>
      <c r="N157">
        <v>332488.65999999997</v>
      </c>
      <c r="O157">
        <v>31065.46</v>
      </c>
      <c r="P157">
        <v>32868.51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47458.48</v>
      </c>
      <c r="W157">
        <v>0</v>
      </c>
      <c r="X157">
        <v>0</v>
      </c>
      <c r="Y157">
        <v>0</v>
      </c>
      <c r="Z157">
        <v>64094.3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210774.78</v>
      </c>
      <c r="AH157">
        <v>0</v>
      </c>
      <c r="AI157">
        <v>0</v>
      </c>
      <c r="AJ157">
        <v>598609974.00428796</v>
      </c>
    </row>
    <row r="158" spans="1:36" x14ac:dyDescent="0.25">
      <c r="A158" t="s">
        <v>219</v>
      </c>
      <c r="B158" t="s">
        <v>17</v>
      </c>
      <c r="D158">
        <v>32761.73</v>
      </c>
      <c r="E158">
        <v>11475.91</v>
      </c>
      <c r="G158">
        <v>0.170988</v>
      </c>
      <c r="H158">
        <v>0</v>
      </c>
      <c r="I158">
        <v>952329.75</v>
      </c>
      <c r="J158">
        <v>350734.07</v>
      </c>
      <c r="K158">
        <v>0</v>
      </c>
      <c r="L158">
        <v>936314.72</v>
      </c>
      <c r="M158">
        <v>0</v>
      </c>
      <c r="N158">
        <v>325690.06</v>
      </c>
      <c r="O158">
        <v>280886.81</v>
      </c>
      <c r="P158">
        <v>302120.61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166418.81</v>
      </c>
      <c r="W158">
        <v>0</v>
      </c>
      <c r="X158">
        <v>0</v>
      </c>
      <c r="Y158">
        <v>0</v>
      </c>
      <c r="Z158">
        <v>68627.600000000006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440567.05</v>
      </c>
      <c r="AH158">
        <v>0</v>
      </c>
      <c r="AI158">
        <v>0</v>
      </c>
      <c r="AJ158">
        <v>1470041628.2316599</v>
      </c>
    </row>
    <row r="159" spans="1:36" x14ac:dyDescent="0.25">
      <c r="A159" t="s">
        <v>220</v>
      </c>
      <c r="B159" t="s">
        <v>17</v>
      </c>
      <c r="C159">
        <v>27498.13</v>
      </c>
      <c r="D159">
        <v>78502.37</v>
      </c>
      <c r="G159">
        <v>0.409715</v>
      </c>
      <c r="H159">
        <v>0</v>
      </c>
      <c r="I159">
        <v>3118809.08</v>
      </c>
      <c r="J159">
        <v>1274541.22</v>
      </c>
      <c r="K159">
        <v>0</v>
      </c>
      <c r="L159">
        <v>3553012.2</v>
      </c>
      <c r="M159">
        <v>0</v>
      </c>
      <c r="N159">
        <v>1200884.32</v>
      </c>
      <c r="O159">
        <v>535168.64</v>
      </c>
      <c r="P159">
        <v>502429.98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856302.67</v>
      </c>
      <c r="W159">
        <v>0</v>
      </c>
      <c r="X159">
        <v>0</v>
      </c>
      <c r="Y159">
        <v>0</v>
      </c>
      <c r="Z159">
        <v>127428.8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669845.18999999994</v>
      </c>
      <c r="AH159">
        <v>0</v>
      </c>
      <c r="AI159">
        <v>0</v>
      </c>
      <c r="AJ159">
        <v>4738543211.6895304</v>
      </c>
    </row>
    <row r="160" spans="1:36" x14ac:dyDescent="0.25">
      <c r="A160" t="s">
        <v>221</v>
      </c>
      <c r="B160" t="s">
        <v>17</v>
      </c>
      <c r="D160">
        <v>78502.37</v>
      </c>
      <c r="E160">
        <v>27498.13</v>
      </c>
      <c r="G160">
        <v>0.409715</v>
      </c>
      <c r="H160">
        <v>0</v>
      </c>
      <c r="I160">
        <v>2757916.95</v>
      </c>
      <c r="J160">
        <v>1274541.22</v>
      </c>
      <c r="K160">
        <v>0</v>
      </c>
      <c r="L160">
        <v>3553012.2</v>
      </c>
      <c r="M160">
        <v>0</v>
      </c>
      <c r="N160">
        <v>1199956.79</v>
      </c>
      <c r="O160">
        <v>475069.55</v>
      </c>
      <c r="P160">
        <v>501295.04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853637.05</v>
      </c>
      <c r="W160">
        <v>0</v>
      </c>
      <c r="X160">
        <v>0</v>
      </c>
      <c r="Y160">
        <v>0</v>
      </c>
      <c r="Z160">
        <v>127428.8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669785.75</v>
      </c>
      <c r="AH160">
        <v>0</v>
      </c>
      <c r="AI160">
        <v>0</v>
      </c>
      <c r="AJ160">
        <v>4285778727.4356899</v>
      </c>
    </row>
    <row r="161" spans="1:36" x14ac:dyDescent="0.25">
      <c r="A161" t="s">
        <v>222</v>
      </c>
      <c r="B161" t="s">
        <v>17</v>
      </c>
      <c r="C161">
        <v>11475.91</v>
      </c>
      <c r="D161">
        <v>32761.73</v>
      </c>
      <c r="G161">
        <v>0.170988</v>
      </c>
      <c r="H161">
        <v>0</v>
      </c>
      <c r="I161">
        <v>1327208.04</v>
      </c>
      <c r="J161">
        <v>350734.07</v>
      </c>
      <c r="K161">
        <v>0</v>
      </c>
      <c r="L161">
        <v>936314.72</v>
      </c>
      <c r="M161">
        <v>0</v>
      </c>
      <c r="N161">
        <v>325814.03000000003</v>
      </c>
      <c r="O161">
        <v>323279.40000000002</v>
      </c>
      <c r="P161">
        <v>304095.23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166102.47</v>
      </c>
      <c r="W161">
        <v>0</v>
      </c>
      <c r="X161">
        <v>0</v>
      </c>
      <c r="Y161">
        <v>0</v>
      </c>
      <c r="Z161">
        <v>68627.600000000006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440535.58</v>
      </c>
      <c r="AH161">
        <v>0</v>
      </c>
      <c r="AI161">
        <v>0</v>
      </c>
      <c r="AJ161">
        <v>1721510964.1675899</v>
      </c>
    </row>
    <row r="162" spans="1:36" x14ac:dyDescent="0.25">
      <c r="A162" t="s">
        <v>223</v>
      </c>
      <c r="B162" t="s">
        <v>16</v>
      </c>
      <c r="D162">
        <v>22512</v>
      </c>
      <c r="E162">
        <v>7885.59</v>
      </c>
      <c r="G162">
        <v>0.117493</v>
      </c>
      <c r="H162">
        <v>0</v>
      </c>
      <c r="I162">
        <v>730108.13</v>
      </c>
      <c r="J162">
        <v>774617.57</v>
      </c>
      <c r="K162">
        <v>0</v>
      </c>
      <c r="L162">
        <v>436518</v>
      </c>
      <c r="M162">
        <v>0</v>
      </c>
      <c r="N162">
        <v>227618.63</v>
      </c>
      <c r="O162">
        <v>120502.11</v>
      </c>
      <c r="P162">
        <v>125045.98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187208.49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162396.91</v>
      </c>
      <c r="AH162">
        <v>0</v>
      </c>
      <c r="AI162">
        <v>0</v>
      </c>
      <c r="AJ162">
        <v>1879081168.2969601</v>
      </c>
    </row>
    <row r="163" spans="1:36" x14ac:dyDescent="0.25">
      <c r="A163" t="s">
        <v>224</v>
      </c>
      <c r="B163" t="s">
        <v>16</v>
      </c>
      <c r="D163">
        <v>2323.52</v>
      </c>
      <c r="E163">
        <v>813.89</v>
      </c>
      <c r="G163">
        <v>1.2127000000000001E-2</v>
      </c>
      <c r="H163">
        <v>0</v>
      </c>
      <c r="I163">
        <v>30017.95</v>
      </c>
      <c r="J163">
        <v>23792.959999999999</v>
      </c>
      <c r="K163">
        <v>0</v>
      </c>
      <c r="L163">
        <v>29466.65</v>
      </c>
      <c r="M163">
        <v>0</v>
      </c>
      <c r="N163">
        <v>108148.41</v>
      </c>
      <c r="O163">
        <v>8457.7900000000009</v>
      </c>
      <c r="P163">
        <v>9303.33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115.72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4351.87</v>
      </c>
      <c r="AH163">
        <v>0</v>
      </c>
      <c r="AI163">
        <v>0</v>
      </c>
      <c r="AJ163">
        <v>114561401.915198</v>
      </c>
    </row>
    <row r="164" spans="1:36" x14ac:dyDescent="0.25">
      <c r="A164" t="s">
        <v>225</v>
      </c>
      <c r="B164" t="s">
        <v>16</v>
      </c>
      <c r="C164">
        <v>7885.59</v>
      </c>
      <c r="D164">
        <v>22512</v>
      </c>
      <c r="G164">
        <v>0.117493</v>
      </c>
      <c r="H164">
        <v>0</v>
      </c>
      <c r="I164">
        <v>755659.01</v>
      </c>
      <c r="J164">
        <v>774617.57</v>
      </c>
      <c r="K164">
        <v>0</v>
      </c>
      <c r="L164">
        <v>436518</v>
      </c>
      <c r="M164">
        <v>0</v>
      </c>
      <c r="N164">
        <v>227658.66</v>
      </c>
      <c r="O164">
        <v>139215.53</v>
      </c>
      <c r="P164">
        <v>128855.74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189480.48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162393.85999999999</v>
      </c>
      <c r="AH164">
        <v>0</v>
      </c>
      <c r="AI164">
        <v>0</v>
      </c>
      <c r="AJ164">
        <v>1907844656.7614701</v>
      </c>
    </row>
    <row r="165" spans="1:36" x14ac:dyDescent="0.25">
      <c r="A165" t="s">
        <v>226</v>
      </c>
      <c r="B165" t="s">
        <v>16</v>
      </c>
      <c r="C165">
        <v>813.89</v>
      </c>
      <c r="D165">
        <v>2323.52</v>
      </c>
      <c r="G165">
        <v>1.2127000000000001E-2</v>
      </c>
      <c r="H165">
        <v>0</v>
      </c>
      <c r="I165">
        <v>44640.2</v>
      </c>
      <c r="J165">
        <v>23792.959999999999</v>
      </c>
      <c r="K165">
        <v>0</v>
      </c>
      <c r="L165">
        <v>29466.65</v>
      </c>
      <c r="M165">
        <v>0</v>
      </c>
      <c r="N165">
        <v>108147.31</v>
      </c>
      <c r="O165">
        <v>14279.21</v>
      </c>
      <c r="P165">
        <v>12607.38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115.72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4351.87</v>
      </c>
      <c r="AH165">
        <v>0</v>
      </c>
      <c r="AI165">
        <v>0</v>
      </c>
      <c r="AJ165">
        <v>133751214.87320299</v>
      </c>
    </row>
    <row r="166" spans="1:36" x14ac:dyDescent="0.25">
      <c r="A166" t="s">
        <v>227</v>
      </c>
      <c r="B166" t="s">
        <v>16</v>
      </c>
      <c r="D166">
        <v>30575.87</v>
      </c>
      <c r="E166">
        <v>10710.24</v>
      </c>
      <c r="G166">
        <v>0.15958</v>
      </c>
      <c r="H166">
        <v>0</v>
      </c>
      <c r="I166">
        <v>1057465.6100000001</v>
      </c>
      <c r="J166">
        <v>463682.79</v>
      </c>
      <c r="K166">
        <v>0</v>
      </c>
      <c r="L166">
        <v>831153.37</v>
      </c>
      <c r="M166">
        <v>0</v>
      </c>
      <c r="N166">
        <v>253487.47</v>
      </c>
      <c r="O166">
        <v>266537.40000000002</v>
      </c>
      <c r="P166">
        <v>287665.67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410618.59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106295.79</v>
      </c>
      <c r="AH166">
        <v>0</v>
      </c>
      <c r="AI166">
        <v>0</v>
      </c>
      <c r="AJ166">
        <v>1456214409.51529</v>
      </c>
    </row>
    <row r="167" spans="1:36" x14ac:dyDescent="0.25">
      <c r="A167" t="s">
        <v>228</v>
      </c>
      <c r="B167" t="s">
        <v>16</v>
      </c>
      <c r="D167">
        <v>4838.79</v>
      </c>
      <c r="E167">
        <v>1694.95</v>
      </c>
      <c r="G167">
        <v>2.5253999999999999E-2</v>
      </c>
      <c r="H167">
        <v>0</v>
      </c>
      <c r="I167">
        <v>236156.4</v>
      </c>
      <c r="J167">
        <v>201226.15</v>
      </c>
      <c r="K167">
        <v>0</v>
      </c>
      <c r="L167">
        <v>282049.05</v>
      </c>
      <c r="M167">
        <v>0</v>
      </c>
      <c r="N167">
        <v>103252.13</v>
      </c>
      <c r="O167">
        <v>26870.18</v>
      </c>
      <c r="P167">
        <v>27751.09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69251.58</v>
      </c>
      <c r="W167">
        <v>0</v>
      </c>
      <c r="X167">
        <v>0</v>
      </c>
      <c r="Y167">
        <v>0</v>
      </c>
      <c r="Z167">
        <v>65854.75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115935.89</v>
      </c>
      <c r="AH167">
        <v>0</v>
      </c>
      <c r="AI167">
        <v>0</v>
      </c>
      <c r="AJ167">
        <v>332517340.75485802</v>
      </c>
    </row>
    <row r="168" spans="1:36" x14ac:dyDescent="0.25">
      <c r="A168" t="s">
        <v>229</v>
      </c>
      <c r="B168" t="s">
        <v>16</v>
      </c>
      <c r="C168">
        <v>10710.24</v>
      </c>
      <c r="D168">
        <v>30575.87</v>
      </c>
      <c r="G168">
        <v>0.15958</v>
      </c>
      <c r="H168">
        <v>0</v>
      </c>
      <c r="I168">
        <v>1244850.69</v>
      </c>
      <c r="J168">
        <v>463682.79</v>
      </c>
      <c r="K168">
        <v>0</v>
      </c>
      <c r="L168">
        <v>831153.37</v>
      </c>
      <c r="M168">
        <v>0</v>
      </c>
      <c r="N168">
        <v>254474.02</v>
      </c>
      <c r="O168">
        <v>307826.68</v>
      </c>
      <c r="P168">
        <v>289149.82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408826.6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106297.72</v>
      </c>
      <c r="AH168">
        <v>0</v>
      </c>
      <c r="AI168">
        <v>0</v>
      </c>
      <c r="AJ168">
        <v>1636878896.07989</v>
      </c>
    </row>
    <row r="169" spans="1:36" x14ac:dyDescent="0.25">
      <c r="A169" t="s">
        <v>230</v>
      </c>
      <c r="B169" t="s">
        <v>16</v>
      </c>
      <c r="C169">
        <v>1694.95</v>
      </c>
      <c r="D169">
        <v>4838.79</v>
      </c>
      <c r="G169">
        <v>2.5253999999999999E-2</v>
      </c>
      <c r="H169">
        <v>0</v>
      </c>
      <c r="I169">
        <v>243585.64</v>
      </c>
      <c r="J169">
        <v>201226.15</v>
      </c>
      <c r="K169">
        <v>0</v>
      </c>
      <c r="L169">
        <v>282049.05</v>
      </c>
      <c r="M169">
        <v>0</v>
      </c>
      <c r="N169">
        <v>103261.54</v>
      </c>
      <c r="O169">
        <v>29620.54</v>
      </c>
      <c r="P169">
        <v>27768.66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69266.960000000006</v>
      </c>
      <c r="W169">
        <v>0</v>
      </c>
      <c r="X169">
        <v>0</v>
      </c>
      <c r="Y169">
        <v>0</v>
      </c>
      <c r="Z169">
        <v>65854.75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115932.59</v>
      </c>
      <c r="AH169">
        <v>0</v>
      </c>
      <c r="AI169">
        <v>0</v>
      </c>
      <c r="AJ169">
        <v>347567082.35585499</v>
      </c>
    </row>
    <row r="170" spans="1:36" x14ac:dyDescent="0.25">
      <c r="A170" t="s">
        <v>231</v>
      </c>
      <c r="B170" t="s">
        <v>16</v>
      </c>
      <c r="D170">
        <v>37793.910000000003</v>
      </c>
      <c r="E170">
        <v>13238.61</v>
      </c>
      <c r="G170">
        <v>0.19725200000000001</v>
      </c>
      <c r="H170">
        <v>0</v>
      </c>
      <c r="I170">
        <v>1282461.55</v>
      </c>
      <c r="J170">
        <v>857863.39</v>
      </c>
      <c r="K170">
        <v>0</v>
      </c>
      <c r="L170">
        <v>1141299.43</v>
      </c>
      <c r="M170">
        <v>0</v>
      </c>
      <c r="N170">
        <v>350751.15</v>
      </c>
      <c r="O170">
        <v>348853.53</v>
      </c>
      <c r="P170">
        <v>376268.83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366843.68</v>
      </c>
      <c r="W170">
        <v>0</v>
      </c>
      <c r="X170">
        <v>0</v>
      </c>
      <c r="Y170">
        <v>0</v>
      </c>
      <c r="Z170">
        <v>43737.51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252623.1</v>
      </c>
      <c r="AH170">
        <v>0</v>
      </c>
      <c r="AI170">
        <v>0</v>
      </c>
      <c r="AJ170">
        <v>2193659713.0514898</v>
      </c>
    </row>
    <row r="171" spans="1:36" x14ac:dyDescent="0.25">
      <c r="A171" t="s">
        <v>232</v>
      </c>
      <c r="B171" t="s">
        <v>16</v>
      </c>
      <c r="C171">
        <v>1871.91</v>
      </c>
      <c r="D171">
        <v>5343.99</v>
      </c>
      <c r="G171">
        <v>2.7890999999999999E-2</v>
      </c>
      <c r="H171">
        <v>0</v>
      </c>
      <c r="I171">
        <v>229102.42</v>
      </c>
      <c r="J171">
        <v>197273.03</v>
      </c>
      <c r="K171">
        <v>0</v>
      </c>
      <c r="L171">
        <v>258328.15</v>
      </c>
      <c r="M171">
        <v>0</v>
      </c>
      <c r="N171">
        <v>328478.58</v>
      </c>
      <c r="O171">
        <v>33355.1</v>
      </c>
      <c r="P171">
        <v>31355.63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34426.86</v>
      </c>
      <c r="W171">
        <v>0</v>
      </c>
      <c r="X171">
        <v>0</v>
      </c>
      <c r="Y171">
        <v>0</v>
      </c>
      <c r="Z171">
        <v>64094.3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213473.59</v>
      </c>
      <c r="AH171">
        <v>0</v>
      </c>
      <c r="AI171">
        <v>0</v>
      </c>
      <c r="AJ171">
        <v>559391084.025828</v>
      </c>
    </row>
    <row r="172" spans="1:36" x14ac:dyDescent="0.25">
      <c r="A172" t="s">
        <v>233</v>
      </c>
      <c r="B172" t="s">
        <v>16</v>
      </c>
      <c r="D172">
        <v>31945.7</v>
      </c>
      <c r="E172">
        <v>11190.07</v>
      </c>
      <c r="G172">
        <v>0.16672899999999999</v>
      </c>
      <c r="H172">
        <v>0</v>
      </c>
      <c r="I172">
        <v>878658.01</v>
      </c>
      <c r="J172">
        <v>350734.07</v>
      </c>
      <c r="K172">
        <v>0</v>
      </c>
      <c r="L172">
        <v>936314.72</v>
      </c>
      <c r="M172">
        <v>0</v>
      </c>
      <c r="N172">
        <v>303296.08</v>
      </c>
      <c r="O172">
        <v>273088.55</v>
      </c>
      <c r="P172">
        <v>294907.96999999997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102125.54</v>
      </c>
      <c r="W172">
        <v>0</v>
      </c>
      <c r="X172">
        <v>0</v>
      </c>
      <c r="Y172">
        <v>0</v>
      </c>
      <c r="Z172">
        <v>68627.600000000006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446563.07</v>
      </c>
      <c r="AH172">
        <v>0</v>
      </c>
      <c r="AI172">
        <v>0</v>
      </c>
      <c r="AJ172">
        <v>1273419062.81283</v>
      </c>
    </row>
    <row r="173" spans="1:36" x14ac:dyDescent="0.25">
      <c r="A173" t="s">
        <v>234</v>
      </c>
      <c r="B173" t="s">
        <v>16</v>
      </c>
      <c r="D173">
        <v>5343.99</v>
      </c>
      <c r="E173">
        <v>1871.91</v>
      </c>
      <c r="G173">
        <v>2.7890999999999999E-2</v>
      </c>
      <c r="H173">
        <v>0</v>
      </c>
      <c r="I173">
        <v>212650.7</v>
      </c>
      <c r="J173">
        <v>197273.03</v>
      </c>
      <c r="K173">
        <v>0</v>
      </c>
      <c r="L173">
        <v>258328.15</v>
      </c>
      <c r="M173">
        <v>0</v>
      </c>
      <c r="N173">
        <v>328628.5</v>
      </c>
      <c r="O173">
        <v>29512.95</v>
      </c>
      <c r="P173">
        <v>31365.37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35524.85</v>
      </c>
      <c r="W173">
        <v>0</v>
      </c>
      <c r="X173">
        <v>0</v>
      </c>
      <c r="Y173">
        <v>0</v>
      </c>
      <c r="Z173">
        <v>64094.3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213474.56</v>
      </c>
      <c r="AH173">
        <v>0</v>
      </c>
      <c r="AI173">
        <v>0</v>
      </c>
      <c r="AJ173">
        <v>531448465.95458502</v>
      </c>
    </row>
    <row r="174" spans="1:36" x14ac:dyDescent="0.25">
      <c r="A174" t="s">
        <v>235</v>
      </c>
      <c r="B174" t="s">
        <v>16</v>
      </c>
      <c r="C174">
        <v>13238.61</v>
      </c>
      <c r="D174">
        <v>37793.910000000003</v>
      </c>
      <c r="G174">
        <v>0.19725200000000001</v>
      </c>
      <c r="H174">
        <v>0</v>
      </c>
      <c r="I174">
        <v>1545982.61</v>
      </c>
      <c r="J174">
        <v>857863.39</v>
      </c>
      <c r="K174">
        <v>0</v>
      </c>
      <c r="L174">
        <v>1141299.43</v>
      </c>
      <c r="M174">
        <v>0</v>
      </c>
      <c r="N174">
        <v>350635.77</v>
      </c>
      <c r="O174">
        <v>407617.53</v>
      </c>
      <c r="P174">
        <v>381605.1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355594.73</v>
      </c>
      <c r="W174">
        <v>0</v>
      </c>
      <c r="X174">
        <v>0</v>
      </c>
      <c r="Y174">
        <v>0</v>
      </c>
      <c r="Z174">
        <v>43737.51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252628.46</v>
      </c>
      <c r="AH174">
        <v>0</v>
      </c>
      <c r="AI174">
        <v>0</v>
      </c>
      <c r="AJ174">
        <v>2279115165.5387998</v>
      </c>
    </row>
    <row r="175" spans="1:36" x14ac:dyDescent="0.25">
      <c r="A175" t="s">
        <v>236</v>
      </c>
      <c r="B175" t="s">
        <v>16</v>
      </c>
      <c r="D175">
        <v>77085.25</v>
      </c>
      <c r="E175">
        <v>27001.74</v>
      </c>
      <c r="G175">
        <v>0.40231800000000001</v>
      </c>
      <c r="H175">
        <v>0</v>
      </c>
      <c r="I175">
        <v>2477600.44</v>
      </c>
      <c r="J175">
        <v>1274541.22</v>
      </c>
      <c r="K175">
        <v>0</v>
      </c>
      <c r="L175">
        <v>3553012.2</v>
      </c>
      <c r="M175">
        <v>0</v>
      </c>
      <c r="N175">
        <v>1106346.8500000001</v>
      </c>
      <c r="O175">
        <v>446182.66</v>
      </c>
      <c r="P175">
        <v>475914.12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530805.19999999995</v>
      </c>
      <c r="W175">
        <v>0</v>
      </c>
      <c r="X175">
        <v>0</v>
      </c>
      <c r="Y175">
        <v>0</v>
      </c>
      <c r="Z175">
        <v>127428.8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678590.72</v>
      </c>
      <c r="AH175">
        <v>0</v>
      </c>
      <c r="AI175">
        <v>0</v>
      </c>
      <c r="AJ175">
        <v>3632865481.3134699</v>
      </c>
    </row>
    <row r="176" spans="1:36" x14ac:dyDescent="0.25">
      <c r="A176" t="s">
        <v>237</v>
      </c>
      <c r="B176" t="s">
        <v>16</v>
      </c>
      <c r="C176">
        <v>27001.74</v>
      </c>
      <c r="D176">
        <v>77085.25</v>
      </c>
      <c r="G176">
        <v>0.40231800000000001</v>
      </c>
      <c r="H176">
        <v>0</v>
      </c>
      <c r="I176">
        <v>2733098.12</v>
      </c>
      <c r="J176">
        <v>1274541.22</v>
      </c>
      <c r="K176">
        <v>0</v>
      </c>
      <c r="L176">
        <v>3553012.2</v>
      </c>
      <c r="M176">
        <v>0</v>
      </c>
      <c r="N176">
        <v>1106180.1599999999</v>
      </c>
      <c r="O176">
        <v>507912.3</v>
      </c>
      <c r="P176">
        <v>477035.17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534335.22</v>
      </c>
      <c r="W176">
        <v>0</v>
      </c>
      <c r="X176">
        <v>0</v>
      </c>
      <c r="Y176">
        <v>0</v>
      </c>
      <c r="Z176">
        <v>127428.8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678638.88</v>
      </c>
      <c r="AH176">
        <v>0</v>
      </c>
      <c r="AI176">
        <v>0</v>
      </c>
      <c r="AJ176">
        <v>3967525000.6695399</v>
      </c>
    </row>
    <row r="177" spans="1:36" x14ac:dyDescent="0.25">
      <c r="A177" t="s">
        <v>238</v>
      </c>
      <c r="B177" t="s">
        <v>16</v>
      </c>
      <c r="C177">
        <v>11190.07</v>
      </c>
      <c r="D177">
        <v>31945.7</v>
      </c>
      <c r="G177">
        <v>0.16672899999999999</v>
      </c>
      <c r="H177">
        <v>0</v>
      </c>
      <c r="I177">
        <v>1212947.3400000001</v>
      </c>
      <c r="J177">
        <v>350734.07</v>
      </c>
      <c r="K177">
        <v>0</v>
      </c>
      <c r="L177">
        <v>936314.72</v>
      </c>
      <c r="M177">
        <v>0</v>
      </c>
      <c r="N177">
        <v>304531.81</v>
      </c>
      <c r="O177">
        <v>315745.71000000002</v>
      </c>
      <c r="P177">
        <v>297038.83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102830.32</v>
      </c>
      <c r="W177">
        <v>0</v>
      </c>
      <c r="X177">
        <v>0</v>
      </c>
      <c r="Y177">
        <v>0</v>
      </c>
      <c r="Z177">
        <v>68627.600000000006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446568.6</v>
      </c>
      <c r="AH177">
        <v>0</v>
      </c>
      <c r="AI177">
        <v>0</v>
      </c>
      <c r="AJ177">
        <v>1430135714.3174801</v>
      </c>
    </row>
    <row r="178" spans="1:36" x14ac:dyDescent="0.25">
      <c r="A178" t="s">
        <v>239</v>
      </c>
      <c r="B178" t="s">
        <v>15</v>
      </c>
      <c r="D178">
        <v>21066.880000000001</v>
      </c>
      <c r="E178">
        <v>7379.39</v>
      </c>
      <c r="G178">
        <v>0.10995099999999999</v>
      </c>
      <c r="H178">
        <v>0</v>
      </c>
      <c r="I178">
        <v>408362.21</v>
      </c>
      <c r="J178">
        <v>774617.57</v>
      </c>
      <c r="K178">
        <v>0</v>
      </c>
      <c r="L178">
        <v>436518</v>
      </c>
      <c r="M178">
        <v>0</v>
      </c>
      <c r="N178">
        <v>178653.7</v>
      </c>
      <c r="O178">
        <v>88886.94</v>
      </c>
      <c r="P178">
        <v>89666.240000000005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252665.76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176296.6</v>
      </c>
      <c r="AH178">
        <v>0</v>
      </c>
      <c r="AI178">
        <v>0</v>
      </c>
      <c r="AJ178">
        <v>1721019157.40026</v>
      </c>
    </row>
    <row r="179" spans="1:36" x14ac:dyDescent="0.25">
      <c r="A179" t="s">
        <v>240</v>
      </c>
      <c r="B179" t="s">
        <v>15</v>
      </c>
      <c r="D179">
        <v>2273.9</v>
      </c>
      <c r="E179">
        <v>796.51</v>
      </c>
      <c r="G179">
        <v>1.1868E-2</v>
      </c>
      <c r="H179">
        <v>0</v>
      </c>
      <c r="I179">
        <v>18733.98</v>
      </c>
      <c r="J179">
        <v>23792.959999999999</v>
      </c>
      <c r="K179">
        <v>0</v>
      </c>
      <c r="L179">
        <v>29466.65</v>
      </c>
      <c r="M179">
        <v>0</v>
      </c>
      <c r="N179">
        <v>106239.22</v>
      </c>
      <c r="O179">
        <v>6904.59</v>
      </c>
      <c r="P179">
        <v>6744.67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1605.08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4673.0200000000004</v>
      </c>
      <c r="AH179">
        <v>0</v>
      </c>
      <c r="AI179">
        <v>0</v>
      </c>
      <c r="AJ179">
        <v>115446318.558943</v>
      </c>
    </row>
    <row r="180" spans="1:36" x14ac:dyDescent="0.25">
      <c r="A180" t="s">
        <v>241</v>
      </c>
      <c r="B180" t="s">
        <v>15</v>
      </c>
      <c r="C180">
        <v>796.51</v>
      </c>
      <c r="D180">
        <v>2273.9</v>
      </c>
      <c r="G180">
        <v>1.1868E-2</v>
      </c>
      <c r="H180">
        <v>0</v>
      </c>
      <c r="I180">
        <v>26354.46</v>
      </c>
      <c r="J180">
        <v>23792.959999999999</v>
      </c>
      <c r="K180">
        <v>0</v>
      </c>
      <c r="L180">
        <v>29466.65</v>
      </c>
      <c r="M180">
        <v>0</v>
      </c>
      <c r="N180">
        <v>106238.94</v>
      </c>
      <c r="O180">
        <v>12157.28</v>
      </c>
      <c r="P180">
        <v>9363.7000000000007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1604.82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4673.0200000000004</v>
      </c>
      <c r="AH180">
        <v>0</v>
      </c>
      <c r="AI180">
        <v>0</v>
      </c>
      <c r="AJ180">
        <v>131529768.98656701</v>
      </c>
    </row>
    <row r="181" spans="1:36" x14ac:dyDescent="0.25">
      <c r="A181" t="s">
        <v>242</v>
      </c>
      <c r="B181" t="s">
        <v>15</v>
      </c>
      <c r="C181">
        <v>7379.39</v>
      </c>
      <c r="D181">
        <v>21066.880000000001</v>
      </c>
      <c r="G181">
        <v>0.10995099999999999</v>
      </c>
      <c r="H181">
        <v>0</v>
      </c>
      <c r="I181">
        <v>429153.77</v>
      </c>
      <c r="J181">
        <v>774617.57</v>
      </c>
      <c r="K181">
        <v>0</v>
      </c>
      <c r="L181">
        <v>436518</v>
      </c>
      <c r="M181">
        <v>0</v>
      </c>
      <c r="N181">
        <v>178834.68</v>
      </c>
      <c r="O181">
        <v>107872.49</v>
      </c>
      <c r="P181">
        <v>94872.68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253357.64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176293.56</v>
      </c>
      <c r="AH181">
        <v>0</v>
      </c>
      <c r="AI181">
        <v>0</v>
      </c>
      <c r="AJ181">
        <v>1727174374.70525</v>
      </c>
    </row>
    <row r="182" spans="1:36" x14ac:dyDescent="0.25">
      <c r="A182" t="s">
        <v>243</v>
      </c>
      <c r="B182" t="s">
        <v>15</v>
      </c>
      <c r="D182">
        <v>30217.01</v>
      </c>
      <c r="E182">
        <v>10584.54</v>
      </c>
      <c r="G182">
        <v>0.15770700000000001</v>
      </c>
      <c r="H182">
        <v>0</v>
      </c>
      <c r="I182">
        <v>582132.86</v>
      </c>
      <c r="J182">
        <v>463682.79</v>
      </c>
      <c r="K182">
        <v>0</v>
      </c>
      <c r="L182">
        <v>831153.37</v>
      </c>
      <c r="M182">
        <v>0</v>
      </c>
      <c r="N182">
        <v>214578.89</v>
      </c>
      <c r="O182">
        <v>196968.7</v>
      </c>
      <c r="P182">
        <v>206327.71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554526.21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115374.26</v>
      </c>
      <c r="AH182">
        <v>0</v>
      </c>
      <c r="AI182">
        <v>0</v>
      </c>
      <c r="AJ182">
        <v>1513528330.0994899</v>
      </c>
    </row>
    <row r="183" spans="1:36" x14ac:dyDescent="0.25">
      <c r="A183" t="s">
        <v>244</v>
      </c>
      <c r="B183" t="s">
        <v>15</v>
      </c>
      <c r="C183">
        <v>10584.54</v>
      </c>
      <c r="D183">
        <v>30217.01</v>
      </c>
      <c r="G183">
        <v>0.15770700000000001</v>
      </c>
      <c r="H183">
        <v>0</v>
      </c>
      <c r="I183">
        <v>707430.33</v>
      </c>
      <c r="J183">
        <v>463682.79</v>
      </c>
      <c r="K183">
        <v>0</v>
      </c>
      <c r="L183">
        <v>831153.37</v>
      </c>
      <c r="M183">
        <v>0</v>
      </c>
      <c r="N183">
        <v>215277.63</v>
      </c>
      <c r="O183">
        <v>232980.66</v>
      </c>
      <c r="P183">
        <v>210536.27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552310.99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115373.97</v>
      </c>
      <c r="AH183">
        <v>0</v>
      </c>
      <c r="AI183">
        <v>0</v>
      </c>
      <c r="AJ183">
        <v>1769494770.7680399</v>
      </c>
    </row>
    <row r="184" spans="1:36" x14ac:dyDescent="0.25">
      <c r="A184" t="s">
        <v>245</v>
      </c>
      <c r="B184" t="s">
        <v>15</v>
      </c>
      <c r="C184">
        <v>1625.83</v>
      </c>
      <c r="D184">
        <v>4641.45</v>
      </c>
      <c r="G184">
        <v>2.4223999999999999E-2</v>
      </c>
      <c r="H184">
        <v>0</v>
      </c>
      <c r="I184">
        <v>144597.54</v>
      </c>
      <c r="J184">
        <v>201226.15</v>
      </c>
      <c r="K184">
        <v>0</v>
      </c>
      <c r="L184">
        <v>282049.05</v>
      </c>
      <c r="M184">
        <v>0</v>
      </c>
      <c r="N184">
        <v>92316.81</v>
      </c>
      <c r="O184">
        <v>19690.830000000002</v>
      </c>
      <c r="P184">
        <v>17856.21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98956.67</v>
      </c>
      <c r="W184">
        <v>0</v>
      </c>
      <c r="X184">
        <v>0</v>
      </c>
      <c r="Y184">
        <v>0</v>
      </c>
      <c r="Z184">
        <v>65854.75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125832.03</v>
      </c>
      <c r="AH184">
        <v>0</v>
      </c>
      <c r="AI184">
        <v>0</v>
      </c>
      <c r="AJ184">
        <v>412082466.745314</v>
      </c>
    </row>
    <row r="185" spans="1:36" x14ac:dyDescent="0.25">
      <c r="A185" t="s">
        <v>246</v>
      </c>
      <c r="B185" t="s">
        <v>15</v>
      </c>
      <c r="D185">
        <v>4641.45</v>
      </c>
      <c r="E185">
        <v>1625.83</v>
      </c>
      <c r="G185">
        <v>2.4223999999999999E-2</v>
      </c>
      <c r="H185">
        <v>0</v>
      </c>
      <c r="I185">
        <v>137597.88</v>
      </c>
      <c r="J185">
        <v>201226.15</v>
      </c>
      <c r="K185">
        <v>0</v>
      </c>
      <c r="L185">
        <v>282049.05</v>
      </c>
      <c r="M185">
        <v>0</v>
      </c>
      <c r="N185">
        <v>92196.27</v>
      </c>
      <c r="O185">
        <v>17714.990000000002</v>
      </c>
      <c r="P185">
        <v>17781.37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98893.35</v>
      </c>
      <c r="W185">
        <v>0</v>
      </c>
      <c r="X185">
        <v>0</v>
      </c>
      <c r="Y185">
        <v>0</v>
      </c>
      <c r="Z185">
        <v>65854.75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125830.61</v>
      </c>
      <c r="AH185">
        <v>0</v>
      </c>
      <c r="AI185">
        <v>0</v>
      </c>
      <c r="AJ185">
        <v>387873265.90719497</v>
      </c>
    </row>
    <row r="186" spans="1:36" x14ac:dyDescent="0.25">
      <c r="A186" t="s">
        <v>247</v>
      </c>
      <c r="B186" t="s">
        <v>15</v>
      </c>
      <c r="D186">
        <v>36319.089999999997</v>
      </c>
      <c r="E186">
        <v>12722</v>
      </c>
      <c r="G186">
        <v>0.189554</v>
      </c>
      <c r="H186">
        <v>0</v>
      </c>
      <c r="I186">
        <v>746069.97</v>
      </c>
      <c r="J186">
        <v>857863.39</v>
      </c>
      <c r="K186">
        <v>0</v>
      </c>
      <c r="L186">
        <v>1141299.43</v>
      </c>
      <c r="M186">
        <v>0</v>
      </c>
      <c r="N186">
        <v>334200.8</v>
      </c>
      <c r="O186">
        <v>310323.93</v>
      </c>
      <c r="P186">
        <v>320180.58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558461.1</v>
      </c>
      <c r="W186">
        <v>0</v>
      </c>
      <c r="X186">
        <v>0</v>
      </c>
      <c r="Y186">
        <v>0</v>
      </c>
      <c r="Z186">
        <v>43737.51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274267.07</v>
      </c>
      <c r="AH186">
        <v>0</v>
      </c>
      <c r="AI186">
        <v>0</v>
      </c>
      <c r="AJ186">
        <v>2144209207.01511</v>
      </c>
    </row>
    <row r="187" spans="1:36" x14ac:dyDescent="0.25">
      <c r="A187" t="s">
        <v>248</v>
      </c>
      <c r="B187" t="s">
        <v>15</v>
      </c>
      <c r="C187">
        <v>12722</v>
      </c>
      <c r="D187">
        <v>36319.089999999997</v>
      </c>
      <c r="G187">
        <v>0.189554</v>
      </c>
      <c r="H187">
        <v>0</v>
      </c>
      <c r="I187">
        <v>930906.33</v>
      </c>
      <c r="J187">
        <v>857863.39</v>
      </c>
      <c r="K187">
        <v>0</v>
      </c>
      <c r="L187">
        <v>1141299.43</v>
      </c>
      <c r="M187">
        <v>0</v>
      </c>
      <c r="N187">
        <v>335171.09999999998</v>
      </c>
      <c r="O187">
        <v>372012.3</v>
      </c>
      <c r="P187">
        <v>333479.17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550871.74</v>
      </c>
      <c r="W187">
        <v>0</v>
      </c>
      <c r="X187">
        <v>0</v>
      </c>
      <c r="Y187">
        <v>0</v>
      </c>
      <c r="Z187">
        <v>43737.51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274264.18</v>
      </c>
      <c r="AH187">
        <v>0</v>
      </c>
      <c r="AI187">
        <v>0</v>
      </c>
      <c r="AJ187">
        <v>2199100243.9850402</v>
      </c>
    </row>
    <row r="188" spans="1:36" x14ac:dyDescent="0.25">
      <c r="A188" t="s">
        <v>249</v>
      </c>
      <c r="B188" t="s">
        <v>15</v>
      </c>
      <c r="D188">
        <v>5105.82</v>
      </c>
      <c r="E188">
        <v>1788.49</v>
      </c>
      <c r="G188">
        <v>2.6648000000000002E-2</v>
      </c>
      <c r="H188">
        <v>0</v>
      </c>
      <c r="I188">
        <v>131945.31</v>
      </c>
      <c r="J188">
        <v>197273.03</v>
      </c>
      <c r="K188">
        <v>0</v>
      </c>
      <c r="L188">
        <v>258328.15</v>
      </c>
      <c r="M188">
        <v>0</v>
      </c>
      <c r="N188">
        <v>339259.77</v>
      </c>
      <c r="O188">
        <v>20762.89</v>
      </c>
      <c r="P188">
        <v>21753.73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87090.41</v>
      </c>
      <c r="W188">
        <v>0</v>
      </c>
      <c r="X188">
        <v>0</v>
      </c>
      <c r="Y188">
        <v>0</v>
      </c>
      <c r="Z188">
        <v>64094.3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231746.62</v>
      </c>
      <c r="AH188">
        <v>0</v>
      </c>
      <c r="AI188">
        <v>0</v>
      </c>
      <c r="AJ188">
        <v>567736781.42712295</v>
      </c>
    </row>
    <row r="189" spans="1:36" x14ac:dyDescent="0.25">
      <c r="A189" t="s">
        <v>250</v>
      </c>
      <c r="B189" t="s">
        <v>15</v>
      </c>
      <c r="C189">
        <v>10732.08</v>
      </c>
      <c r="D189">
        <v>30638.23</v>
      </c>
      <c r="G189">
        <v>0.15990499999999999</v>
      </c>
      <c r="H189">
        <v>0</v>
      </c>
      <c r="I189">
        <v>751853.37</v>
      </c>
      <c r="J189">
        <v>350734.07</v>
      </c>
      <c r="K189">
        <v>0</v>
      </c>
      <c r="L189">
        <v>936314.72</v>
      </c>
      <c r="M189">
        <v>0</v>
      </c>
      <c r="N189">
        <v>266586.45</v>
      </c>
      <c r="O189">
        <v>279146.83</v>
      </c>
      <c r="P189">
        <v>256872.54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174554.05</v>
      </c>
      <c r="W189">
        <v>0</v>
      </c>
      <c r="X189">
        <v>0</v>
      </c>
      <c r="Y189">
        <v>0</v>
      </c>
      <c r="Z189">
        <v>68627.600000000006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485038.18</v>
      </c>
      <c r="AH189">
        <v>0</v>
      </c>
      <c r="AI189">
        <v>0</v>
      </c>
      <c r="AJ189">
        <v>1437974802.8610899</v>
      </c>
    </row>
    <row r="190" spans="1:36" x14ac:dyDescent="0.25">
      <c r="A190" t="s">
        <v>251</v>
      </c>
      <c r="B190" t="s">
        <v>15</v>
      </c>
      <c r="C190">
        <v>1788.49</v>
      </c>
      <c r="D190">
        <v>5105.82</v>
      </c>
      <c r="G190">
        <v>2.6648000000000002E-2</v>
      </c>
      <c r="H190">
        <v>0</v>
      </c>
      <c r="I190">
        <v>143168.95999999999</v>
      </c>
      <c r="J190">
        <v>197273.03</v>
      </c>
      <c r="K190">
        <v>0</v>
      </c>
      <c r="L190">
        <v>258328.15</v>
      </c>
      <c r="M190">
        <v>0</v>
      </c>
      <c r="N190">
        <v>339231.36</v>
      </c>
      <c r="O190">
        <v>23696.32</v>
      </c>
      <c r="P190">
        <v>21823.84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86779.33</v>
      </c>
      <c r="W190">
        <v>0</v>
      </c>
      <c r="X190">
        <v>0</v>
      </c>
      <c r="Y190">
        <v>0</v>
      </c>
      <c r="Z190">
        <v>64094.3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231753.71</v>
      </c>
      <c r="AH190">
        <v>0</v>
      </c>
      <c r="AI190">
        <v>0</v>
      </c>
      <c r="AJ190">
        <v>608328931.82084501</v>
      </c>
    </row>
    <row r="191" spans="1:36" x14ac:dyDescent="0.25">
      <c r="A191" t="s">
        <v>252</v>
      </c>
      <c r="B191" t="s">
        <v>15</v>
      </c>
      <c r="D191">
        <v>74767.08</v>
      </c>
      <c r="E191">
        <v>26189.72</v>
      </c>
      <c r="G191">
        <v>0.39022000000000001</v>
      </c>
      <c r="H191">
        <v>0</v>
      </c>
      <c r="I191">
        <v>1376068.88</v>
      </c>
      <c r="J191">
        <v>1274541.22</v>
      </c>
      <c r="K191">
        <v>0</v>
      </c>
      <c r="L191">
        <v>3553012.2</v>
      </c>
      <c r="M191">
        <v>0</v>
      </c>
      <c r="N191">
        <v>1006475.26</v>
      </c>
      <c r="O191">
        <v>297688.55</v>
      </c>
      <c r="P191">
        <v>309485.7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713385.48</v>
      </c>
      <c r="W191">
        <v>0</v>
      </c>
      <c r="X191">
        <v>0</v>
      </c>
      <c r="Y191">
        <v>0</v>
      </c>
      <c r="Z191">
        <v>127428.8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736986.56</v>
      </c>
      <c r="AH191">
        <v>0</v>
      </c>
      <c r="AI191">
        <v>0</v>
      </c>
      <c r="AJ191">
        <v>3892954584.7011399</v>
      </c>
    </row>
    <row r="192" spans="1:36" x14ac:dyDescent="0.25">
      <c r="A192" t="s">
        <v>253</v>
      </c>
      <c r="B192" t="s">
        <v>15</v>
      </c>
      <c r="D192">
        <v>30638.23</v>
      </c>
      <c r="E192">
        <v>10732.08</v>
      </c>
      <c r="G192">
        <v>0.15990499999999999</v>
      </c>
      <c r="H192">
        <v>0</v>
      </c>
      <c r="I192">
        <v>487292.09</v>
      </c>
      <c r="J192">
        <v>350734.07</v>
      </c>
      <c r="K192">
        <v>0</v>
      </c>
      <c r="L192">
        <v>936314.72</v>
      </c>
      <c r="M192">
        <v>0</v>
      </c>
      <c r="N192">
        <v>265387.39</v>
      </c>
      <c r="O192">
        <v>235024.77</v>
      </c>
      <c r="P192">
        <v>249889.62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174062.07</v>
      </c>
      <c r="W192">
        <v>0</v>
      </c>
      <c r="X192">
        <v>0</v>
      </c>
      <c r="Y192">
        <v>0</v>
      </c>
      <c r="Z192">
        <v>68627.600000000006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485029.65</v>
      </c>
      <c r="AH192">
        <v>0</v>
      </c>
      <c r="AI192">
        <v>0</v>
      </c>
      <c r="AJ192">
        <v>1279953921.388</v>
      </c>
    </row>
    <row r="193" spans="1:36" x14ac:dyDescent="0.25">
      <c r="A193" t="s">
        <v>254</v>
      </c>
      <c r="B193" t="s">
        <v>15</v>
      </c>
      <c r="C193">
        <v>26189.72</v>
      </c>
      <c r="D193">
        <v>74767.08</v>
      </c>
      <c r="G193">
        <v>0.39022000000000001</v>
      </c>
      <c r="H193">
        <v>0</v>
      </c>
      <c r="I193">
        <v>1538965.76</v>
      </c>
      <c r="J193">
        <v>1274541.22</v>
      </c>
      <c r="K193">
        <v>0</v>
      </c>
      <c r="L193">
        <v>3553012.2</v>
      </c>
      <c r="M193">
        <v>0</v>
      </c>
      <c r="N193">
        <v>1006794.9</v>
      </c>
      <c r="O193">
        <v>344606.87</v>
      </c>
      <c r="P193">
        <v>312784.17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713748.92</v>
      </c>
      <c r="W193">
        <v>0</v>
      </c>
      <c r="X193">
        <v>0</v>
      </c>
      <c r="Y193">
        <v>0</v>
      </c>
      <c r="Z193">
        <v>127428.8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737011.51</v>
      </c>
      <c r="AH193">
        <v>0</v>
      </c>
      <c r="AI193">
        <v>0</v>
      </c>
      <c r="AJ193">
        <v>4388293237.3875599</v>
      </c>
    </row>
    <row r="194" spans="1:36" x14ac:dyDescent="0.25">
      <c r="A194" t="s">
        <v>255</v>
      </c>
      <c r="B194" t="s">
        <v>14</v>
      </c>
      <c r="C194">
        <v>8402.17</v>
      </c>
      <c r="D194">
        <v>23986.720000000001</v>
      </c>
      <c r="G194">
        <v>0.12519</v>
      </c>
      <c r="H194">
        <v>0</v>
      </c>
      <c r="I194">
        <v>628072.87</v>
      </c>
      <c r="J194">
        <v>774617.57</v>
      </c>
      <c r="K194">
        <v>0</v>
      </c>
      <c r="L194">
        <v>436518</v>
      </c>
      <c r="M194">
        <v>0</v>
      </c>
      <c r="N194">
        <v>227845.29</v>
      </c>
      <c r="O194">
        <v>125971.47</v>
      </c>
      <c r="P194">
        <v>112831.11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366917.39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170226.86</v>
      </c>
      <c r="AH194">
        <v>0</v>
      </c>
      <c r="AI194">
        <v>0</v>
      </c>
      <c r="AJ194">
        <v>2481870198.8495698</v>
      </c>
    </row>
    <row r="195" spans="1:36" x14ac:dyDescent="0.25">
      <c r="A195" t="s">
        <v>256</v>
      </c>
      <c r="B195" t="s">
        <v>14</v>
      </c>
      <c r="D195">
        <v>23986.720000000001</v>
      </c>
      <c r="E195">
        <v>8402.17</v>
      </c>
      <c r="G195">
        <v>0.12519</v>
      </c>
      <c r="H195">
        <v>0</v>
      </c>
      <c r="I195">
        <v>602142.4</v>
      </c>
      <c r="J195">
        <v>774617.57</v>
      </c>
      <c r="K195">
        <v>0</v>
      </c>
      <c r="L195">
        <v>436518</v>
      </c>
      <c r="M195">
        <v>0</v>
      </c>
      <c r="N195">
        <v>227846.94</v>
      </c>
      <c r="O195">
        <v>105510.93</v>
      </c>
      <c r="P195">
        <v>106955.38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365805.1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170226.89</v>
      </c>
      <c r="AH195">
        <v>0</v>
      </c>
      <c r="AI195">
        <v>0</v>
      </c>
      <c r="AJ195">
        <v>2485631563.3695202</v>
      </c>
    </row>
    <row r="196" spans="1:36" x14ac:dyDescent="0.25">
      <c r="A196" t="s">
        <v>257</v>
      </c>
      <c r="B196" t="s">
        <v>14</v>
      </c>
      <c r="D196">
        <v>33296.29</v>
      </c>
      <c r="E196">
        <v>11663.16</v>
      </c>
      <c r="G196">
        <v>0.17377799999999999</v>
      </c>
      <c r="H196">
        <v>0</v>
      </c>
      <c r="I196">
        <v>776259.73</v>
      </c>
      <c r="J196">
        <v>463682.79</v>
      </c>
      <c r="K196">
        <v>0</v>
      </c>
      <c r="L196">
        <v>831153.37</v>
      </c>
      <c r="M196">
        <v>0</v>
      </c>
      <c r="N196">
        <v>237944.38</v>
      </c>
      <c r="O196">
        <v>229232.17</v>
      </c>
      <c r="P196">
        <v>245263.07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660914.11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111411.6</v>
      </c>
      <c r="AH196">
        <v>0</v>
      </c>
      <c r="AI196">
        <v>0</v>
      </c>
      <c r="AJ196">
        <v>2075494651.8278201</v>
      </c>
    </row>
    <row r="197" spans="1:36" x14ac:dyDescent="0.25">
      <c r="A197" t="s">
        <v>258</v>
      </c>
      <c r="B197" t="s">
        <v>14</v>
      </c>
      <c r="D197">
        <v>2515.5500000000002</v>
      </c>
      <c r="E197">
        <v>881.16</v>
      </c>
      <c r="G197">
        <v>1.3129E-2</v>
      </c>
      <c r="H197">
        <v>0</v>
      </c>
      <c r="I197">
        <v>30445.119999999999</v>
      </c>
      <c r="J197">
        <v>23792.959999999999</v>
      </c>
      <c r="K197">
        <v>0</v>
      </c>
      <c r="L197">
        <v>29466.65</v>
      </c>
      <c r="M197">
        <v>0</v>
      </c>
      <c r="N197">
        <v>114175.89</v>
      </c>
      <c r="O197">
        <v>8949.1</v>
      </c>
      <c r="P197">
        <v>9212.2199999999993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1512.21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4532.7</v>
      </c>
      <c r="AH197">
        <v>0</v>
      </c>
      <c r="AI197">
        <v>0</v>
      </c>
      <c r="AJ197">
        <v>175031952.13324001</v>
      </c>
    </row>
    <row r="198" spans="1:36" x14ac:dyDescent="0.25">
      <c r="A198" t="s">
        <v>259</v>
      </c>
      <c r="B198" t="s">
        <v>14</v>
      </c>
      <c r="C198">
        <v>881.16</v>
      </c>
      <c r="D198">
        <v>2515.5500000000002</v>
      </c>
      <c r="G198">
        <v>1.3129E-2</v>
      </c>
      <c r="H198">
        <v>0</v>
      </c>
      <c r="I198">
        <v>46515.39</v>
      </c>
      <c r="J198">
        <v>23792.959999999999</v>
      </c>
      <c r="K198">
        <v>0</v>
      </c>
      <c r="L198">
        <v>29466.65</v>
      </c>
      <c r="M198">
        <v>0</v>
      </c>
      <c r="N198">
        <v>114175.89</v>
      </c>
      <c r="O198">
        <v>14056.51</v>
      </c>
      <c r="P198">
        <v>11502.52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1512.21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4532.7</v>
      </c>
      <c r="AH198">
        <v>0</v>
      </c>
      <c r="AI198">
        <v>0</v>
      </c>
      <c r="AJ198">
        <v>213913516.03905001</v>
      </c>
    </row>
    <row r="199" spans="1:36" x14ac:dyDescent="0.25">
      <c r="A199" t="s">
        <v>260</v>
      </c>
      <c r="B199" t="s">
        <v>14</v>
      </c>
      <c r="D199">
        <v>5286.59</v>
      </c>
      <c r="E199">
        <v>1851.81</v>
      </c>
      <c r="G199">
        <v>2.7591000000000001E-2</v>
      </c>
      <c r="H199">
        <v>0</v>
      </c>
      <c r="I199">
        <v>174472.17</v>
      </c>
      <c r="J199">
        <v>201226.15</v>
      </c>
      <c r="K199">
        <v>0</v>
      </c>
      <c r="L199">
        <v>282049.05</v>
      </c>
      <c r="M199">
        <v>0</v>
      </c>
      <c r="N199">
        <v>107769.06</v>
      </c>
      <c r="O199">
        <v>21753.08</v>
      </c>
      <c r="P199">
        <v>22281.59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122594.98</v>
      </c>
      <c r="W199">
        <v>0</v>
      </c>
      <c r="X199">
        <v>0</v>
      </c>
      <c r="Y199">
        <v>0</v>
      </c>
      <c r="Z199">
        <v>65854.75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121506.39</v>
      </c>
      <c r="AH199">
        <v>0</v>
      </c>
      <c r="AI199">
        <v>0</v>
      </c>
      <c r="AJ199">
        <v>569553045.06166804</v>
      </c>
    </row>
    <row r="200" spans="1:36" x14ac:dyDescent="0.25">
      <c r="A200" t="s">
        <v>261</v>
      </c>
      <c r="B200" t="s">
        <v>14</v>
      </c>
      <c r="C200">
        <v>11663.16</v>
      </c>
      <c r="D200">
        <v>33296.29</v>
      </c>
      <c r="G200">
        <v>0.17377799999999999</v>
      </c>
      <c r="H200">
        <v>0</v>
      </c>
      <c r="I200">
        <v>992511.14</v>
      </c>
      <c r="J200">
        <v>463682.79</v>
      </c>
      <c r="K200">
        <v>0</v>
      </c>
      <c r="L200">
        <v>831153.37</v>
      </c>
      <c r="M200">
        <v>0</v>
      </c>
      <c r="N200">
        <v>239060.85</v>
      </c>
      <c r="O200">
        <v>269148.12</v>
      </c>
      <c r="P200">
        <v>248101.87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659097.11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111403.58</v>
      </c>
      <c r="AH200">
        <v>0</v>
      </c>
      <c r="AI200">
        <v>0</v>
      </c>
      <c r="AJ200">
        <v>2596283486.6064901</v>
      </c>
    </row>
    <row r="201" spans="1:36" x14ac:dyDescent="0.25">
      <c r="A201" t="s">
        <v>262</v>
      </c>
      <c r="B201" t="s">
        <v>14</v>
      </c>
      <c r="C201">
        <v>1851.81</v>
      </c>
      <c r="D201">
        <v>5286.59</v>
      </c>
      <c r="G201">
        <v>2.7591000000000001E-2</v>
      </c>
      <c r="H201">
        <v>0</v>
      </c>
      <c r="I201">
        <v>198944.31</v>
      </c>
      <c r="J201">
        <v>201226.15</v>
      </c>
      <c r="K201">
        <v>0</v>
      </c>
      <c r="L201">
        <v>282049.05</v>
      </c>
      <c r="M201">
        <v>0</v>
      </c>
      <c r="N201">
        <v>107776.17</v>
      </c>
      <c r="O201">
        <v>24220.44</v>
      </c>
      <c r="P201">
        <v>22343.38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122619.85</v>
      </c>
      <c r="W201">
        <v>0</v>
      </c>
      <c r="X201">
        <v>0</v>
      </c>
      <c r="Y201">
        <v>0</v>
      </c>
      <c r="Z201">
        <v>65854.75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121502.88</v>
      </c>
      <c r="AH201">
        <v>0</v>
      </c>
      <c r="AI201">
        <v>0</v>
      </c>
      <c r="AJ201">
        <v>618269519.41176295</v>
      </c>
    </row>
    <row r="202" spans="1:36" x14ac:dyDescent="0.25">
      <c r="A202" t="s">
        <v>263</v>
      </c>
      <c r="B202" t="s">
        <v>14</v>
      </c>
      <c r="D202">
        <v>40125.19</v>
      </c>
      <c r="E202">
        <v>14055.21</v>
      </c>
      <c r="G202">
        <v>0.20941899999999999</v>
      </c>
      <c r="H202">
        <v>0</v>
      </c>
      <c r="I202">
        <v>1059222.58</v>
      </c>
      <c r="J202">
        <v>857863.39</v>
      </c>
      <c r="K202">
        <v>0</v>
      </c>
      <c r="L202">
        <v>1141299.43</v>
      </c>
      <c r="M202">
        <v>0</v>
      </c>
      <c r="N202">
        <v>408287.49</v>
      </c>
      <c r="O202">
        <v>349011.21</v>
      </c>
      <c r="P202">
        <v>365875.84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761727.43</v>
      </c>
      <c r="W202">
        <v>0</v>
      </c>
      <c r="X202">
        <v>0</v>
      </c>
      <c r="Y202">
        <v>0</v>
      </c>
      <c r="Z202">
        <v>43737.51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264795.84999999998</v>
      </c>
      <c r="AH202">
        <v>0</v>
      </c>
      <c r="AI202">
        <v>0</v>
      </c>
      <c r="AJ202">
        <v>3069307956.5953999</v>
      </c>
    </row>
    <row r="203" spans="1:36" x14ac:dyDescent="0.25">
      <c r="A203" t="s">
        <v>264</v>
      </c>
      <c r="B203" t="s">
        <v>14</v>
      </c>
      <c r="C203">
        <v>14055.21</v>
      </c>
      <c r="D203">
        <v>40125.19</v>
      </c>
      <c r="G203">
        <v>0.20941899999999999</v>
      </c>
      <c r="H203">
        <v>0</v>
      </c>
      <c r="I203">
        <v>1281350.47</v>
      </c>
      <c r="J203">
        <v>857863.39</v>
      </c>
      <c r="K203">
        <v>0</v>
      </c>
      <c r="L203">
        <v>1141299.43</v>
      </c>
      <c r="M203">
        <v>0</v>
      </c>
      <c r="N203">
        <v>408854.6</v>
      </c>
      <c r="O203">
        <v>414536.98</v>
      </c>
      <c r="P203">
        <v>380107.7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756698.85</v>
      </c>
      <c r="W203">
        <v>0</v>
      </c>
      <c r="X203">
        <v>0</v>
      </c>
      <c r="Y203">
        <v>0</v>
      </c>
      <c r="Z203">
        <v>43737.51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264804.94</v>
      </c>
      <c r="AH203">
        <v>0</v>
      </c>
      <c r="AI203">
        <v>0</v>
      </c>
      <c r="AJ203">
        <v>3188777588.49652</v>
      </c>
    </row>
    <row r="204" spans="1:36" x14ac:dyDescent="0.25">
      <c r="A204" t="s">
        <v>265</v>
      </c>
      <c r="B204" t="s">
        <v>14</v>
      </c>
      <c r="C204">
        <v>2033.53</v>
      </c>
      <c r="D204">
        <v>5805.39</v>
      </c>
      <c r="G204">
        <v>3.0299E-2</v>
      </c>
      <c r="H204">
        <v>0</v>
      </c>
      <c r="I204">
        <v>213998.95</v>
      </c>
      <c r="J204">
        <v>197273.03</v>
      </c>
      <c r="K204">
        <v>0</v>
      </c>
      <c r="L204">
        <v>258328.15</v>
      </c>
      <c r="M204">
        <v>0</v>
      </c>
      <c r="N204">
        <v>356153.55</v>
      </c>
      <c r="O204">
        <v>28402.75</v>
      </c>
      <c r="P204">
        <v>26321.42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95072.45</v>
      </c>
      <c r="W204">
        <v>0</v>
      </c>
      <c r="X204">
        <v>0</v>
      </c>
      <c r="Y204">
        <v>0</v>
      </c>
      <c r="Z204">
        <v>64094.3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223734.47</v>
      </c>
      <c r="AH204">
        <v>0</v>
      </c>
      <c r="AI204">
        <v>0</v>
      </c>
      <c r="AJ204">
        <v>956654107.70182097</v>
      </c>
    </row>
    <row r="205" spans="1:36" x14ac:dyDescent="0.25">
      <c r="A205" t="s">
        <v>266</v>
      </c>
      <c r="B205" t="s">
        <v>14</v>
      </c>
      <c r="D205">
        <v>5805.39</v>
      </c>
      <c r="E205">
        <v>2033.53</v>
      </c>
      <c r="G205">
        <v>3.0299E-2</v>
      </c>
      <c r="H205">
        <v>0</v>
      </c>
      <c r="I205">
        <v>189698.12</v>
      </c>
      <c r="J205">
        <v>197273.03</v>
      </c>
      <c r="K205">
        <v>0</v>
      </c>
      <c r="L205">
        <v>258328.15</v>
      </c>
      <c r="M205">
        <v>0</v>
      </c>
      <c r="N205">
        <v>356110.31</v>
      </c>
      <c r="O205">
        <v>24763.69</v>
      </c>
      <c r="P205">
        <v>26118.42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96077.88</v>
      </c>
      <c r="W205">
        <v>0</v>
      </c>
      <c r="X205">
        <v>0</v>
      </c>
      <c r="Y205">
        <v>0</v>
      </c>
      <c r="Z205">
        <v>64094.3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223737.9</v>
      </c>
      <c r="AH205">
        <v>0</v>
      </c>
      <c r="AI205">
        <v>0</v>
      </c>
      <c r="AJ205">
        <v>897127526.98156595</v>
      </c>
    </row>
    <row r="206" spans="1:36" x14ac:dyDescent="0.25">
      <c r="A206" t="s">
        <v>267</v>
      </c>
      <c r="B206" t="s">
        <v>14</v>
      </c>
      <c r="C206">
        <v>28784.2</v>
      </c>
      <c r="D206">
        <v>82173.87</v>
      </c>
      <c r="G206">
        <v>0.42887700000000001</v>
      </c>
      <c r="H206">
        <v>0</v>
      </c>
      <c r="I206">
        <v>2240098.15</v>
      </c>
      <c r="J206">
        <v>1274541.22</v>
      </c>
      <c r="K206">
        <v>0</v>
      </c>
      <c r="L206">
        <v>3553012.2</v>
      </c>
      <c r="M206">
        <v>0</v>
      </c>
      <c r="N206">
        <v>1116581.3400000001</v>
      </c>
      <c r="O206">
        <v>411932.07</v>
      </c>
      <c r="P206">
        <v>378543.21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959874.59</v>
      </c>
      <c r="W206">
        <v>0</v>
      </c>
      <c r="X206">
        <v>0</v>
      </c>
      <c r="Y206">
        <v>0</v>
      </c>
      <c r="Z206">
        <v>127428.8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711143.03</v>
      </c>
      <c r="AH206">
        <v>0</v>
      </c>
      <c r="AI206">
        <v>0</v>
      </c>
      <c r="AJ206">
        <v>7913741437.9127398</v>
      </c>
    </row>
    <row r="207" spans="1:36" x14ac:dyDescent="0.25">
      <c r="A207" t="s">
        <v>268</v>
      </c>
      <c r="B207" t="s">
        <v>14</v>
      </c>
      <c r="D207">
        <v>82173.87</v>
      </c>
      <c r="E207">
        <v>28784.2</v>
      </c>
      <c r="G207">
        <v>0.42887700000000001</v>
      </c>
      <c r="H207">
        <v>0</v>
      </c>
      <c r="I207">
        <v>1872370.6</v>
      </c>
      <c r="J207">
        <v>1274541.22</v>
      </c>
      <c r="K207">
        <v>0</v>
      </c>
      <c r="L207">
        <v>3553012.2</v>
      </c>
      <c r="M207">
        <v>0</v>
      </c>
      <c r="N207">
        <v>1116630.46</v>
      </c>
      <c r="O207">
        <v>357597.16</v>
      </c>
      <c r="P207">
        <v>375559.38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960706.99</v>
      </c>
      <c r="W207">
        <v>0</v>
      </c>
      <c r="X207">
        <v>0</v>
      </c>
      <c r="Y207">
        <v>0</v>
      </c>
      <c r="Z207">
        <v>127428.8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711166.42</v>
      </c>
      <c r="AH207">
        <v>0</v>
      </c>
      <c r="AI207">
        <v>0</v>
      </c>
      <c r="AJ207">
        <v>7140352075.2938404</v>
      </c>
    </row>
    <row r="208" spans="1:36" x14ac:dyDescent="0.25">
      <c r="A208" t="s">
        <v>269</v>
      </c>
      <c r="B208" t="s">
        <v>13</v>
      </c>
      <c r="C208">
        <v>7757.24</v>
      </c>
      <c r="D208">
        <v>22145.57</v>
      </c>
      <c r="G208">
        <v>0.115581</v>
      </c>
      <c r="H208">
        <v>0</v>
      </c>
      <c r="I208">
        <v>367812.35</v>
      </c>
      <c r="J208">
        <v>774617.57</v>
      </c>
      <c r="K208">
        <v>0</v>
      </c>
      <c r="L208">
        <v>436518</v>
      </c>
      <c r="M208">
        <v>0</v>
      </c>
      <c r="N208">
        <v>155625.94</v>
      </c>
      <c r="O208">
        <v>102743.97</v>
      </c>
      <c r="P208">
        <v>90269.07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221651.66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176273.99</v>
      </c>
      <c r="AH208">
        <v>0</v>
      </c>
      <c r="AI208">
        <v>0</v>
      </c>
      <c r="AJ208">
        <v>2130895733.93786</v>
      </c>
    </row>
    <row r="209" spans="1:36" x14ac:dyDescent="0.25">
      <c r="A209" t="s">
        <v>270</v>
      </c>
      <c r="B209" t="s">
        <v>14</v>
      </c>
      <c r="D209">
        <v>34919.870000000003</v>
      </c>
      <c r="E209">
        <v>12231.88</v>
      </c>
      <c r="G209">
        <v>0.182252</v>
      </c>
      <c r="H209">
        <v>0</v>
      </c>
      <c r="I209">
        <v>655938.59</v>
      </c>
      <c r="J209">
        <v>350734.07</v>
      </c>
      <c r="K209">
        <v>0</v>
      </c>
      <c r="L209">
        <v>936314.72</v>
      </c>
      <c r="M209">
        <v>0</v>
      </c>
      <c r="N209">
        <v>302679.32</v>
      </c>
      <c r="O209">
        <v>265529.52</v>
      </c>
      <c r="P209">
        <v>286420.26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239728.99</v>
      </c>
      <c r="W209">
        <v>0</v>
      </c>
      <c r="X209">
        <v>0</v>
      </c>
      <c r="Y209">
        <v>0</v>
      </c>
      <c r="Z209">
        <v>68627.600000000006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467639.01</v>
      </c>
      <c r="AH209">
        <v>0</v>
      </c>
      <c r="AI209">
        <v>0</v>
      </c>
      <c r="AJ209">
        <v>2341793066.2786398</v>
      </c>
    </row>
    <row r="210" spans="1:36" x14ac:dyDescent="0.25">
      <c r="A210" t="s">
        <v>271</v>
      </c>
      <c r="B210" t="s">
        <v>14</v>
      </c>
      <c r="C210">
        <v>12231.88</v>
      </c>
      <c r="D210">
        <v>34919.870000000003</v>
      </c>
      <c r="G210">
        <v>0.182252</v>
      </c>
      <c r="H210">
        <v>0</v>
      </c>
      <c r="I210">
        <v>1052355.0900000001</v>
      </c>
      <c r="J210">
        <v>350734.07</v>
      </c>
      <c r="K210">
        <v>0</v>
      </c>
      <c r="L210">
        <v>936314.72</v>
      </c>
      <c r="M210">
        <v>0</v>
      </c>
      <c r="N210">
        <v>302795.31</v>
      </c>
      <c r="O210">
        <v>314908.24</v>
      </c>
      <c r="P210">
        <v>293876.53000000003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241280.04</v>
      </c>
      <c r="W210">
        <v>0</v>
      </c>
      <c r="X210">
        <v>0</v>
      </c>
      <c r="Y210">
        <v>0</v>
      </c>
      <c r="Z210">
        <v>68627.600000000006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467599.86</v>
      </c>
      <c r="AH210">
        <v>0</v>
      </c>
      <c r="AI210">
        <v>0</v>
      </c>
      <c r="AJ210">
        <v>2640764580.6796098</v>
      </c>
    </row>
    <row r="211" spans="1:36" x14ac:dyDescent="0.25">
      <c r="A211" t="s">
        <v>272</v>
      </c>
      <c r="B211" t="s">
        <v>13</v>
      </c>
      <c r="D211">
        <v>22145.57</v>
      </c>
      <c r="E211">
        <v>7757.24</v>
      </c>
      <c r="G211">
        <v>0.115581</v>
      </c>
      <c r="H211">
        <v>0</v>
      </c>
      <c r="I211">
        <v>340004.61</v>
      </c>
      <c r="J211">
        <v>774617.57</v>
      </c>
      <c r="K211">
        <v>0</v>
      </c>
      <c r="L211">
        <v>436518</v>
      </c>
      <c r="M211">
        <v>0</v>
      </c>
      <c r="N211">
        <v>155280.14000000001</v>
      </c>
      <c r="O211">
        <v>83636.94</v>
      </c>
      <c r="P211">
        <v>84366.04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221022.68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176272.32</v>
      </c>
      <c r="AH211">
        <v>0</v>
      </c>
      <c r="AI211">
        <v>0</v>
      </c>
      <c r="AJ211">
        <v>2133902331.3675499</v>
      </c>
    </row>
    <row r="212" spans="1:36" x14ac:dyDescent="0.25">
      <c r="A212" t="s">
        <v>273</v>
      </c>
      <c r="B212" t="s">
        <v>13</v>
      </c>
      <c r="D212">
        <v>2385.29</v>
      </c>
      <c r="E212">
        <v>835.53</v>
      </c>
      <c r="G212">
        <v>1.2449E-2</v>
      </c>
      <c r="H212">
        <v>0</v>
      </c>
      <c r="I212">
        <v>15005.07</v>
      </c>
      <c r="J212">
        <v>23792.959999999999</v>
      </c>
      <c r="K212">
        <v>0</v>
      </c>
      <c r="L212">
        <v>29466.65</v>
      </c>
      <c r="M212">
        <v>0</v>
      </c>
      <c r="N212">
        <v>108007.51</v>
      </c>
      <c r="O212">
        <v>6512.7</v>
      </c>
      <c r="P212">
        <v>6460.84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2134.87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4672.57</v>
      </c>
      <c r="AH212">
        <v>0</v>
      </c>
      <c r="AI212">
        <v>0</v>
      </c>
      <c r="AJ212">
        <v>143297107.01763499</v>
      </c>
    </row>
    <row r="213" spans="1:36" x14ac:dyDescent="0.25">
      <c r="A213" t="s">
        <v>274</v>
      </c>
      <c r="B213" t="s">
        <v>13</v>
      </c>
      <c r="C213">
        <v>835.53</v>
      </c>
      <c r="D213">
        <v>2385.29</v>
      </c>
      <c r="G213">
        <v>1.2449E-2</v>
      </c>
      <c r="H213">
        <v>0</v>
      </c>
      <c r="I213">
        <v>21098.85</v>
      </c>
      <c r="J213">
        <v>23792.959999999999</v>
      </c>
      <c r="K213">
        <v>0</v>
      </c>
      <c r="L213">
        <v>29466.65</v>
      </c>
      <c r="M213">
        <v>0</v>
      </c>
      <c r="N213">
        <v>108007.51</v>
      </c>
      <c r="O213">
        <v>11723.88</v>
      </c>
      <c r="P213">
        <v>9263.1200000000008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2134.87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4672.57</v>
      </c>
      <c r="AH213">
        <v>0</v>
      </c>
      <c r="AI213">
        <v>0</v>
      </c>
      <c r="AJ213">
        <v>175736996.413129</v>
      </c>
    </row>
    <row r="214" spans="1:36" x14ac:dyDescent="0.25">
      <c r="A214" t="s">
        <v>275</v>
      </c>
      <c r="B214" t="s">
        <v>13</v>
      </c>
      <c r="D214">
        <v>4937.8500000000004</v>
      </c>
      <c r="E214">
        <v>1729.65</v>
      </c>
      <c r="G214">
        <v>2.5770999999999999E-2</v>
      </c>
      <c r="H214">
        <v>0</v>
      </c>
      <c r="I214">
        <v>121000.06</v>
      </c>
      <c r="J214">
        <v>201226.15</v>
      </c>
      <c r="K214">
        <v>0</v>
      </c>
      <c r="L214">
        <v>282049.05</v>
      </c>
      <c r="M214">
        <v>0</v>
      </c>
      <c r="N214">
        <v>85235.86</v>
      </c>
      <c r="O214">
        <v>17831.32</v>
      </c>
      <c r="P214">
        <v>18270.98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96241.61</v>
      </c>
      <c r="W214">
        <v>0</v>
      </c>
      <c r="X214">
        <v>0</v>
      </c>
      <c r="Y214">
        <v>0</v>
      </c>
      <c r="Z214">
        <v>65854.75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125819.33</v>
      </c>
      <c r="AH214">
        <v>0</v>
      </c>
      <c r="AI214">
        <v>0</v>
      </c>
      <c r="AJ214">
        <v>467039654.54050899</v>
      </c>
    </row>
    <row r="215" spans="1:36" x14ac:dyDescent="0.25">
      <c r="A215" t="s">
        <v>276</v>
      </c>
      <c r="B215" t="s">
        <v>13</v>
      </c>
      <c r="C215">
        <v>10950.58</v>
      </c>
      <c r="D215">
        <v>31261.98</v>
      </c>
      <c r="G215">
        <v>0.163161</v>
      </c>
      <c r="H215">
        <v>0</v>
      </c>
      <c r="I215">
        <v>659057.89</v>
      </c>
      <c r="J215">
        <v>463682.79</v>
      </c>
      <c r="K215">
        <v>0</v>
      </c>
      <c r="L215">
        <v>831153.37</v>
      </c>
      <c r="M215">
        <v>0</v>
      </c>
      <c r="N215">
        <v>197111.43</v>
      </c>
      <c r="O215">
        <v>243903.09</v>
      </c>
      <c r="P215">
        <v>224969.21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584898.89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115362.56</v>
      </c>
      <c r="AH215">
        <v>0</v>
      </c>
      <c r="AI215">
        <v>0</v>
      </c>
      <c r="AJ215">
        <v>2220037379.2280402</v>
      </c>
    </row>
    <row r="216" spans="1:36" x14ac:dyDescent="0.25">
      <c r="A216" t="s">
        <v>277</v>
      </c>
      <c r="B216" t="s">
        <v>13</v>
      </c>
      <c r="D216">
        <v>31261.98</v>
      </c>
      <c r="E216">
        <v>10950.58</v>
      </c>
      <c r="G216">
        <v>0.163161</v>
      </c>
      <c r="H216">
        <v>0</v>
      </c>
      <c r="I216">
        <v>512970.3</v>
      </c>
      <c r="J216">
        <v>463682.79</v>
      </c>
      <c r="K216">
        <v>0</v>
      </c>
      <c r="L216">
        <v>831153.37</v>
      </c>
      <c r="M216">
        <v>0</v>
      </c>
      <c r="N216">
        <v>196391.07</v>
      </c>
      <c r="O216">
        <v>204646</v>
      </c>
      <c r="P216">
        <v>221216.27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586102.88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115362.8</v>
      </c>
      <c r="AH216">
        <v>0</v>
      </c>
      <c r="AI216">
        <v>0</v>
      </c>
      <c r="AJ216">
        <v>1839383176.0211999</v>
      </c>
    </row>
    <row r="217" spans="1:36" x14ac:dyDescent="0.25">
      <c r="A217" t="s">
        <v>278</v>
      </c>
      <c r="B217" t="s">
        <v>13</v>
      </c>
      <c r="C217">
        <v>1729.65</v>
      </c>
      <c r="D217">
        <v>4937.8500000000004</v>
      </c>
      <c r="G217">
        <v>2.5770999999999999E-2</v>
      </c>
      <c r="H217">
        <v>0</v>
      </c>
      <c r="I217">
        <v>129270.11</v>
      </c>
      <c r="J217">
        <v>201226.15</v>
      </c>
      <c r="K217">
        <v>0</v>
      </c>
      <c r="L217">
        <v>282049.05</v>
      </c>
      <c r="M217">
        <v>0</v>
      </c>
      <c r="N217">
        <v>85261.98</v>
      </c>
      <c r="O217">
        <v>19883.88</v>
      </c>
      <c r="P217">
        <v>18325.830000000002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96218.240000000005</v>
      </c>
      <c r="W217">
        <v>0</v>
      </c>
      <c r="X217">
        <v>0</v>
      </c>
      <c r="Y217">
        <v>0</v>
      </c>
      <c r="Z217">
        <v>65854.75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125820.31</v>
      </c>
      <c r="AH217">
        <v>0</v>
      </c>
      <c r="AI217">
        <v>0</v>
      </c>
      <c r="AJ217">
        <v>506757185.09518701</v>
      </c>
    </row>
    <row r="218" spans="1:36" x14ac:dyDescent="0.25">
      <c r="A218" t="s">
        <v>279</v>
      </c>
      <c r="B218" t="s">
        <v>13</v>
      </c>
      <c r="C218">
        <v>13192.32</v>
      </c>
      <c r="D218">
        <v>37661.79</v>
      </c>
      <c r="G218">
        <v>0.19656199999999999</v>
      </c>
      <c r="H218">
        <v>0</v>
      </c>
      <c r="I218">
        <v>843604.6</v>
      </c>
      <c r="J218">
        <v>857863.39</v>
      </c>
      <c r="K218">
        <v>0</v>
      </c>
      <c r="L218">
        <v>1141299.43</v>
      </c>
      <c r="M218">
        <v>0</v>
      </c>
      <c r="N218">
        <v>282004.45</v>
      </c>
      <c r="O218">
        <v>383433.28</v>
      </c>
      <c r="P218">
        <v>351053.04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474426.96</v>
      </c>
      <c r="W218">
        <v>0</v>
      </c>
      <c r="X218">
        <v>0</v>
      </c>
      <c r="Y218">
        <v>0</v>
      </c>
      <c r="Z218">
        <v>43737.51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274235</v>
      </c>
      <c r="AH218">
        <v>0</v>
      </c>
      <c r="AI218">
        <v>0</v>
      </c>
      <c r="AJ218">
        <v>2886644157.5589499</v>
      </c>
    </row>
    <row r="219" spans="1:36" x14ac:dyDescent="0.25">
      <c r="A219" t="s">
        <v>280</v>
      </c>
      <c r="B219" t="s">
        <v>13</v>
      </c>
      <c r="D219">
        <v>37661.79</v>
      </c>
      <c r="E219">
        <v>13192.32</v>
      </c>
      <c r="G219">
        <v>0.19656199999999999</v>
      </c>
      <c r="H219">
        <v>0</v>
      </c>
      <c r="I219">
        <v>640670.94999999995</v>
      </c>
      <c r="J219">
        <v>857863.39</v>
      </c>
      <c r="K219">
        <v>0</v>
      </c>
      <c r="L219">
        <v>1141299.43</v>
      </c>
      <c r="M219">
        <v>0</v>
      </c>
      <c r="N219">
        <v>281893.23</v>
      </c>
      <c r="O219">
        <v>316415.82</v>
      </c>
      <c r="P219">
        <v>338438.41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475891.08</v>
      </c>
      <c r="W219">
        <v>0</v>
      </c>
      <c r="X219">
        <v>0</v>
      </c>
      <c r="Y219">
        <v>0</v>
      </c>
      <c r="Z219">
        <v>43737.51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274237.67</v>
      </c>
      <c r="AH219">
        <v>0</v>
      </c>
      <c r="AI219">
        <v>0</v>
      </c>
      <c r="AJ219">
        <v>2866776557.7825398</v>
      </c>
    </row>
    <row r="220" spans="1:36" x14ac:dyDescent="0.25">
      <c r="A220" t="s">
        <v>281</v>
      </c>
      <c r="B220" t="s">
        <v>13</v>
      </c>
      <c r="C220">
        <v>1899.66</v>
      </c>
      <c r="D220">
        <v>5423.19</v>
      </c>
      <c r="G220">
        <v>2.8303999999999999E-2</v>
      </c>
      <c r="H220">
        <v>0</v>
      </c>
      <c r="I220">
        <v>125680.56</v>
      </c>
      <c r="J220">
        <v>197273.03</v>
      </c>
      <c r="K220">
        <v>0</v>
      </c>
      <c r="L220">
        <v>258328.15</v>
      </c>
      <c r="M220">
        <v>0</v>
      </c>
      <c r="N220">
        <v>346818.7</v>
      </c>
      <c r="O220">
        <v>23692.35</v>
      </c>
      <c r="P220">
        <v>22010.46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86239.62</v>
      </c>
      <c r="W220">
        <v>0</v>
      </c>
      <c r="X220">
        <v>0</v>
      </c>
      <c r="Y220">
        <v>0</v>
      </c>
      <c r="Z220">
        <v>64094.3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231733.42</v>
      </c>
      <c r="AH220">
        <v>0</v>
      </c>
      <c r="AI220">
        <v>0</v>
      </c>
      <c r="AJ220">
        <v>767847005.06245005</v>
      </c>
    </row>
    <row r="221" spans="1:36" x14ac:dyDescent="0.25">
      <c r="A221" t="s">
        <v>282</v>
      </c>
      <c r="B221" t="s">
        <v>13</v>
      </c>
      <c r="D221">
        <v>5423.19</v>
      </c>
      <c r="E221">
        <v>1899.66</v>
      </c>
      <c r="G221">
        <v>2.8303999999999999E-2</v>
      </c>
      <c r="H221">
        <v>0</v>
      </c>
      <c r="I221">
        <v>113026.51</v>
      </c>
      <c r="J221">
        <v>197273.03</v>
      </c>
      <c r="K221">
        <v>0</v>
      </c>
      <c r="L221">
        <v>258328.15</v>
      </c>
      <c r="M221">
        <v>0</v>
      </c>
      <c r="N221">
        <v>346748.43</v>
      </c>
      <c r="O221">
        <v>20591.38</v>
      </c>
      <c r="P221">
        <v>21940.66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86410.32</v>
      </c>
      <c r="W221">
        <v>0</v>
      </c>
      <c r="X221">
        <v>0</v>
      </c>
      <c r="Y221">
        <v>0</v>
      </c>
      <c r="Z221">
        <v>64094.3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231735.27</v>
      </c>
      <c r="AH221">
        <v>0</v>
      </c>
      <c r="AI221">
        <v>0</v>
      </c>
      <c r="AJ221">
        <v>713070300.51283503</v>
      </c>
    </row>
    <row r="222" spans="1:36" x14ac:dyDescent="0.25">
      <c r="A222" t="s">
        <v>283</v>
      </c>
      <c r="B222" t="s">
        <v>13</v>
      </c>
      <c r="D222">
        <v>32414.14</v>
      </c>
      <c r="E222">
        <v>11354.16</v>
      </c>
      <c r="G222">
        <v>0.16917399999999999</v>
      </c>
      <c r="H222">
        <v>0</v>
      </c>
      <c r="I222">
        <v>423117.69</v>
      </c>
      <c r="J222">
        <v>350734.07</v>
      </c>
      <c r="K222">
        <v>0</v>
      </c>
      <c r="L222">
        <v>936314.72</v>
      </c>
      <c r="M222">
        <v>0</v>
      </c>
      <c r="N222">
        <v>256074.19</v>
      </c>
      <c r="O222">
        <v>243577.38</v>
      </c>
      <c r="P222">
        <v>263610.52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171303.16</v>
      </c>
      <c r="W222">
        <v>0</v>
      </c>
      <c r="X222">
        <v>0</v>
      </c>
      <c r="Y222">
        <v>0</v>
      </c>
      <c r="Z222">
        <v>68627.600000000006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484908.14</v>
      </c>
      <c r="AH222">
        <v>0</v>
      </c>
      <c r="AI222">
        <v>0</v>
      </c>
      <c r="AJ222">
        <v>1913376885.7480099</v>
      </c>
    </row>
    <row r="223" spans="1:36" x14ac:dyDescent="0.25">
      <c r="A223" t="s">
        <v>284</v>
      </c>
      <c r="B223" t="s">
        <v>13</v>
      </c>
      <c r="D223">
        <v>78754.509999999995</v>
      </c>
      <c r="E223">
        <v>27586.45</v>
      </c>
      <c r="G223">
        <v>0.41103099999999998</v>
      </c>
      <c r="H223">
        <v>0</v>
      </c>
      <c r="I223">
        <v>1162985.95</v>
      </c>
      <c r="J223">
        <v>1274541.22</v>
      </c>
      <c r="K223">
        <v>0</v>
      </c>
      <c r="L223">
        <v>3553012.2</v>
      </c>
      <c r="M223">
        <v>0</v>
      </c>
      <c r="N223">
        <v>961407.32</v>
      </c>
      <c r="O223">
        <v>286465.43</v>
      </c>
      <c r="P223">
        <v>303782.68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659243.76</v>
      </c>
      <c r="W223">
        <v>0</v>
      </c>
      <c r="X223">
        <v>0</v>
      </c>
      <c r="Y223">
        <v>0</v>
      </c>
      <c r="Z223">
        <v>127428.8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736925.09</v>
      </c>
      <c r="AH223">
        <v>0</v>
      </c>
      <c r="AI223">
        <v>0</v>
      </c>
      <c r="AJ223">
        <v>6100879684.0532398</v>
      </c>
    </row>
    <row r="224" spans="1:36" x14ac:dyDescent="0.25">
      <c r="A224" t="s">
        <v>285</v>
      </c>
      <c r="B224" t="s">
        <v>13</v>
      </c>
      <c r="C224">
        <v>27586.45</v>
      </c>
      <c r="D224">
        <v>78754.509999999995</v>
      </c>
      <c r="G224">
        <v>0.41103099999999998</v>
      </c>
      <c r="H224">
        <v>0</v>
      </c>
      <c r="I224">
        <v>1354278.31</v>
      </c>
      <c r="J224">
        <v>1274541.22</v>
      </c>
      <c r="K224">
        <v>0</v>
      </c>
      <c r="L224">
        <v>3553012.2</v>
      </c>
      <c r="M224">
        <v>0</v>
      </c>
      <c r="N224">
        <v>961625.98</v>
      </c>
      <c r="O224">
        <v>334801.13</v>
      </c>
      <c r="P224">
        <v>307344.90999999997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659853.72</v>
      </c>
      <c r="W224">
        <v>0</v>
      </c>
      <c r="X224">
        <v>0</v>
      </c>
      <c r="Y224">
        <v>0</v>
      </c>
      <c r="Z224">
        <v>127428.8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736827.25</v>
      </c>
      <c r="AH224">
        <v>0</v>
      </c>
      <c r="AI224">
        <v>0</v>
      </c>
      <c r="AJ224">
        <v>6944433769.4182901</v>
      </c>
    </row>
    <row r="225" spans="1:36" x14ac:dyDescent="0.25">
      <c r="A225" t="s">
        <v>286</v>
      </c>
      <c r="B225" t="s">
        <v>13</v>
      </c>
      <c r="C225">
        <v>11354.16</v>
      </c>
      <c r="D225">
        <v>32414.14</v>
      </c>
      <c r="G225">
        <v>0.16917399999999999</v>
      </c>
      <c r="H225">
        <v>0</v>
      </c>
      <c r="I225">
        <v>729742.33</v>
      </c>
      <c r="J225">
        <v>350734.07</v>
      </c>
      <c r="K225">
        <v>0</v>
      </c>
      <c r="L225">
        <v>936314.72</v>
      </c>
      <c r="M225">
        <v>0</v>
      </c>
      <c r="N225">
        <v>256142.72</v>
      </c>
      <c r="O225">
        <v>291446.92</v>
      </c>
      <c r="P225">
        <v>270195.55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171260.53</v>
      </c>
      <c r="W225">
        <v>0</v>
      </c>
      <c r="X225">
        <v>0</v>
      </c>
      <c r="Y225">
        <v>0</v>
      </c>
      <c r="Z225">
        <v>68627.600000000006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484927.18</v>
      </c>
      <c r="AH225">
        <v>0</v>
      </c>
      <c r="AI225">
        <v>0</v>
      </c>
      <c r="AJ225">
        <v>2230837847.41538</v>
      </c>
    </row>
    <row r="226" spans="1:36" x14ac:dyDescent="0.25">
      <c r="A226" t="s">
        <v>287</v>
      </c>
      <c r="B226" t="s">
        <v>12</v>
      </c>
      <c r="D226">
        <v>2483.19</v>
      </c>
      <c r="E226">
        <v>869.82</v>
      </c>
      <c r="G226">
        <v>1.2959999999999999E-2</v>
      </c>
      <c r="H226">
        <v>0</v>
      </c>
      <c r="I226">
        <v>26734.36</v>
      </c>
      <c r="J226">
        <v>23792.959999999999</v>
      </c>
      <c r="K226">
        <v>0</v>
      </c>
      <c r="L226">
        <v>29466.65</v>
      </c>
      <c r="M226">
        <v>0</v>
      </c>
      <c r="N226">
        <v>112118.64</v>
      </c>
      <c r="O226">
        <v>8858.0300000000007</v>
      </c>
      <c r="P226">
        <v>8665.9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4096.03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4688.12</v>
      </c>
      <c r="AH226">
        <v>0</v>
      </c>
      <c r="AI226">
        <v>0</v>
      </c>
      <c r="AJ226">
        <v>165056564.503492</v>
      </c>
    </row>
    <row r="227" spans="1:36" x14ac:dyDescent="0.25">
      <c r="A227" t="s">
        <v>288</v>
      </c>
      <c r="B227" t="s">
        <v>12</v>
      </c>
      <c r="D227">
        <v>23415.98</v>
      </c>
      <c r="E227">
        <v>8202.25</v>
      </c>
      <c r="G227">
        <v>0.122211</v>
      </c>
      <c r="H227">
        <v>0</v>
      </c>
      <c r="I227">
        <v>535135.54</v>
      </c>
      <c r="J227">
        <v>774617.57</v>
      </c>
      <c r="K227">
        <v>0</v>
      </c>
      <c r="L227">
        <v>436518</v>
      </c>
      <c r="M227">
        <v>0</v>
      </c>
      <c r="N227">
        <v>212779.05</v>
      </c>
      <c r="O227">
        <v>96120.89</v>
      </c>
      <c r="P227">
        <v>92257.47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449106.2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176952.53</v>
      </c>
      <c r="AH227">
        <v>0</v>
      </c>
      <c r="AI227">
        <v>0</v>
      </c>
      <c r="AJ227">
        <v>2402416542.4686999</v>
      </c>
    </row>
    <row r="228" spans="1:36" x14ac:dyDescent="0.25">
      <c r="A228" t="s">
        <v>289</v>
      </c>
      <c r="B228" t="s">
        <v>12</v>
      </c>
      <c r="C228">
        <v>8202.25</v>
      </c>
      <c r="D228">
        <v>23415.98</v>
      </c>
      <c r="G228">
        <v>0.122211</v>
      </c>
      <c r="H228">
        <v>0</v>
      </c>
      <c r="I228">
        <v>555482.76</v>
      </c>
      <c r="J228">
        <v>774617.57</v>
      </c>
      <c r="K228">
        <v>0</v>
      </c>
      <c r="L228">
        <v>436518</v>
      </c>
      <c r="M228">
        <v>0</v>
      </c>
      <c r="N228">
        <v>212816.87</v>
      </c>
      <c r="O228">
        <v>114533.93</v>
      </c>
      <c r="P228">
        <v>97032.46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449740.65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176954.13</v>
      </c>
      <c r="AH228">
        <v>0</v>
      </c>
      <c r="AI228">
        <v>0</v>
      </c>
      <c r="AJ228">
        <v>2401702287.4490199</v>
      </c>
    </row>
    <row r="229" spans="1:36" x14ac:dyDescent="0.25">
      <c r="A229" t="s">
        <v>290</v>
      </c>
      <c r="B229" t="s">
        <v>12</v>
      </c>
      <c r="C229">
        <v>869.82</v>
      </c>
      <c r="D229">
        <v>2483.19</v>
      </c>
      <c r="G229">
        <v>1.2959999999999999E-2</v>
      </c>
      <c r="H229">
        <v>0</v>
      </c>
      <c r="I229">
        <v>40046.89</v>
      </c>
      <c r="J229">
        <v>23792.959999999999</v>
      </c>
      <c r="K229">
        <v>0</v>
      </c>
      <c r="L229">
        <v>29466.65</v>
      </c>
      <c r="M229">
        <v>0</v>
      </c>
      <c r="N229">
        <v>112118.59</v>
      </c>
      <c r="O229">
        <v>13086.01</v>
      </c>
      <c r="P229">
        <v>10021.84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4096.0200000000004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4688.12</v>
      </c>
      <c r="AH229">
        <v>0</v>
      </c>
      <c r="AI229">
        <v>0</v>
      </c>
      <c r="AJ229">
        <v>208097946.56948799</v>
      </c>
    </row>
    <row r="230" spans="1:36" x14ac:dyDescent="0.25">
      <c r="A230" t="s">
        <v>291</v>
      </c>
      <c r="B230" t="s">
        <v>12</v>
      </c>
      <c r="D230">
        <v>5218.1499999999996</v>
      </c>
      <c r="E230">
        <v>1827.83</v>
      </c>
      <c r="G230">
        <v>2.7234000000000001E-2</v>
      </c>
      <c r="H230">
        <v>0</v>
      </c>
      <c r="I230">
        <v>155518.54999999999</v>
      </c>
      <c r="J230">
        <v>201226.15</v>
      </c>
      <c r="K230">
        <v>0</v>
      </c>
      <c r="L230">
        <v>282049.05</v>
      </c>
      <c r="M230">
        <v>0</v>
      </c>
      <c r="N230">
        <v>103681.2</v>
      </c>
      <c r="O230">
        <v>19084.78</v>
      </c>
      <c r="P230">
        <v>18731.78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185592.2</v>
      </c>
      <c r="W230">
        <v>0</v>
      </c>
      <c r="X230">
        <v>0</v>
      </c>
      <c r="Y230">
        <v>0</v>
      </c>
      <c r="Z230">
        <v>65854.75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126295.76</v>
      </c>
      <c r="AH230">
        <v>0</v>
      </c>
      <c r="AI230">
        <v>0</v>
      </c>
      <c r="AJ230">
        <v>538423152.91200697</v>
      </c>
    </row>
    <row r="231" spans="1:36" x14ac:dyDescent="0.25">
      <c r="A231" t="s">
        <v>292</v>
      </c>
      <c r="B231" t="s">
        <v>12</v>
      </c>
      <c r="C231">
        <v>1827.83</v>
      </c>
      <c r="D231">
        <v>5218.1499999999996</v>
      </c>
      <c r="G231">
        <v>2.7234000000000001E-2</v>
      </c>
      <c r="H231">
        <v>0</v>
      </c>
      <c r="I231">
        <v>174241.16</v>
      </c>
      <c r="J231">
        <v>201226.15</v>
      </c>
      <c r="K231">
        <v>0</v>
      </c>
      <c r="L231">
        <v>282049.05</v>
      </c>
      <c r="M231">
        <v>0</v>
      </c>
      <c r="N231">
        <v>103681.61</v>
      </c>
      <c r="O231">
        <v>21259.54</v>
      </c>
      <c r="P231">
        <v>18825.169999999998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185586.78</v>
      </c>
      <c r="W231">
        <v>0</v>
      </c>
      <c r="X231">
        <v>0</v>
      </c>
      <c r="Y231">
        <v>0</v>
      </c>
      <c r="Z231">
        <v>65854.75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126296.22</v>
      </c>
      <c r="AH231">
        <v>0</v>
      </c>
      <c r="AI231">
        <v>0</v>
      </c>
      <c r="AJ231">
        <v>590350218.66743898</v>
      </c>
    </row>
    <row r="232" spans="1:36" x14ac:dyDescent="0.25">
      <c r="A232" t="s">
        <v>293</v>
      </c>
      <c r="B232" t="s">
        <v>12</v>
      </c>
      <c r="C232">
        <v>11584.49</v>
      </c>
      <c r="D232">
        <v>33071.699999999997</v>
      </c>
      <c r="G232">
        <v>0.17260600000000001</v>
      </c>
      <c r="H232">
        <v>0</v>
      </c>
      <c r="I232">
        <v>880084.54</v>
      </c>
      <c r="J232">
        <v>463682.79</v>
      </c>
      <c r="K232">
        <v>0</v>
      </c>
      <c r="L232">
        <v>831153.37</v>
      </c>
      <c r="M232">
        <v>0</v>
      </c>
      <c r="N232">
        <v>227509.45</v>
      </c>
      <c r="O232">
        <v>243404.11</v>
      </c>
      <c r="P232">
        <v>212296.17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802130.94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115798.02</v>
      </c>
      <c r="AH232">
        <v>0</v>
      </c>
      <c r="AI232">
        <v>0</v>
      </c>
      <c r="AJ232">
        <v>2565232202.0202999</v>
      </c>
    </row>
    <row r="233" spans="1:36" x14ac:dyDescent="0.25">
      <c r="A233" t="s">
        <v>294</v>
      </c>
      <c r="B233" t="s">
        <v>12</v>
      </c>
      <c r="D233">
        <v>33071.699999999997</v>
      </c>
      <c r="E233">
        <v>11584.49</v>
      </c>
      <c r="G233">
        <v>0.17260600000000001</v>
      </c>
      <c r="H233">
        <v>0</v>
      </c>
      <c r="I233">
        <v>698711.66</v>
      </c>
      <c r="J233">
        <v>463682.79</v>
      </c>
      <c r="K233">
        <v>0</v>
      </c>
      <c r="L233">
        <v>831153.37</v>
      </c>
      <c r="M233">
        <v>0</v>
      </c>
      <c r="N233">
        <v>227022.59</v>
      </c>
      <c r="O233">
        <v>207257.97</v>
      </c>
      <c r="P233">
        <v>206150.18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804913.6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115799.29</v>
      </c>
      <c r="AH233">
        <v>0</v>
      </c>
      <c r="AI233">
        <v>0</v>
      </c>
      <c r="AJ233">
        <v>2031536279.5885601</v>
      </c>
    </row>
    <row r="234" spans="1:36" x14ac:dyDescent="0.25">
      <c r="A234" t="s">
        <v>295</v>
      </c>
      <c r="B234" t="s">
        <v>12</v>
      </c>
      <c r="D234">
        <v>39598.639999999999</v>
      </c>
      <c r="E234">
        <v>13870.77</v>
      </c>
      <c r="G234">
        <v>0.20667099999999999</v>
      </c>
      <c r="H234">
        <v>0</v>
      </c>
      <c r="I234">
        <v>950475.65</v>
      </c>
      <c r="J234">
        <v>857863.39</v>
      </c>
      <c r="K234">
        <v>0</v>
      </c>
      <c r="L234">
        <v>1141299.43</v>
      </c>
      <c r="M234">
        <v>0</v>
      </c>
      <c r="N234">
        <v>390337.32</v>
      </c>
      <c r="O234">
        <v>341998.64</v>
      </c>
      <c r="P234">
        <v>339598.17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905004.1</v>
      </c>
      <c r="W234">
        <v>0</v>
      </c>
      <c r="X234">
        <v>0</v>
      </c>
      <c r="Y234">
        <v>0</v>
      </c>
      <c r="Z234">
        <v>43737.51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275278.75</v>
      </c>
      <c r="AH234">
        <v>0</v>
      </c>
      <c r="AI234">
        <v>0</v>
      </c>
      <c r="AJ234">
        <v>3182198413.22686</v>
      </c>
    </row>
    <row r="235" spans="1:36" x14ac:dyDescent="0.25">
      <c r="A235" t="s">
        <v>296</v>
      </c>
      <c r="B235" t="s">
        <v>12</v>
      </c>
      <c r="C235">
        <v>13870.77</v>
      </c>
      <c r="D235">
        <v>39598.639999999999</v>
      </c>
      <c r="G235">
        <v>0.20667099999999999</v>
      </c>
      <c r="H235">
        <v>0</v>
      </c>
      <c r="I235">
        <v>1154859.07</v>
      </c>
      <c r="J235">
        <v>857863.39</v>
      </c>
      <c r="K235">
        <v>0</v>
      </c>
      <c r="L235">
        <v>1141299.43</v>
      </c>
      <c r="M235">
        <v>0</v>
      </c>
      <c r="N235">
        <v>390995.22</v>
      </c>
      <c r="O235">
        <v>408776.06</v>
      </c>
      <c r="P235">
        <v>359165.03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898569.79</v>
      </c>
      <c r="W235">
        <v>0</v>
      </c>
      <c r="X235">
        <v>0</v>
      </c>
      <c r="Y235">
        <v>0</v>
      </c>
      <c r="Z235">
        <v>43737.51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275281.77</v>
      </c>
      <c r="AH235">
        <v>0</v>
      </c>
      <c r="AI235">
        <v>0</v>
      </c>
      <c r="AJ235">
        <v>3211776437.34271</v>
      </c>
    </row>
    <row r="236" spans="1:36" x14ac:dyDescent="0.25">
      <c r="A236" t="s">
        <v>297</v>
      </c>
      <c r="B236" t="s">
        <v>12</v>
      </c>
      <c r="D236">
        <v>81414.080000000002</v>
      </c>
      <c r="E236">
        <v>28518.06</v>
      </c>
      <c r="G236">
        <v>0.42491099999999998</v>
      </c>
      <c r="H236">
        <v>0</v>
      </c>
      <c r="I236">
        <v>1725483.66</v>
      </c>
      <c r="J236">
        <v>1274541.22</v>
      </c>
      <c r="K236">
        <v>0</v>
      </c>
      <c r="L236">
        <v>3553012.2</v>
      </c>
      <c r="M236">
        <v>0</v>
      </c>
      <c r="N236">
        <v>1103453.6599999999</v>
      </c>
      <c r="O236">
        <v>319314.26</v>
      </c>
      <c r="P236">
        <v>320755.71000000002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1259092.54</v>
      </c>
      <c r="W236">
        <v>0</v>
      </c>
      <c r="X236">
        <v>0</v>
      </c>
      <c r="Y236">
        <v>0</v>
      </c>
      <c r="Z236">
        <v>127428.8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739479.65</v>
      </c>
      <c r="AH236">
        <v>0</v>
      </c>
      <c r="AI236">
        <v>0</v>
      </c>
      <c r="AJ236">
        <v>7003637812.9886303</v>
      </c>
    </row>
    <row r="237" spans="1:36" x14ac:dyDescent="0.25">
      <c r="A237" t="s">
        <v>298</v>
      </c>
      <c r="B237" t="s">
        <v>12</v>
      </c>
      <c r="D237">
        <v>5716.76</v>
      </c>
      <c r="E237">
        <v>2002.49</v>
      </c>
      <c r="G237">
        <v>2.9836999999999999E-2</v>
      </c>
      <c r="H237">
        <v>0</v>
      </c>
      <c r="I237">
        <v>174400.06</v>
      </c>
      <c r="J237">
        <v>197273.03</v>
      </c>
      <c r="K237">
        <v>0</v>
      </c>
      <c r="L237">
        <v>258328.15</v>
      </c>
      <c r="M237">
        <v>0</v>
      </c>
      <c r="N237">
        <v>364256.05</v>
      </c>
      <c r="O237">
        <v>22245.48</v>
      </c>
      <c r="P237">
        <v>22665.59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166194.51</v>
      </c>
      <c r="W237">
        <v>0</v>
      </c>
      <c r="X237">
        <v>0</v>
      </c>
      <c r="Y237">
        <v>0</v>
      </c>
      <c r="Z237">
        <v>64094.3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232584.48</v>
      </c>
      <c r="AH237">
        <v>0</v>
      </c>
      <c r="AI237">
        <v>0</v>
      </c>
      <c r="AJ237">
        <v>886332830.46445596</v>
      </c>
    </row>
    <row r="238" spans="1:36" x14ac:dyDescent="0.25">
      <c r="A238" t="s">
        <v>299</v>
      </c>
      <c r="B238" t="s">
        <v>12</v>
      </c>
      <c r="D238">
        <v>34487.19</v>
      </c>
      <c r="E238">
        <v>12080.31</v>
      </c>
      <c r="G238">
        <v>0.17999299999999999</v>
      </c>
      <c r="H238">
        <v>0</v>
      </c>
      <c r="I238">
        <v>630186.25</v>
      </c>
      <c r="J238">
        <v>350734.07</v>
      </c>
      <c r="K238">
        <v>0</v>
      </c>
      <c r="L238">
        <v>936314.72</v>
      </c>
      <c r="M238">
        <v>0</v>
      </c>
      <c r="N238">
        <v>344486.25</v>
      </c>
      <c r="O238">
        <v>246662.33</v>
      </c>
      <c r="P238">
        <v>250262.28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450287.69</v>
      </c>
      <c r="W238">
        <v>0</v>
      </c>
      <c r="X238">
        <v>0</v>
      </c>
      <c r="Y238">
        <v>0</v>
      </c>
      <c r="Z238">
        <v>68627.600000000006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486328.32000000001</v>
      </c>
      <c r="AH238">
        <v>0</v>
      </c>
      <c r="AI238">
        <v>0</v>
      </c>
      <c r="AJ238">
        <v>2535572592.32831</v>
      </c>
    </row>
    <row r="239" spans="1:36" x14ac:dyDescent="0.25">
      <c r="A239" t="s">
        <v>300</v>
      </c>
      <c r="B239" t="s">
        <v>12</v>
      </c>
      <c r="C239">
        <v>28518.06</v>
      </c>
      <c r="D239">
        <v>81414.080000000002</v>
      </c>
      <c r="G239">
        <v>0.42491099999999998</v>
      </c>
      <c r="H239">
        <v>0</v>
      </c>
      <c r="I239">
        <v>1990251.09</v>
      </c>
      <c r="J239">
        <v>1274541.22</v>
      </c>
      <c r="K239">
        <v>0</v>
      </c>
      <c r="L239">
        <v>3553012.2</v>
      </c>
      <c r="M239">
        <v>0</v>
      </c>
      <c r="N239">
        <v>1103319.78</v>
      </c>
      <c r="O239">
        <v>366431.41</v>
      </c>
      <c r="P239">
        <v>324164.28999999998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1255345.98</v>
      </c>
      <c r="W239">
        <v>0</v>
      </c>
      <c r="X239">
        <v>0</v>
      </c>
      <c r="Y239">
        <v>0</v>
      </c>
      <c r="Z239">
        <v>127428.8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739420.56</v>
      </c>
      <c r="AH239">
        <v>0</v>
      </c>
      <c r="AI239">
        <v>0</v>
      </c>
      <c r="AJ239">
        <v>7903736730.0484695</v>
      </c>
    </row>
    <row r="240" spans="1:36" x14ac:dyDescent="0.25">
      <c r="A240" t="s">
        <v>301</v>
      </c>
      <c r="B240" t="s">
        <v>12</v>
      </c>
      <c r="C240">
        <v>12080.31</v>
      </c>
      <c r="D240">
        <v>34487.19</v>
      </c>
      <c r="G240">
        <v>0.17999299999999999</v>
      </c>
      <c r="H240">
        <v>0</v>
      </c>
      <c r="I240">
        <v>958849.15</v>
      </c>
      <c r="J240">
        <v>350734.07</v>
      </c>
      <c r="K240">
        <v>0</v>
      </c>
      <c r="L240">
        <v>936314.72</v>
      </c>
      <c r="M240">
        <v>0</v>
      </c>
      <c r="N240">
        <v>344610.07</v>
      </c>
      <c r="O240">
        <v>293045.69</v>
      </c>
      <c r="P240">
        <v>262300.84000000003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452723.12</v>
      </c>
      <c r="W240">
        <v>0</v>
      </c>
      <c r="X240">
        <v>0</v>
      </c>
      <c r="Y240">
        <v>0</v>
      </c>
      <c r="Z240">
        <v>68627.600000000006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486315.51</v>
      </c>
      <c r="AH240">
        <v>0</v>
      </c>
      <c r="AI240">
        <v>0</v>
      </c>
      <c r="AJ240">
        <v>2712453996.6929002</v>
      </c>
    </row>
    <row r="241" spans="1:36" x14ac:dyDescent="0.25">
      <c r="A241" t="s">
        <v>302</v>
      </c>
      <c r="B241" t="s">
        <v>11</v>
      </c>
      <c r="D241">
        <v>17607.39</v>
      </c>
      <c r="E241">
        <v>6167.59</v>
      </c>
      <c r="G241">
        <v>9.1895000000000004E-2</v>
      </c>
      <c r="H241">
        <v>0</v>
      </c>
      <c r="I241">
        <v>48308.84</v>
      </c>
      <c r="J241">
        <v>774617.57</v>
      </c>
      <c r="K241">
        <v>0</v>
      </c>
      <c r="L241">
        <v>436518</v>
      </c>
      <c r="M241">
        <v>0</v>
      </c>
      <c r="N241">
        <v>118665.49</v>
      </c>
      <c r="O241">
        <v>20015.34</v>
      </c>
      <c r="P241">
        <v>18746.11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253108.53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192561.22</v>
      </c>
      <c r="AH241">
        <v>0</v>
      </c>
      <c r="AI241">
        <v>0</v>
      </c>
      <c r="AJ241">
        <v>1338904359.0875101</v>
      </c>
    </row>
    <row r="242" spans="1:36" x14ac:dyDescent="0.25">
      <c r="A242" t="s">
        <v>303</v>
      </c>
      <c r="B242" t="s">
        <v>11</v>
      </c>
      <c r="C242">
        <v>6167.59</v>
      </c>
      <c r="D242">
        <v>17607.39</v>
      </c>
      <c r="G242">
        <v>9.1895000000000004E-2</v>
      </c>
      <c r="H242">
        <v>0</v>
      </c>
      <c r="I242">
        <v>55866.92</v>
      </c>
      <c r="J242">
        <v>774617.57</v>
      </c>
      <c r="K242">
        <v>0</v>
      </c>
      <c r="L242">
        <v>436518</v>
      </c>
      <c r="M242">
        <v>0</v>
      </c>
      <c r="N242">
        <v>118735.41</v>
      </c>
      <c r="O242">
        <v>27270.16</v>
      </c>
      <c r="P242">
        <v>21468.36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253613.15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192558</v>
      </c>
      <c r="AH242">
        <v>0</v>
      </c>
      <c r="AI242">
        <v>0</v>
      </c>
      <c r="AJ242">
        <v>1348749771.5325899</v>
      </c>
    </row>
    <row r="243" spans="1:36" x14ac:dyDescent="0.25">
      <c r="A243" t="s">
        <v>304</v>
      </c>
      <c r="B243" t="s">
        <v>12</v>
      </c>
      <c r="C243">
        <v>2002.49</v>
      </c>
      <c r="D243">
        <v>5716.76</v>
      </c>
      <c r="G243">
        <v>2.9836999999999999E-2</v>
      </c>
      <c r="H243">
        <v>0</v>
      </c>
      <c r="I243">
        <v>187598.63</v>
      </c>
      <c r="J243">
        <v>197273.03</v>
      </c>
      <c r="K243">
        <v>0</v>
      </c>
      <c r="L243">
        <v>258328.15</v>
      </c>
      <c r="M243">
        <v>0</v>
      </c>
      <c r="N243">
        <v>364129.53</v>
      </c>
      <c r="O243">
        <v>25267.75</v>
      </c>
      <c r="P243">
        <v>22817.62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165577.73000000001</v>
      </c>
      <c r="W243">
        <v>0</v>
      </c>
      <c r="X243">
        <v>0</v>
      </c>
      <c r="Y243">
        <v>0</v>
      </c>
      <c r="Z243">
        <v>64094.3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232584.08</v>
      </c>
      <c r="AH243">
        <v>0</v>
      </c>
      <c r="AI243">
        <v>0</v>
      </c>
      <c r="AJ243">
        <v>929129198.13156295</v>
      </c>
    </row>
    <row r="244" spans="1:36" x14ac:dyDescent="0.25">
      <c r="A244" t="s">
        <v>305</v>
      </c>
      <c r="B244" t="s">
        <v>11</v>
      </c>
      <c r="D244">
        <v>1994.24</v>
      </c>
      <c r="E244">
        <v>698.55</v>
      </c>
      <c r="G244">
        <v>1.0408000000000001E-2</v>
      </c>
      <c r="H244">
        <v>0</v>
      </c>
      <c r="I244">
        <v>4750.96</v>
      </c>
      <c r="J244">
        <v>23792.959999999999</v>
      </c>
      <c r="K244">
        <v>0</v>
      </c>
      <c r="L244">
        <v>29466.65</v>
      </c>
      <c r="M244">
        <v>0</v>
      </c>
      <c r="N244">
        <v>92403.61</v>
      </c>
      <c r="O244">
        <v>3900.59</v>
      </c>
      <c r="P244">
        <v>3920.4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7941.68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5049.1000000000004</v>
      </c>
      <c r="AH244">
        <v>0</v>
      </c>
      <c r="AI244">
        <v>0</v>
      </c>
      <c r="AJ244">
        <v>78869043.624389395</v>
      </c>
    </row>
    <row r="245" spans="1:36" x14ac:dyDescent="0.25">
      <c r="A245" t="s">
        <v>306</v>
      </c>
      <c r="B245" t="s">
        <v>11</v>
      </c>
      <c r="C245">
        <v>698.55</v>
      </c>
      <c r="D245">
        <v>1994.24</v>
      </c>
      <c r="G245">
        <v>1.0408000000000001E-2</v>
      </c>
      <c r="H245">
        <v>0</v>
      </c>
      <c r="I245">
        <v>6259.67</v>
      </c>
      <c r="J245">
        <v>23792.959999999999</v>
      </c>
      <c r="K245">
        <v>0</v>
      </c>
      <c r="L245">
        <v>29466.65</v>
      </c>
      <c r="M245">
        <v>0</v>
      </c>
      <c r="N245">
        <v>92403.61</v>
      </c>
      <c r="O245">
        <v>8071.77</v>
      </c>
      <c r="P245">
        <v>6207.59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7941.68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5049.1000000000004</v>
      </c>
      <c r="AH245">
        <v>0</v>
      </c>
      <c r="AI245">
        <v>0</v>
      </c>
      <c r="AJ245">
        <v>92963779.949434102</v>
      </c>
    </row>
    <row r="246" spans="1:36" x14ac:dyDescent="0.25">
      <c r="A246" t="s">
        <v>307</v>
      </c>
      <c r="B246" t="s">
        <v>11</v>
      </c>
      <c r="D246">
        <v>4102.88</v>
      </c>
      <c r="E246">
        <v>1437.17</v>
      </c>
      <c r="G246">
        <v>2.1413000000000001E-2</v>
      </c>
      <c r="H246">
        <v>0</v>
      </c>
      <c r="I246">
        <v>35794.410000000003</v>
      </c>
      <c r="J246">
        <v>201226.15</v>
      </c>
      <c r="K246">
        <v>0</v>
      </c>
      <c r="L246">
        <v>282049.05</v>
      </c>
      <c r="M246">
        <v>0</v>
      </c>
      <c r="N246">
        <v>71093.179999999993</v>
      </c>
      <c r="O246">
        <v>5378.3</v>
      </c>
      <c r="P246">
        <v>4950.49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178006.16</v>
      </c>
      <c r="W246">
        <v>0</v>
      </c>
      <c r="X246">
        <v>0</v>
      </c>
      <c r="Y246">
        <v>0</v>
      </c>
      <c r="Z246">
        <v>65854.75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137437.71</v>
      </c>
      <c r="AH246">
        <v>0</v>
      </c>
      <c r="AI246">
        <v>0</v>
      </c>
      <c r="AJ246">
        <v>342090687.01695597</v>
      </c>
    </row>
    <row r="247" spans="1:36" x14ac:dyDescent="0.25">
      <c r="A247" t="s">
        <v>308</v>
      </c>
      <c r="B247" t="s">
        <v>11</v>
      </c>
      <c r="C247">
        <v>1437.17</v>
      </c>
      <c r="D247">
        <v>4102.88</v>
      </c>
      <c r="G247">
        <v>2.1413000000000001E-2</v>
      </c>
      <c r="H247">
        <v>0</v>
      </c>
      <c r="I247">
        <v>36734.699999999997</v>
      </c>
      <c r="J247">
        <v>201226.15</v>
      </c>
      <c r="K247">
        <v>0</v>
      </c>
      <c r="L247">
        <v>282049.05</v>
      </c>
      <c r="M247">
        <v>0</v>
      </c>
      <c r="N247">
        <v>71096.2</v>
      </c>
      <c r="O247">
        <v>5949.52</v>
      </c>
      <c r="P247">
        <v>5026.82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178023.19</v>
      </c>
      <c r="W247">
        <v>0</v>
      </c>
      <c r="X247">
        <v>0</v>
      </c>
      <c r="Y247">
        <v>0</v>
      </c>
      <c r="Z247">
        <v>65854.75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137437.79</v>
      </c>
      <c r="AH247">
        <v>0</v>
      </c>
      <c r="AI247">
        <v>0</v>
      </c>
      <c r="AJ247">
        <v>355230656.95953202</v>
      </c>
    </row>
    <row r="248" spans="1:36" x14ac:dyDescent="0.25">
      <c r="A248" t="s">
        <v>309</v>
      </c>
      <c r="B248" t="s">
        <v>11</v>
      </c>
      <c r="D248">
        <v>26540.880000000001</v>
      </c>
      <c r="E248">
        <v>9296.85</v>
      </c>
      <c r="G248">
        <v>0.13852</v>
      </c>
      <c r="H248">
        <v>0</v>
      </c>
      <c r="I248">
        <v>88092.55</v>
      </c>
      <c r="J248">
        <v>463682.79</v>
      </c>
      <c r="K248">
        <v>0</v>
      </c>
      <c r="L248">
        <v>831153.37</v>
      </c>
      <c r="M248">
        <v>0</v>
      </c>
      <c r="N248">
        <v>162571.37</v>
      </c>
      <c r="O248">
        <v>89893</v>
      </c>
      <c r="P248">
        <v>95038.16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775480.49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126002.45</v>
      </c>
      <c r="AH248">
        <v>0</v>
      </c>
      <c r="AI248">
        <v>0</v>
      </c>
      <c r="AJ248">
        <v>1423702696.9358399</v>
      </c>
    </row>
    <row r="249" spans="1:36" x14ac:dyDescent="0.25">
      <c r="A249" t="s">
        <v>310</v>
      </c>
      <c r="B249" t="s">
        <v>11</v>
      </c>
      <c r="C249">
        <v>9296.85</v>
      </c>
      <c r="D249">
        <v>26540.880000000001</v>
      </c>
      <c r="G249">
        <v>0.13852</v>
      </c>
      <c r="H249">
        <v>0</v>
      </c>
      <c r="I249">
        <v>151713.66</v>
      </c>
      <c r="J249">
        <v>463682.79</v>
      </c>
      <c r="K249">
        <v>0</v>
      </c>
      <c r="L249">
        <v>831153.37</v>
      </c>
      <c r="M249">
        <v>0</v>
      </c>
      <c r="N249">
        <v>162578</v>
      </c>
      <c r="O249">
        <v>112374.17</v>
      </c>
      <c r="P249">
        <v>98658.62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774104.7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126002.03</v>
      </c>
      <c r="AH249">
        <v>0</v>
      </c>
      <c r="AI249">
        <v>0</v>
      </c>
      <c r="AJ249">
        <v>1522269587.2402301</v>
      </c>
    </row>
    <row r="250" spans="1:36" x14ac:dyDescent="0.25">
      <c r="A250" t="s">
        <v>311</v>
      </c>
      <c r="B250" t="s">
        <v>11</v>
      </c>
      <c r="C250">
        <v>11273.28</v>
      </c>
      <c r="D250">
        <v>32183.24</v>
      </c>
      <c r="G250">
        <v>0.16796900000000001</v>
      </c>
      <c r="H250">
        <v>0</v>
      </c>
      <c r="I250">
        <v>331585.53999999998</v>
      </c>
      <c r="J250">
        <v>857863.39</v>
      </c>
      <c r="K250">
        <v>0</v>
      </c>
      <c r="L250">
        <v>1141299.43</v>
      </c>
      <c r="M250">
        <v>0</v>
      </c>
      <c r="N250">
        <v>209811.94</v>
      </c>
      <c r="O250">
        <v>328180.67</v>
      </c>
      <c r="P250">
        <v>298785.99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515855.9</v>
      </c>
      <c r="W250">
        <v>0</v>
      </c>
      <c r="X250">
        <v>0</v>
      </c>
      <c r="Y250">
        <v>0</v>
      </c>
      <c r="Z250">
        <v>43737.51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299616.37</v>
      </c>
      <c r="AH250">
        <v>0</v>
      </c>
      <c r="AI250">
        <v>0</v>
      </c>
      <c r="AJ250">
        <v>1851890986.7426901</v>
      </c>
    </row>
    <row r="251" spans="1:36" x14ac:dyDescent="0.25">
      <c r="A251" t="s">
        <v>312</v>
      </c>
      <c r="B251" t="s">
        <v>11</v>
      </c>
      <c r="D251">
        <v>32183.24</v>
      </c>
      <c r="E251">
        <v>11273.28</v>
      </c>
      <c r="G251">
        <v>0.16796900000000001</v>
      </c>
      <c r="H251">
        <v>0</v>
      </c>
      <c r="I251">
        <v>152430.32999999999</v>
      </c>
      <c r="J251">
        <v>857863.39</v>
      </c>
      <c r="K251">
        <v>0</v>
      </c>
      <c r="L251">
        <v>1141299.43</v>
      </c>
      <c r="M251">
        <v>0</v>
      </c>
      <c r="N251">
        <v>209771.42</v>
      </c>
      <c r="O251">
        <v>259312.43</v>
      </c>
      <c r="P251">
        <v>284923.53999999998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516985.46</v>
      </c>
      <c r="W251">
        <v>0</v>
      </c>
      <c r="X251">
        <v>0</v>
      </c>
      <c r="Y251">
        <v>0</v>
      </c>
      <c r="Z251">
        <v>43737.51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299615.73</v>
      </c>
      <c r="AH251">
        <v>0</v>
      </c>
      <c r="AI251">
        <v>0</v>
      </c>
      <c r="AJ251">
        <v>1784646141.20439</v>
      </c>
    </row>
    <row r="252" spans="1:36" x14ac:dyDescent="0.25">
      <c r="A252" t="s">
        <v>313</v>
      </c>
      <c r="B252" t="s">
        <v>11</v>
      </c>
      <c r="D252">
        <v>4451.92</v>
      </c>
      <c r="E252">
        <v>1559.44</v>
      </c>
      <c r="G252">
        <v>2.3234999999999999E-2</v>
      </c>
      <c r="H252">
        <v>0</v>
      </c>
      <c r="I252">
        <v>27464.91</v>
      </c>
      <c r="J252">
        <v>197273.03</v>
      </c>
      <c r="K252">
        <v>0</v>
      </c>
      <c r="L252">
        <v>258328.15</v>
      </c>
      <c r="M252">
        <v>0</v>
      </c>
      <c r="N252">
        <v>314608.24</v>
      </c>
      <c r="O252">
        <v>5857.67</v>
      </c>
      <c r="P252">
        <v>6001.69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196347.49</v>
      </c>
      <c r="W252">
        <v>0</v>
      </c>
      <c r="X252">
        <v>0</v>
      </c>
      <c r="Y252">
        <v>0</v>
      </c>
      <c r="Z252">
        <v>64094.3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253176.88</v>
      </c>
      <c r="AH252">
        <v>0</v>
      </c>
      <c r="AI252">
        <v>0</v>
      </c>
      <c r="AJ252">
        <v>564260322.53592896</v>
      </c>
    </row>
    <row r="253" spans="1:36" x14ac:dyDescent="0.25">
      <c r="A253" t="s">
        <v>314</v>
      </c>
      <c r="B253" t="s">
        <v>11</v>
      </c>
      <c r="C253">
        <v>1559.44</v>
      </c>
      <c r="D253">
        <v>4451.92</v>
      </c>
      <c r="G253">
        <v>2.3234999999999999E-2</v>
      </c>
      <c r="H253">
        <v>0</v>
      </c>
      <c r="I253">
        <v>30252.43</v>
      </c>
      <c r="J253">
        <v>197273.03</v>
      </c>
      <c r="K253">
        <v>0</v>
      </c>
      <c r="L253">
        <v>258328.15</v>
      </c>
      <c r="M253">
        <v>0</v>
      </c>
      <c r="N253">
        <v>314624.27</v>
      </c>
      <c r="O253">
        <v>6771.3</v>
      </c>
      <c r="P253">
        <v>5981.25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196355.18</v>
      </c>
      <c r="W253">
        <v>0</v>
      </c>
      <c r="X253">
        <v>0</v>
      </c>
      <c r="Y253">
        <v>0</v>
      </c>
      <c r="Z253">
        <v>64094.3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253183.63</v>
      </c>
      <c r="AH253">
        <v>0</v>
      </c>
      <c r="AI253">
        <v>0</v>
      </c>
      <c r="AJ253">
        <v>579250703.51422799</v>
      </c>
    </row>
    <row r="254" spans="1:36" x14ac:dyDescent="0.25">
      <c r="A254" t="s">
        <v>315</v>
      </c>
      <c r="B254" t="s">
        <v>11</v>
      </c>
      <c r="C254">
        <v>9394.92</v>
      </c>
      <c r="D254">
        <v>26820.85</v>
      </c>
      <c r="G254">
        <v>0.139982</v>
      </c>
      <c r="H254">
        <v>0</v>
      </c>
      <c r="I254">
        <v>306314.87</v>
      </c>
      <c r="J254">
        <v>350734.07</v>
      </c>
      <c r="K254">
        <v>0</v>
      </c>
      <c r="L254">
        <v>936314.72</v>
      </c>
      <c r="M254">
        <v>0</v>
      </c>
      <c r="N254">
        <v>250366.74</v>
      </c>
      <c r="O254">
        <v>219858.82</v>
      </c>
      <c r="P254">
        <v>203288.72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333355.78999999998</v>
      </c>
      <c r="W254">
        <v>0</v>
      </c>
      <c r="X254">
        <v>0</v>
      </c>
      <c r="Y254">
        <v>0</v>
      </c>
      <c r="Z254">
        <v>68627.600000000006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530266</v>
      </c>
      <c r="AH254">
        <v>0</v>
      </c>
      <c r="AI254">
        <v>0</v>
      </c>
      <c r="AJ254">
        <v>1615348954.5117199</v>
      </c>
    </row>
    <row r="255" spans="1:36" x14ac:dyDescent="0.25">
      <c r="A255" t="s">
        <v>316</v>
      </c>
      <c r="B255" t="s">
        <v>11</v>
      </c>
      <c r="C255">
        <v>24045.29</v>
      </c>
      <c r="D255">
        <v>68645.119999999995</v>
      </c>
      <c r="G255">
        <v>0.35826799999999998</v>
      </c>
      <c r="H255">
        <v>0</v>
      </c>
      <c r="I255">
        <v>245988.82</v>
      </c>
      <c r="J255">
        <v>1274541.22</v>
      </c>
      <c r="K255">
        <v>0</v>
      </c>
      <c r="L255">
        <v>3553012.2</v>
      </c>
      <c r="M255">
        <v>0</v>
      </c>
      <c r="N255">
        <v>893241.61</v>
      </c>
      <c r="O255">
        <v>76585.009999999995</v>
      </c>
      <c r="P255">
        <v>62110.23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1006937.97</v>
      </c>
      <c r="W255">
        <v>0</v>
      </c>
      <c r="X255">
        <v>0</v>
      </c>
      <c r="Y255">
        <v>0</v>
      </c>
      <c r="Z255">
        <v>127428.8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805513.46</v>
      </c>
      <c r="AH255">
        <v>0</v>
      </c>
      <c r="AI255">
        <v>0</v>
      </c>
      <c r="AJ255">
        <v>5087041337.6226397</v>
      </c>
    </row>
    <row r="256" spans="1:36" x14ac:dyDescent="0.25">
      <c r="A256" t="s">
        <v>317</v>
      </c>
      <c r="B256" t="s">
        <v>11</v>
      </c>
      <c r="D256">
        <v>26820.85</v>
      </c>
      <c r="E256">
        <v>9394.92</v>
      </c>
      <c r="G256">
        <v>0.139982</v>
      </c>
      <c r="H256">
        <v>0</v>
      </c>
      <c r="I256">
        <v>88910.01</v>
      </c>
      <c r="J256">
        <v>350734.07</v>
      </c>
      <c r="K256">
        <v>0</v>
      </c>
      <c r="L256">
        <v>936314.72</v>
      </c>
      <c r="M256">
        <v>0</v>
      </c>
      <c r="N256">
        <v>249804.28</v>
      </c>
      <c r="O256">
        <v>177154.51</v>
      </c>
      <c r="P256">
        <v>198095.83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333355.5</v>
      </c>
      <c r="W256">
        <v>0</v>
      </c>
      <c r="X256">
        <v>0</v>
      </c>
      <c r="Y256">
        <v>0</v>
      </c>
      <c r="Z256">
        <v>68627.600000000006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530229.18000000005</v>
      </c>
      <c r="AH256">
        <v>0</v>
      </c>
      <c r="AI256">
        <v>0</v>
      </c>
      <c r="AJ256">
        <v>1430996695.1997299</v>
      </c>
    </row>
    <row r="257" spans="1:36" x14ac:dyDescent="0.25">
      <c r="A257" t="s">
        <v>318</v>
      </c>
      <c r="B257" t="s">
        <v>11</v>
      </c>
      <c r="D257">
        <v>68645.119999999995</v>
      </c>
      <c r="E257">
        <v>24045.29</v>
      </c>
      <c r="G257">
        <v>0.35826799999999998</v>
      </c>
      <c r="H257">
        <v>0</v>
      </c>
      <c r="I257">
        <v>211578.73</v>
      </c>
      <c r="J257">
        <v>1274541.22</v>
      </c>
      <c r="K257">
        <v>0</v>
      </c>
      <c r="L257">
        <v>3553012.2</v>
      </c>
      <c r="M257">
        <v>0</v>
      </c>
      <c r="N257">
        <v>893162.05</v>
      </c>
      <c r="O257">
        <v>63466.59</v>
      </c>
      <c r="P257">
        <v>59515.14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1006788.01</v>
      </c>
      <c r="W257">
        <v>0</v>
      </c>
      <c r="X257">
        <v>0</v>
      </c>
      <c r="Y257">
        <v>0</v>
      </c>
      <c r="Z257">
        <v>127428.8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805513.45</v>
      </c>
      <c r="AH257">
        <v>0</v>
      </c>
      <c r="AI257">
        <v>0</v>
      </c>
      <c r="AJ257">
        <v>4713921395.4341202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AF38-7F23-4B31-BCB9-8EE2060E0CD8}">
  <dimension ref="A1:AJ257"/>
  <sheetViews>
    <sheetView workbookViewId="0"/>
  </sheetViews>
  <sheetFormatPr defaultRowHeight="15" x14ac:dyDescent="0.25"/>
  <sheetData>
    <row r="1" spans="1:3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</row>
    <row r="2" spans="1:36" x14ac:dyDescent="0.25">
      <c r="A2" t="s">
        <v>319</v>
      </c>
      <c r="B2" t="s">
        <v>26</v>
      </c>
      <c r="D2">
        <v>15946.91</v>
      </c>
      <c r="E2">
        <v>5585.95</v>
      </c>
      <c r="G2">
        <v>8.3228999999999997E-2</v>
      </c>
      <c r="H2">
        <v>0</v>
      </c>
      <c r="I2">
        <v>449048.38</v>
      </c>
      <c r="J2">
        <v>394508.4</v>
      </c>
      <c r="K2">
        <v>0</v>
      </c>
      <c r="L2">
        <v>436518</v>
      </c>
      <c r="M2">
        <v>0</v>
      </c>
      <c r="N2">
        <v>288004.57</v>
      </c>
      <c r="O2">
        <v>72943</v>
      </c>
      <c r="P2">
        <v>67436.649999999994</v>
      </c>
      <c r="Q2">
        <v>0</v>
      </c>
      <c r="R2">
        <v>0</v>
      </c>
      <c r="S2">
        <v>0</v>
      </c>
      <c r="T2">
        <v>0</v>
      </c>
      <c r="U2">
        <v>0</v>
      </c>
      <c r="V2">
        <v>578239.31999999995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174059.91</v>
      </c>
      <c r="AH2">
        <v>0</v>
      </c>
      <c r="AI2">
        <v>0</v>
      </c>
      <c r="AJ2">
        <v>1636597668.1107399</v>
      </c>
    </row>
    <row r="3" spans="1:36" x14ac:dyDescent="0.25">
      <c r="A3" t="s">
        <v>320</v>
      </c>
      <c r="B3" t="s">
        <v>26</v>
      </c>
      <c r="C3">
        <v>5585.95</v>
      </c>
      <c r="D3">
        <v>15946.91</v>
      </c>
      <c r="G3">
        <v>8.3228999999999997E-2</v>
      </c>
      <c r="H3">
        <v>0</v>
      </c>
      <c r="I3">
        <v>491944.21</v>
      </c>
      <c r="J3">
        <v>394508.4</v>
      </c>
      <c r="K3">
        <v>0</v>
      </c>
      <c r="L3">
        <v>436518</v>
      </c>
      <c r="M3">
        <v>0</v>
      </c>
      <c r="N3">
        <v>288113.90999999997</v>
      </c>
      <c r="O3">
        <v>83854.570000000007</v>
      </c>
      <c r="P3">
        <v>68196.649999999994</v>
      </c>
      <c r="Q3">
        <v>0</v>
      </c>
      <c r="R3">
        <v>0</v>
      </c>
      <c r="S3">
        <v>0</v>
      </c>
      <c r="T3">
        <v>0</v>
      </c>
      <c r="U3">
        <v>0</v>
      </c>
      <c r="V3">
        <v>577616.27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174058.49</v>
      </c>
      <c r="AH3">
        <v>0</v>
      </c>
      <c r="AI3">
        <v>0</v>
      </c>
      <c r="AJ3">
        <v>1620367272.70275</v>
      </c>
    </row>
    <row r="4" spans="1:36" x14ac:dyDescent="0.25">
      <c r="A4" t="s">
        <v>321</v>
      </c>
      <c r="B4" t="s">
        <v>26</v>
      </c>
      <c r="D4">
        <v>1394.09</v>
      </c>
      <c r="E4">
        <v>488.33</v>
      </c>
      <c r="G4">
        <v>7.2760000000000003E-3</v>
      </c>
      <c r="H4">
        <v>0</v>
      </c>
      <c r="I4">
        <v>22357.07</v>
      </c>
      <c r="J4">
        <v>12134.67</v>
      </c>
      <c r="K4">
        <v>0</v>
      </c>
      <c r="L4">
        <v>29466.65</v>
      </c>
      <c r="M4">
        <v>0</v>
      </c>
      <c r="N4">
        <v>69147.899999999994</v>
      </c>
      <c r="O4">
        <v>5562.3</v>
      </c>
      <c r="P4">
        <v>5097.45</v>
      </c>
      <c r="Q4">
        <v>0</v>
      </c>
      <c r="R4">
        <v>0</v>
      </c>
      <c r="S4">
        <v>0</v>
      </c>
      <c r="T4">
        <v>0</v>
      </c>
      <c r="U4">
        <v>0</v>
      </c>
      <c r="V4">
        <v>9275.7900000000009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4620.5200000000004</v>
      </c>
      <c r="AH4">
        <v>0</v>
      </c>
      <c r="AI4">
        <v>0</v>
      </c>
      <c r="AJ4">
        <v>88952786.016296506</v>
      </c>
    </row>
    <row r="5" spans="1:36" x14ac:dyDescent="0.25">
      <c r="A5" t="s">
        <v>322</v>
      </c>
      <c r="B5" t="s">
        <v>26</v>
      </c>
      <c r="C5">
        <v>488.33</v>
      </c>
      <c r="D5">
        <v>1394.09</v>
      </c>
      <c r="G5">
        <v>7.2760000000000003E-3</v>
      </c>
      <c r="H5">
        <v>0</v>
      </c>
      <c r="I5">
        <v>31931.71</v>
      </c>
      <c r="J5">
        <v>12134.67</v>
      </c>
      <c r="K5">
        <v>0</v>
      </c>
      <c r="L5">
        <v>29466.65</v>
      </c>
      <c r="M5">
        <v>0</v>
      </c>
      <c r="N5">
        <v>69147.66</v>
      </c>
      <c r="O5">
        <v>7470.68</v>
      </c>
      <c r="P5">
        <v>5360.73</v>
      </c>
      <c r="Q5">
        <v>0</v>
      </c>
      <c r="R5">
        <v>0</v>
      </c>
      <c r="S5">
        <v>0</v>
      </c>
      <c r="T5">
        <v>0</v>
      </c>
      <c r="U5">
        <v>0</v>
      </c>
      <c r="V5">
        <v>9275.7999999999993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4620.5200000000004</v>
      </c>
      <c r="AH5">
        <v>0</v>
      </c>
      <c r="AI5">
        <v>0</v>
      </c>
      <c r="AJ5">
        <v>104036318.550659</v>
      </c>
    </row>
    <row r="6" spans="1:36" x14ac:dyDescent="0.25">
      <c r="A6" t="s">
        <v>323</v>
      </c>
      <c r="B6" t="s">
        <v>26</v>
      </c>
      <c r="D6">
        <v>3790.34</v>
      </c>
      <c r="E6">
        <v>1327.7</v>
      </c>
      <c r="G6">
        <v>1.9782000000000001E-2</v>
      </c>
      <c r="H6">
        <v>0</v>
      </c>
      <c r="I6">
        <v>164349.18</v>
      </c>
      <c r="J6">
        <v>103288.37</v>
      </c>
      <c r="K6">
        <v>0</v>
      </c>
      <c r="L6">
        <v>282049.05</v>
      </c>
      <c r="M6">
        <v>0</v>
      </c>
      <c r="N6">
        <v>125209.89</v>
      </c>
      <c r="O6">
        <v>16775.77</v>
      </c>
      <c r="P6">
        <v>15052.1</v>
      </c>
      <c r="Q6">
        <v>0</v>
      </c>
      <c r="R6">
        <v>0</v>
      </c>
      <c r="S6">
        <v>0</v>
      </c>
      <c r="T6">
        <v>0</v>
      </c>
      <c r="U6">
        <v>0</v>
      </c>
      <c r="V6">
        <v>245110.14</v>
      </c>
      <c r="W6">
        <v>0</v>
      </c>
      <c r="X6">
        <v>0</v>
      </c>
      <c r="Y6">
        <v>0</v>
      </c>
      <c r="Z6">
        <v>65854.75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124214</v>
      </c>
      <c r="AH6">
        <v>0</v>
      </c>
      <c r="AI6">
        <v>0</v>
      </c>
      <c r="AJ6">
        <v>428303255.59432</v>
      </c>
    </row>
    <row r="7" spans="1:36" x14ac:dyDescent="0.25">
      <c r="A7" t="s">
        <v>324</v>
      </c>
      <c r="B7" t="s">
        <v>26</v>
      </c>
      <c r="C7">
        <v>7874.99</v>
      </c>
      <c r="D7">
        <v>22481.73</v>
      </c>
      <c r="G7">
        <v>0.11733499999999999</v>
      </c>
      <c r="H7">
        <v>0</v>
      </c>
      <c r="I7">
        <v>805347.41</v>
      </c>
      <c r="J7">
        <v>239542.44</v>
      </c>
      <c r="K7">
        <v>0</v>
      </c>
      <c r="L7">
        <v>831153.37</v>
      </c>
      <c r="M7">
        <v>0</v>
      </c>
      <c r="N7">
        <v>289853.27</v>
      </c>
      <c r="O7">
        <v>197835.26</v>
      </c>
      <c r="P7">
        <v>141716.65</v>
      </c>
      <c r="Q7">
        <v>0</v>
      </c>
      <c r="R7">
        <v>0</v>
      </c>
      <c r="S7">
        <v>0</v>
      </c>
      <c r="T7">
        <v>0</v>
      </c>
      <c r="U7">
        <v>0</v>
      </c>
      <c r="V7">
        <v>715529.92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113887.82</v>
      </c>
      <c r="AH7">
        <v>0</v>
      </c>
      <c r="AI7">
        <v>0</v>
      </c>
      <c r="AJ7">
        <v>1614638558.0457201</v>
      </c>
    </row>
    <row r="8" spans="1:36" x14ac:dyDescent="0.25">
      <c r="A8" t="s">
        <v>325</v>
      </c>
      <c r="B8" t="s">
        <v>26</v>
      </c>
      <c r="D8">
        <v>22481.73</v>
      </c>
      <c r="E8">
        <v>7874.99</v>
      </c>
      <c r="G8">
        <v>0.11733499999999999</v>
      </c>
      <c r="H8">
        <v>0</v>
      </c>
      <c r="I8">
        <v>581058.64</v>
      </c>
      <c r="J8">
        <v>239542.44</v>
      </c>
      <c r="K8">
        <v>0</v>
      </c>
      <c r="L8">
        <v>831153.37</v>
      </c>
      <c r="M8">
        <v>0</v>
      </c>
      <c r="N8">
        <v>288562.93</v>
      </c>
      <c r="O8">
        <v>169262.38</v>
      </c>
      <c r="P8">
        <v>136379.17000000001</v>
      </c>
      <c r="Q8">
        <v>0</v>
      </c>
      <c r="R8">
        <v>0</v>
      </c>
      <c r="S8">
        <v>0</v>
      </c>
      <c r="T8">
        <v>0</v>
      </c>
      <c r="U8">
        <v>0</v>
      </c>
      <c r="V8">
        <v>719090.96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113890.92</v>
      </c>
      <c r="AH8">
        <v>0</v>
      </c>
      <c r="AI8">
        <v>0</v>
      </c>
      <c r="AJ8">
        <v>1346592085.2354</v>
      </c>
    </row>
    <row r="9" spans="1:36" x14ac:dyDescent="0.25">
      <c r="A9" t="s">
        <v>326</v>
      </c>
      <c r="B9" t="s">
        <v>26</v>
      </c>
      <c r="C9">
        <v>1327.7</v>
      </c>
      <c r="D9">
        <v>3790.34</v>
      </c>
      <c r="G9">
        <v>1.9782000000000001E-2</v>
      </c>
      <c r="H9">
        <v>0</v>
      </c>
      <c r="I9">
        <v>188342.04</v>
      </c>
      <c r="J9">
        <v>103288.37</v>
      </c>
      <c r="K9">
        <v>0</v>
      </c>
      <c r="L9">
        <v>282049.05</v>
      </c>
      <c r="M9">
        <v>0</v>
      </c>
      <c r="N9">
        <v>125209.79</v>
      </c>
      <c r="O9">
        <v>19148.25</v>
      </c>
      <c r="P9">
        <v>15118.81</v>
      </c>
      <c r="Q9">
        <v>0</v>
      </c>
      <c r="R9">
        <v>0</v>
      </c>
      <c r="S9">
        <v>0</v>
      </c>
      <c r="T9">
        <v>0</v>
      </c>
      <c r="U9">
        <v>0</v>
      </c>
      <c r="V9">
        <v>245108.68</v>
      </c>
      <c r="W9">
        <v>0</v>
      </c>
      <c r="X9">
        <v>0</v>
      </c>
      <c r="Y9">
        <v>0</v>
      </c>
      <c r="Z9">
        <v>65854.75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124209.22</v>
      </c>
      <c r="AH9">
        <v>0</v>
      </c>
      <c r="AI9">
        <v>0</v>
      </c>
      <c r="AJ9">
        <v>459421449.19784498</v>
      </c>
    </row>
    <row r="10" spans="1:36" x14ac:dyDescent="0.25">
      <c r="A10" t="s">
        <v>327</v>
      </c>
      <c r="B10" t="s">
        <v>26</v>
      </c>
      <c r="C10">
        <v>11658.98</v>
      </c>
      <c r="D10">
        <v>33284.370000000003</v>
      </c>
      <c r="G10">
        <v>0.17371600000000001</v>
      </c>
      <c r="H10">
        <v>0</v>
      </c>
      <c r="I10">
        <v>1334117.21</v>
      </c>
      <c r="J10">
        <v>626942.71</v>
      </c>
      <c r="K10">
        <v>0</v>
      </c>
      <c r="L10">
        <v>1141299.43</v>
      </c>
      <c r="M10">
        <v>0</v>
      </c>
      <c r="N10">
        <v>583063.53</v>
      </c>
      <c r="O10">
        <v>363344.01</v>
      </c>
      <c r="P10">
        <v>227542.72</v>
      </c>
      <c r="Q10">
        <v>0</v>
      </c>
      <c r="R10">
        <v>0</v>
      </c>
      <c r="S10">
        <v>0</v>
      </c>
      <c r="T10">
        <v>0</v>
      </c>
      <c r="U10">
        <v>0</v>
      </c>
      <c r="V10">
        <v>1168821.8700000001</v>
      </c>
      <c r="W10">
        <v>0</v>
      </c>
      <c r="X10">
        <v>0</v>
      </c>
      <c r="Y10">
        <v>0</v>
      </c>
      <c r="Z10">
        <v>43737.51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270720.36</v>
      </c>
      <c r="AH10">
        <v>0</v>
      </c>
      <c r="AI10">
        <v>0</v>
      </c>
      <c r="AJ10">
        <v>2400106036.7550602</v>
      </c>
    </row>
    <row r="11" spans="1:36" x14ac:dyDescent="0.25">
      <c r="A11" t="s">
        <v>328</v>
      </c>
      <c r="B11" t="s">
        <v>26</v>
      </c>
      <c r="D11">
        <v>33284.370000000003</v>
      </c>
      <c r="E11">
        <v>11658.98</v>
      </c>
      <c r="G11">
        <v>0.17371600000000001</v>
      </c>
      <c r="H11">
        <v>0</v>
      </c>
      <c r="I11">
        <v>1003986.29</v>
      </c>
      <c r="J11">
        <v>626942.71</v>
      </c>
      <c r="K11">
        <v>0</v>
      </c>
      <c r="L11">
        <v>1141299.43</v>
      </c>
      <c r="M11">
        <v>0</v>
      </c>
      <c r="N11">
        <v>581284.98</v>
      </c>
      <c r="O11">
        <v>308962.59999999998</v>
      </c>
      <c r="P11">
        <v>214945.37</v>
      </c>
      <c r="Q11">
        <v>0</v>
      </c>
      <c r="R11">
        <v>0</v>
      </c>
      <c r="S11">
        <v>0</v>
      </c>
      <c r="T11">
        <v>0</v>
      </c>
      <c r="U11">
        <v>0</v>
      </c>
      <c r="V11">
        <v>1178054.49</v>
      </c>
      <c r="W11">
        <v>0</v>
      </c>
      <c r="X11">
        <v>0</v>
      </c>
      <c r="Y11">
        <v>0</v>
      </c>
      <c r="Z11">
        <v>43737.51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270731.32</v>
      </c>
      <c r="AH11">
        <v>0</v>
      </c>
      <c r="AI11">
        <v>0</v>
      </c>
      <c r="AJ11">
        <v>2070555987.51105</v>
      </c>
    </row>
    <row r="12" spans="1:36" x14ac:dyDescent="0.25">
      <c r="A12" t="s">
        <v>329</v>
      </c>
      <c r="B12" t="s">
        <v>26</v>
      </c>
      <c r="D12">
        <v>57189.2</v>
      </c>
      <c r="E12">
        <v>20032.47</v>
      </c>
      <c r="G12">
        <v>0.29847800000000002</v>
      </c>
      <c r="H12">
        <v>0</v>
      </c>
      <c r="I12">
        <v>1935210.89</v>
      </c>
      <c r="J12">
        <v>643032.05000000005</v>
      </c>
      <c r="K12">
        <v>0</v>
      </c>
      <c r="L12">
        <v>3553012.2</v>
      </c>
      <c r="M12">
        <v>0</v>
      </c>
      <c r="N12">
        <v>1484769.12</v>
      </c>
      <c r="O12">
        <v>291393.5</v>
      </c>
      <c r="P12">
        <v>252147.33</v>
      </c>
      <c r="Q12">
        <v>0</v>
      </c>
      <c r="R12">
        <v>0</v>
      </c>
      <c r="S12">
        <v>0</v>
      </c>
      <c r="T12">
        <v>0</v>
      </c>
      <c r="U12">
        <v>0</v>
      </c>
      <c r="V12">
        <v>1893842.12</v>
      </c>
      <c r="W12">
        <v>0</v>
      </c>
      <c r="X12">
        <v>0</v>
      </c>
      <c r="Y12">
        <v>0</v>
      </c>
      <c r="Z12">
        <v>127428.8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725541.67</v>
      </c>
      <c r="AH12">
        <v>0</v>
      </c>
      <c r="AI12">
        <v>0</v>
      </c>
      <c r="AJ12">
        <v>5226516405.3677197</v>
      </c>
    </row>
    <row r="13" spans="1:36" x14ac:dyDescent="0.25">
      <c r="A13" t="s">
        <v>330</v>
      </c>
      <c r="B13" t="s">
        <v>26</v>
      </c>
      <c r="C13">
        <v>20032.47</v>
      </c>
      <c r="D13">
        <v>57189.2</v>
      </c>
      <c r="G13">
        <v>0.29847800000000002</v>
      </c>
      <c r="H13">
        <v>0</v>
      </c>
      <c r="I13">
        <v>2112967.09</v>
      </c>
      <c r="J13">
        <v>643032.05000000005</v>
      </c>
      <c r="K13">
        <v>0</v>
      </c>
      <c r="L13">
        <v>3553012.2</v>
      </c>
      <c r="M13">
        <v>0</v>
      </c>
      <c r="N13">
        <v>1486055.13</v>
      </c>
      <c r="O13">
        <v>328535.53000000003</v>
      </c>
      <c r="P13">
        <v>253518.22</v>
      </c>
      <c r="Q13">
        <v>0</v>
      </c>
      <c r="R13">
        <v>0</v>
      </c>
      <c r="S13">
        <v>0</v>
      </c>
      <c r="T13">
        <v>0</v>
      </c>
      <c r="U13">
        <v>0</v>
      </c>
      <c r="V13">
        <v>1870567.2</v>
      </c>
      <c r="W13">
        <v>0</v>
      </c>
      <c r="X13">
        <v>0</v>
      </c>
      <c r="Y13">
        <v>0</v>
      </c>
      <c r="Z13">
        <v>127428.8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725604.58</v>
      </c>
      <c r="AH13">
        <v>0</v>
      </c>
      <c r="AI13">
        <v>0</v>
      </c>
      <c r="AJ13">
        <v>5828930414.9104605</v>
      </c>
    </row>
    <row r="14" spans="1:36" x14ac:dyDescent="0.25">
      <c r="A14" t="s">
        <v>331</v>
      </c>
      <c r="B14" t="s">
        <v>26</v>
      </c>
      <c r="C14">
        <v>1381</v>
      </c>
      <c r="D14">
        <v>3942.52</v>
      </c>
      <c r="G14">
        <v>2.0577000000000002E-2</v>
      </c>
      <c r="H14">
        <v>0</v>
      </c>
      <c r="I14">
        <v>230278.93</v>
      </c>
      <c r="J14">
        <v>94437.9</v>
      </c>
      <c r="K14">
        <v>0</v>
      </c>
      <c r="L14">
        <v>258328.15</v>
      </c>
      <c r="M14">
        <v>0</v>
      </c>
      <c r="N14">
        <v>313869.53000000003</v>
      </c>
      <c r="O14">
        <v>21638.54</v>
      </c>
      <c r="P14">
        <v>17227.63</v>
      </c>
      <c r="Q14">
        <v>0</v>
      </c>
      <c r="R14">
        <v>0</v>
      </c>
      <c r="S14">
        <v>0</v>
      </c>
      <c r="T14">
        <v>0</v>
      </c>
      <c r="U14">
        <v>0</v>
      </c>
      <c r="V14">
        <v>220257.29</v>
      </c>
      <c r="W14">
        <v>0</v>
      </c>
      <c r="X14">
        <v>0</v>
      </c>
      <c r="Y14">
        <v>0</v>
      </c>
      <c r="Z14">
        <v>64094.3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228583.29</v>
      </c>
      <c r="AH14">
        <v>0</v>
      </c>
      <c r="AI14">
        <v>0</v>
      </c>
      <c r="AJ14">
        <v>711432493.57096803</v>
      </c>
    </row>
    <row r="15" spans="1:36" x14ac:dyDescent="0.25">
      <c r="A15" t="s">
        <v>332</v>
      </c>
      <c r="B15" t="s">
        <v>26</v>
      </c>
      <c r="D15">
        <v>3942.52</v>
      </c>
      <c r="E15">
        <v>1381</v>
      </c>
      <c r="G15">
        <v>2.0577000000000002E-2</v>
      </c>
      <c r="H15">
        <v>0</v>
      </c>
      <c r="I15">
        <v>221238.5</v>
      </c>
      <c r="J15">
        <v>94437.9</v>
      </c>
      <c r="K15">
        <v>0</v>
      </c>
      <c r="L15">
        <v>258328.15</v>
      </c>
      <c r="M15">
        <v>0</v>
      </c>
      <c r="N15">
        <v>313770.64</v>
      </c>
      <c r="O15">
        <v>19482.86</v>
      </c>
      <c r="P15">
        <v>17164.150000000001</v>
      </c>
      <c r="Q15">
        <v>0</v>
      </c>
      <c r="R15">
        <v>0</v>
      </c>
      <c r="S15">
        <v>0</v>
      </c>
      <c r="T15">
        <v>0</v>
      </c>
      <c r="U15">
        <v>0</v>
      </c>
      <c r="V15">
        <v>221631.69</v>
      </c>
      <c r="W15">
        <v>0</v>
      </c>
      <c r="X15">
        <v>0</v>
      </c>
      <c r="Y15">
        <v>0</v>
      </c>
      <c r="Z15">
        <v>64094.3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228585.62</v>
      </c>
      <c r="AH15">
        <v>0</v>
      </c>
      <c r="AI15">
        <v>0</v>
      </c>
      <c r="AJ15">
        <v>651789599.45631897</v>
      </c>
    </row>
    <row r="16" spans="1:36" x14ac:dyDescent="0.25">
      <c r="A16" t="s">
        <v>333</v>
      </c>
      <c r="B16" t="s">
        <v>26</v>
      </c>
      <c r="D16">
        <v>26982.63</v>
      </c>
      <c r="E16">
        <v>9451.59</v>
      </c>
      <c r="G16">
        <v>0.14082600000000001</v>
      </c>
      <c r="H16">
        <v>0</v>
      </c>
      <c r="I16">
        <v>726441.15</v>
      </c>
      <c r="J16">
        <v>163686.57</v>
      </c>
      <c r="K16">
        <v>0</v>
      </c>
      <c r="L16">
        <v>936314.72</v>
      </c>
      <c r="M16">
        <v>0</v>
      </c>
      <c r="N16">
        <v>459912.44</v>
      </c>
      <c r="O16">
        <v>213286.95</v>
      </c>
      <c r="P16">
        <v>164802.38</v>
      </c>
      <c r="Q16">
        <v>0</v>
      </c>
      <c r="R16">
        <v>0</v>
      </c>
      <c r="S16">
        <v>0</v>
      </c>
      <c r="T16">
        <v>0</v>
      </c>
      <c r="U16">
        <v>0</v>
      </c>
      <c r="V16">
        <v>607325.55000000005</v>
      </c>
      <c r="W16">
        <v>0</v>
      </c>
      <c r="X16">
        <v>0</v>
      </c>
      <c r="Y16">
        <v>0</v>
      </c>
      <c r="Z16">
        <v>68627.600000000006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475751.74</v>
      </c>
      <c r="AH16">
        <v>0</v>
      </c>
      <c r="AI16">
        <v>0</v>
      </c>
      <c r="AJ16">
        <v>1166403286.2367499</v>
      </c>
    </row>
    <row r="17" spans="1:36" x14ac:dyDescent="0.25">
      <c r="A17" t="s">
        <v>334</v>
      </c>
      <c r="B17" t="s">
        <v>26</v>
      </c>
      <c r="C17">
        <v>9451.59</v>
      </c>
      <c r="D17">
        <v>26982.63</v>
      </c>
      <c r="G17">
        <v>0.14082600000000001</v>
      </c>
      <c r="H17">
        <v>0</v>
      </c>
      <c r="I17">
        <v>907795.04</v>
      </c>
      <c r="J17">
        <v>163686.57</v>
      </c>
      <c r="K17">
        <v>0</v>
      </c>
      <c r="L17">
        <v>936314.72</v>
      </c>
      <c r="M17">
        <v>0</v>
      </c>
      <c r="N17">
        <v>460086.64</v>
      </c>
      <c r="O17">
        <v>249061.9</v>
      </c>
      <c r="P17">
        <v>175146.01</v>
      </c>
      <c r="Q17">
        <v>0</v>
      </c>
      <c r="R17">
        <v>0</v>
      </c>
      <c r="S17">
        <v>0</v>
      </c>
      <c r="T17">
        <v>0</v>
      </c>
      <c r="U17">
        <v>0</v>
      </c>
      <c r="V17">
        <v>600059.1</v>
      </c>
      <c r="W17">
        <v>0</v>
      </c>
      <c r="X17">
        <v>0</v>
      </c>
      <c r="Y17">
        <v>0</v>
      </c>
      <c r="Z17">
        <v>68627.600000000006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475756.57</v>
      </c>
      <c r="AH17">
        <v>0</v>
      </c>
      <c r="AI17">
        <v>0</v>
      </c>
      <c r="AJ17">
        <v>1209072466.4066999</v>
      </c>
    </row>
    <row r="18" spans="1:36" x14ac:dyDescent="0.25">
      <c r="A18" t="s">
        <v>335</v>
      </c>
      <c r="B18" t="s">
        <v>25</v>
      </c>
      <c r="D18">
        <v>20093.740000000002</v>
      </c>
      <c r="E18">
        <v>7038.52</v>
      </c>
      <c r="G18">
        <v>0.10487200000000001</v>
      </c>
      <c r="H18">
        <v>0</v>
      </c>
      <c r="I18">
        <v>888791.81</v>
      </c>
      <c r="J18">
        <v>394508.4</v>
      </c>
      <c r="K18">
        <v>0</v>
      </c>
      <c r="L18">
        <v>436518</v>
      </c>
      <c r="M18">
        <v>0</v>
      </c>
      <c r="N18">
        <v>286195.78000000003</v>
      </c>
      <c r="O18">
        <v>110612.39</v>
      </c>
      <c r="P18">
        <v>120288.59</v>
      </c>
      <c r="Q18">
        <v>0</v>
      </c>
      <c r="R18">
        <v>0</v>
      </c>
      <c r="S18">
        <v>0</v>
      </c>
      <c r="T18">
        <v>0</v>
      </c>
      <c r="U18">
        <v>0</v>
      </c>
      <c r="V18">
        <v>517143.24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131086.93</v>
      </c>
      <c r="AH18">
        <v>0</v>
      </c>
      <c r="AI18">
        <v>0</v>
      </c>
      <c r="AJ18">
        <v>1993810024.6878901</v>
      </c>
    </row>
    <row r="19" spans="1:36" x14ac:dyDescent="0.25">
      <c r="A19" t="s">
        <v>336</v>
      </c>
      <c r="B19" t="s">
        <v>25</v>
      </c>
      <c r="C19">
        <v>7038.52</v>
      </c>
      <c r="D19">
        <v>20093.740000000002</v>
      </c>
      <c r="G19">
        <v>0.10487200000000001</v>
      </c>
      <c r="H19">
        <v>0</v>
      </c>
      <c r="I19">
        <v>1129241.1200000001</v>
      </c>
      <c r="J19">
        <v>394508.4</v>
      </c>
      <c r="K19">
        <v>0</v>
      </c>
      <c r="L19">
        <v>436518</v>
      </c>
      <c r="M19">
        <v>0</v>
      </c>
      <c r="N19">
        <v>286168.71999999997</v>
      </c>
      <c r="O19">
        <v>130843.86</v>
      </c>
      <c r="P19">
        <v>121094.37</v>
      </c>
      <c r="Q19">
        <v>0</v>
      </c>
      <c r="R19">
        <v>0</v>
      </c>
      <c r="S19">
        <v>0</v>
      </c>
      <c r="T19">
        <v>0</v>
      </c>
      <c r="U19">
        <v>0</v>
      </c>
      <c r="V19">
        <v>517154.21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131080.06</v>
      </c>
      <c r="AH19">
        <v>0</v>
      </c>
      <c r="AI19">
        <v>0</v>
      </c>
      <c r="AJ19">
        <v>2023067740.10272</v>
      </c>
    </row>
    <row r="20" spans="1:36" x14ac:dyDescent="0.25">
      <c r="A20" t="s">
        <v>337</v>
      </c>
      <c r="B20" t="s">
        <v>25</v>
      </c>
      <c r="C20">
        <v>554.16</v>
      </c>
      <c r="D20">
        <v>1582.03</v>
      </c>
      <c r="G20">
        <v>8.2570000000000005E-3</v>
      </c>
      <c r="H20">
        <v>0</v>
      </c>
      <c r="I20">
        <v>80643.62</v>
      </c>
      <c r="J20">
        <v>12134.67</v>
      </c>
      <c r="K20">
        <v>0</v>
      </c>
      <c r="L20">
        <v>29466.65</v>
      </c>
      <c r="M20">
        <v>0</v>
      </c>
      <c r="N20">
        <v>64331.57</v>
      </c>
      <c r="O20">
        <v>10731.29</v>
      </c>
      <c r="P20">
        <v>9519.86</v>
      </c>
      <c r="Q20">
        <v>0</v>
      </c>
      <c r="R20">
        <v>0</v>
      </c>
      <c r="S20">
        <v>0</v>
      </c>
      <c r="T20">
        <v>0</v>
      </c>
      <c r="U20">
        <v>0</v>
      </c>
      <c r="V20">
        <v>281.20999999999998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3625.94</v>
      </c>
      <c r="AH20">
        <v>0</v>
      </c>
      <c r="AI20">
        <v>0</v>
      </c>
      <c r="AJ20">
        <v>137459290.766525</v>
      </c>
    </row>
    <row r="21" spans="1:36" x14ac:dyDescent="0.25">
      <c r="A21" t="s">
        <v>338</v>
      </c>
      <c r="B21" t="s">
        <v>25</v>
      </c>
      <c r="D21">
        <v>1582.03</v>
      </c>
      <c r="E21">
        <v>554.16</v>
      </c>
      <c r="G21">
        <v>8.2570000000000005E-3</v>
      </c>
      <c r="H21">
        <v>0</v>
      </c>
      <c r="I21">
        <v>52956.92</v>
      </c>
      <c r="J21">
        <v>12134.67</v>
      </c>
      <c r="K21">
        <v>0</v>
      </c>
      <c r="L21">
        <v>29466.65</v>
      </c>
      <c r="M21">
        <v>0</v>
      </c>
      <c r="N21">
        <v>64331.92</v>
      </c>
      <c r="O21">
        <v>8442.65</v>
      </c>
      <c r="P21">
        <v>9375.57</v>
      </c>
      <c r="Q21">
        <v>0</v>
      </c>
      <c r="R21">
        <v>0</v>
      </c>
      <c r="S21">
        <v>0</v>
      </c>
      <c r="T21">
        <v>0</v>
      </c>
      <c r="U21">
        <v>0</v>
      </c>
      <c r="V21">
        <v>281.20999999999998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3625.94</v>
      </c>
      <c r="AH21">
        <v>0</v>
      </c>
      <c r="AI21">
        <v>0</v>
      </c>
      <c r="AJ21">
        <v>110520113.167178</v>
      </c>
    </row>
    <row r="22" spans="1:36" x14ac:dyDescent="0.25">
      <c r="A22" t="s">
        <v>339</v>
      </c>
      <c r="B22" t="s">
        <v>25</v>
      </c>
      <c r="C22">
        <v>8821.4</v>
      </c>
      <c r="D22">
        <v>25183.55</v>
      </c>
      <c r="G22">
        <v>0.131436</v>
      </c>
      <c r="H22">
        <v>0</v>
      </c>
      <c r="I22">
        <v>1590061.86</v>
      </c>
      <c r="J22">
        <v>239542.44</v>
      </c>
      <c r="K22">
        <v>0</v>
      </c>
      <c r="L22">
        <v>831153.37</v>
      </c>
      <c r="M22">
        <v>0</v>
      </c>
      <c r="N22">
        <v>300747.93</v>
      </c>
      <c r="O22">
        <v>252888.16</v>
      </c>
      <c r="P22">
        <v>234195.13</v>
      </c>
      <c r="Q22">
        <v>0</v>
      </c>
      <c r="R22">
        <v>0</v>
      </c>
      <c r="S22">
        <v>0</v>
      </c>
      <c r="T22">
        <v>0</v>
      </c>
      <c r="U22">
        <v>0</v>
      </c>
      <c r="V22">
        <v>573458.73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85791.48</v>
      </c>
      <c r="AH22">
        <v>0</v>
      </c>
      <c r="AI22">
        <v>0</v>
      </c>
      <c r="AJ22">
        <v>2181159678.1631699</v>
      </c>
    </row>
    <row r="23" spans="1:36" x14ac:dyDescent="0.25">
      <c r="A23" t="s">
        <v>340</v>
      </c>
      <c r="B23" t="s">
        <v>25</v>
      </c>
      <c r="D23">
        <v>25183.55</v>
      </c>
      <c r="E23">
        <v>8821.4</v>
      </c>
      <c r="G23">
        <v>0.131436</v>
      </c>
      <c r="H23">
        <v>0</v>
      </c>
      <c r="I23">
        <v>1263618.04</v>
      </c>
      <c r="J23">
        <v>239542.44</v>
      </c>
      <c r="K23">
        <v>0</v>
      </c>
      <c r="L23">
        <v>831153.37</v>
      </c>
      <c r="M23">
        <v>0</v>
      </c>
      <c r="N23">
        <v>300591.07</v>
      </c>
      <c r="O23">
        <v>223110.86</v>
      </c>
      <c r="P23">
        <v>232098.66</v>
      </c>
      <c r="Q23">
        <v>0</v>
      </c>
      <c r="R23">
        <v>0</v>
      </c>
      <c r="S23">
        <v>0</v>
      </c>
      <c r="T23">
        <v>0</v>
      </c>
      <c r="U23">
        <v>0</v>
      </c>
      <c r="V23">
        <v>574715.15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85790.84</v>
      </c>
      <c r="AH23">
        <v>0</v>
      </c>
      <c r="AI23">
        <v>0</v>
      </c>
      <c r="AJ23">
        <v>2001829337.6762199</v>
      </c>
    </row>
    <row r="24" spans="1:36" x14ac:dyDescent="0.25">
      <c r="A24" t="s">
        <v>341</v>
      </c>
      <c r="B24" t="s">
        <v>25</v>
      </c>
      <c r="D24">
        <v>4536.17</v>
      </c>
      <c r="E24">
        <v>1588.95</v>
      </c>
      <c r="G24">
        <v>2.3675000000000002E-2</v>
      </c>
      <c r="H24">
        <v>0</v>
      </c>
      <c r="I24">
        <v>328760.46000000002</v>
      </c>
      <c r="J24">
        <v>103288.37</v>
      </c>
      <c r="K24">
        <v>0</v>
      </c>
      <c r="L24">
        <v>282049.05</v>
      </c>
      <c r="M24">
        <v>0</v>
      </c>
      <c r="N24">
        <v>133726.07</v>
      </c>
      <c r="O24">
        <v>24703.63</v>
      </c>
      <c r="P24">
        <v>27058.48</v>
      </c>
      <c r="Q24">
        <v>0</v>
      </c>
      <c r="R24">
        <v>0</v>
      </c>
      <c r="S24">
        <v>0</v>
      </c>
      <c r="T24">
        <v>0</v>
      </c>
      <c r="U24">
        <v>0</v>
      </c>
      <c r="V24">
        <v>176357.29</v>
      </c>
      <c r="W24">
        <v>0</v>
      </c>
      <c r="X24">
        <v>0</v>
      </c>
      <c r="Y24">
        <v>0</v>
      </c>
      <c r="Z24">
        <v>65854.75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93548.4</v>
      </c>
      <c r="AH24">
        <v>0</v>
      </c>
      <c r="AI24">
        <v>0</v>
      </c>
      <c r="AJ24">
        <v>550657431.56746197</v>
      </c>
    </row>
    <row r="25" spans="1:36" x14ac:dyDescent="0.25">
      <c r="A25" t="s">
        <v>342</v>
      </c>
      <c r="B25" t="s">
        <v>25</v>
      </c>
      <c r="C25">
        <v>1588.95</v>
      </c>
      <c r="D25">
        <v>4536.17</v>
      </c>
      <c r="G25">
        <v>2.3675000000000002E-2</v>
      </c>
      <c r="H25">
        <v>0</v>
      </c>
      <c r="I25">
        <v>408190.59</v>
      </c>
      <c r="J25">
        <v>103288.37</v>
      </c>
      <c r="K25">
        <v>0</v>
      </c>
      <c r="L25">
        <v>282049.05</v>
      </c>
      <c r="M25">
        <v>0</v>
      </c>
      <c r="N25">
        <v>133711.67999999999</v>
      </c>
      <c r="O25">
        <v>29049.43</v>
      </c>
      <c r="P25">
        <v>27056.21</v>
      </c>
      <c r="Q25">
        <v>0</v>
      </c>
      <c r="R25">
        <v>0</v>
      </c>
      <c r="S25">
        <v>0</v>
      </c>
      <c r="T25">
        <v>0</v>
      </c>
      <c r="U25">
        <v>0</v>
      </c>
      <c r="V25">
        <v>175973.67</v>
      </c>
      <c r="W25">
        <v>0</v>
      </c>
      <c r="X25">
        <v>0</v>
      </c>
      <c r="Y25">
        <v>0</v>
      </c>
      <c r="Z25">
        <v>65854.75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93535.42</v>
      </c>
      <c r="AH25">
        <v>0</v>
      </c>
      <c r="AI25">
        <v>0</v>
      </c>
      <c r="AJ25">
        <v>590499642.07194197</v>
      </c>
    </row>
    <row r="26" spans="1:36" x14ac:dyDescent="0.25">
      <c r="A26" t="s">
        <v>343</v>
      </c>
      <c r="B26" t="s">
        <v>25</v>
      </c>
      <c r="D26">
        <v>37973.300000000003</v>
      </c>
      <c r="E26">
        <v>13301.44</v>
      </c>
      <c r="G26">
        <v>0.198188</v>
      </c>
      <c r="H26">
        <v>0</v>
      </c>
      <c r="I26">
        <v>2004178.25</v>
      </c>
      <c r="J26">
        <v>626942.71</v>
      </c>
      <c r="K26">
        <v>0</v>
      </c>
      <c r="L26">
        <v>1141299.43</v>
      </c>
      <c r="M26">
        <v>0</v>
      </c>
      <c r="N26">
        <v>564387.06999999995</v>
      </c>
      <c r="O26">
        <v>360468.93</v>
      </c>
      <c r="P26">
        <v>365590.39</v>
      </c>
      <c r="Q26">
        <v>0</v>
      </c>
      <c r="R26">
        <v>0</v>
      </c>
      <c r="S26">
        <v>0</v>
      </c>
      <c r="T26">
        <v>0</v>
      </c>
      <c r="U26">
        <v>0</v>
      </c>
      <c r="V26">
        <v>1089913.95</v>
      </c>
      <c r="W26">
        <v>0</v>
      </c>
      <c r="X26">
        <v>0</v>
      </c>
      <c r="Y26">
        <v>0</v>
      </c>
      <c r="Z26">
        <v>43737.51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203695.1</v>
      </c>
      <c r="AH26">
        <v>0</v>
      </c>
      <c r="AI26">
        <v>0</v>
      </c>
      <c r="AJ26">
        <v>2974385555.7600899</v>
      </c>
    </row>
    <row r="27" spans="1:36" x14ac:dyDescent="0.25">
      <c r="A27" t="s">
        <v>344</v>
      </c>
      <c r="B27" t="s">
        <v>25</v>
      </c>
      <c r="C27">
        <v>13301.44</v>
      </c>
      <c r="D27">
        <v>37973.300000000003</v>
      </c>
      <c r="G27">
        <v>0.198188</v>
      </c>
      <c r="H27">
        <v>0</v>
      </c>
      <c r="I27">
        <v>2528656.0299999998</v>
      </c>
      <c r="J27">
        <v>626942.71</v>
      </c>
      <c r="K27">
        <v>0</v>
      </c>
      <c r="L27">
        <v>1141299.43</v>
      </c>
      <c r="M27">
        <v>0</v>
      </c>
      <c r="N27">
        <v>565129.56000000006</v>
      </c>
      <c r="O27">
        <v>413918.81</v>
      </c>
      <c r="P27">
        <v>372581.02</v>
      </c>
      <c r="Q27">
        <v>0</v>
      </c>
      <c r="R27">
        <v>0</v>
      </c>
      <c r="S27">
        <v>0</v>
      </c>
      <c r="T27">
        <v>0</v>
      </c>
      <c r="U27">
        <v>0</v>
      </c>
      <c r="V27">
        <v>1091891.68</v>
      </c>
      <c r="W27">
        <v>0</v>
      </c>
      <c r="X27">
        <v>0</v>
      </c>
      <c r="Y27">
        <v>0</v>
      </c>
      <c r="Z27">
        <v>43737.51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203675.6</v>
      </c>
      <c r="AH27">
        <v>0</v>
      </c>
      <c r="AI27">
        <v>0</v>
      </c>
      <c r="AJ27">
        <v>3036834628.7740102</v>
      </c>
    </row>
    <row r="28" spans="1:36" x14ac:dyDescent="0.25">
      <c r="A28" t="s">
        <v>345</v>
      </c>
      <c r="B28" t="s">
        <v>25</v>
      </c>
      <c r="D28">
        <v>4873.3</v>
      </c>
      <c r="E28">
        <v>1707.04</v>
      </c>
      <c r="G28">
        <v>2.5433999999999998E-2</v>
      </c>
      <c r="H28">
        <v>0</v>
      </c>
      <c r="I28">
        <v>450931.81</v>
      </c>
      <c r="J28">
        <v>94437.9</v>
      </c>
      <c r="K28">
        <v>0</v>
      </c>
      <c r="L28">
        <v>258328.15</v>
      </c>
      <c r="M28">
        <v>0</v>
      </c>
      <c r="N28">
        <v>265236.01</v>
      </c>
      <c r="O28">
        <v>28012.18</v>
      </c>
      <c r="P28">
        <v>30503.1</v>
      </c>
      <c r="Q28">
        <v>0</v>
      </c>
      <c r="R28">
        <v>0</v>
      </c>
      <c r="S28">
        <v>0</v>
      </c>
      <c r="T28">
        <v>0</v>
      </c>
      <c r="U28">
        <v>0</v>
      </c>
      <c r="V28">
        <v>118574.18</v>
      </c>
      <c r="W28">
        <v>0</v>
      </c>
      <c r="X28">
        <v>0</v>
      </c>
      <c r="Y28">
        <v>0</v>
      </c>
      <c r="Z28">
        <v>64094.3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171935.8</v>
      </c>
      <c r="AH28">
        <v>0</v>
      </c>
      <c r="AI28">
        <v>0</v>
      </c>
      <c r="AJ28">
        <v>1001561714.49554</v>
      </c>
    </row>
    <row r="29" spans="1:36" x14ac:dyDescent="0.25">
      <c r="A29" t="s">
        <v>346</v>
      </c>
      <c r="B29" t="s">
        <v>25</v>
      </c>
      <c r="C29">
        <v>1707.04</v>
      </c>
      <c r="D29">
        <v>4873.3</v>
      </c>
      <c r="G29">
        <v>2.5433999999999998E-2</v>
      </c>
      <c r="H29">
        <v>0</v>
      </c>
      <c r="I29">
        <v>510699.2</v>
      </c>
      <c r="J29">
        <v>94437.9</v>
      </c>
      <c r="K29">
        <v>0</v>
      </c>
      <c r="L29">
        <v>258328.15</v>
      </c>
      <c r="M29">
        <v>0</v>
      </c>
      <c r="N29">
        <v>265196.11</v>
      </c>
      <c r="O29">
        <v>32642.76</v>
      </c>
      <c r="P29">
        <v>30576.23</v>
      </c>
      <c r="Q29">
        <v>0</v>
      </c>
      <c r="R29">
        <v>0</v>
      </c>
      <c r="S29">
        <v>0</v>
      </c>
      <c r="T29">
        <v>0</v>
      </c>
      <c r="U29">
        <v>0</v>
      </c>
      <c r="V29">
        <v>118486.32</v>
      </c>
      <c r="W29">
        <v>0</v>
      </c>
      <c r="X29">
        <v>0</v>
      </c>
      <c r="Y29">
        <v>0</v>
      </c>
      <c r="Z29">
        <v>64094.3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171935.84</v>
      </c>
      <c r="AH29">
        <v>0</v>
      </c>
      <c r="AI29">
        <v>0</v>
      </c>
      <c r="AJ29">
        <v>1033009077.63665</v>
      </c>
    </row>
    <row r="30" spans="1:36" x14ac:dyDescent="0.25">
      <c r="A30" t="s">
        <v>347</v>
      </c>
      <c r="B30" t="s">
        <v>25</v>
      </c>
      <c r="D30">
        <v>67545.41</v>
      </c>
      <c r="E30">
        <v>23660.080000000002</v>
      </c>
      <c r="G30">
        <v>0.35252899999999998</v>
      </c>
      <c r="H30">
        <v>0</v>
      </c>
      <c r="I30">
        <v>3353886.4</v>
      </c>
      <c r="J30">
        <v>643032.05000000005</v>
      </c>
      <c r="K30">
        <v>0</v>
      </c>
      <c r="L30">
        <v>3553012.2</v>
      </c>
      <c r="M30">
        <v>0</v>
      </c>
      <c r="N30">
        <v>1511282.7</v>
      </c>
      <c r="O30">
        <v>402608.77</v>
      </c>
      <c r="P30">
        <v>439948.81</v>
      </c>
      <c r="Q30">
        <v>0</v>
      </c>
      <c r="R30">
        <v>0</v>
      </c>
      <c r="S30">
        <v>0</v>
      </c>
      <c r="T30">
        <v>0</v>
      </c>
      <c r="U30">
        <v>0</v>
      </c>
      <c r="V30">
        <v>1873152.45</v>
      </c>
      <c r="W30">
        <v>0</v>
      </c>
      <c r="X30">
        <v>0</v>
      </c>
      <c r="Y30">
        <v>0</v>
      </c>
      <c r="Z30">
        <v>127428.8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544402.32999999996</v>
      </c>
      <c r="AH30">
        <v>0</v>
      </c>
      <c r="AI30">
        <v>0</v>
      </c>
      <c r="AJ30">
        <v>6497749283.7636299</v>
      </c>
    </row>
    <row r="31" spans="1:36" x14ac:dyDescent="0.25">
      <c r="A31" t="s">
        <v>348</v>
      </c>
      <c r="B31" t="s">
        <v>25</v>
      </c>
      <c r="D31">
        <v>32400.32</v>
      </c>
      <c r="E31">
        <v>11349.32</v>
      </c>
      <c r="G31">
        <v>0.169102</v>
      </c>
      <c r="H31">
        <v>0</v>
      </c>
      <c r="I31">
        <v>1280759.68</v>
      </c>
      <c r="J31">
        <v>163686.57</v>
      </c>
      <c r="K31">
        <v>0</v>
      </c>
      <c r="L31">
        <v>936314.72</v>
      </c>
      <c r="M31">
        <v>0</v>
      </c>
      <c r="N31">
        <v>501293.56</v>
      </c>
      <c r="O31">
        <v>277722.13</v>
      </c>
      <c r="P31">
        <v>294280.64</v>
      </c>
      <c r="Q31">
        <v>0</v>
      </c>
      <c r="R31">
        <v>0</v>
      </c>
      <c r="S31">
        <v>0</v>
      </c>
      <c r="T31">
        <v>0</v>
      </c>
      <c r="U31">
        <v>0</v>
      </c>
      <c r="V31">
        <v>641920.99</v>
      </c>
      <c r="W31">
        <v>0</v>
      </c>
      <c r="X31">
        <v>0</v>
      </c>
      <c r="Y31">
        <v>0</v>
      </c>
      <c r="Z31">
        <v>68627.600000000006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356141.8</v>
      </c>
      <c r="AH31">
        <v>0</v>
      </c>
      <c r="AI31">
        <v>0</v>
      </c>
      <c r="AJ31">
        <v>2496649665.9562998</v>
      </c>
    </row>
    <row r="32" spans="1:36" x14ac:dyDescent="0.25">
      <c r="A32" t="s">
        <v>349</v>
      </c>
      <c r="B32" t="s">
        <v>25</v>
      </c>
      <c r="C32">
        <v>11349.32</v>
      </c>
      <c r="D32">
        <v>32400.32</v>
      </c>
      <c r="G32">
        <v>0.169102</v>
      </c>
      <c r="H32">
        <v>0</v>
      </c>
      <c r="I32">
        <v>1801267.05</v>
      </c>
      <c r="J32">
        <v>163686.57</v>
      </c>
      <c r="K32">
        <v>0</v>
      </c>
      <c r="L32">
        <v>936314.72</v>
      </c>
      <c r="M32">
        <v>0</v>
      </c>
      <c r="N32">
        <v>501162.28</v>
      </c>
      <c r="O32">
        <v>327880.90999999997</v>
      </c>
      <c r="P32">
        <v>301248.27</v>
      </c>
      <c r="Q32">
        <v>0</v>
      </c>
      <c r="R32">
        <v>0</v>
      </c>
      <c r="S32">
        <v>0</v>
      </c>
      <c r="T32">
        <v>0</v>
      </c>
      <c r="U32">
        <v>0</v>
      </c>
      <c r="V32">
        <v>641581.07999999996</v>
      </c>
      <c r="W32">
        <v>0</v>
      </c>
      <c r="X32">
        <v>0</v>
      </c>
      <c r="Y32">
        <v>0</v>
      </c>
      <c r="Z32">
        <v>68627.600000000006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356152.64</v>
      </c>
      <c r="AH32">
        <v>0</v>
      </c>
      <c r="AI32">
        <v>0</v>
      </c>
      <c r="AJ32">
        <v>2514794924.2470398</v>
      </c>
    </row>
    <row r="33" spans="1:36" x14ac:dyDescent="0.25">
      <c r="A33" t="s">
        <v>350</v>
      </c>
      <c r="B33" t="s">
        <v>25</v>
      </c>
      <c r="C33">
        <v>23660.080000000002</v>
      </c>
      <c r="D33">
        <v>67545.41</v>
      </c>
      <c r="G33">
        <v>0.35252899999999998</v>
      </c>
      <c r="H33">
        <v>0</v>
      </c>
      <c r="I33">
        <v>4362973.42</v>
      </c>
      <c r="J33">
        <v>643032.05000000005</v>
      </c>
      <c r="K33">
        <v>0</v>
      </c>
      <c r="L33">
        <v>3553012.2</v>
      </c>
      <c r="M33">
        <v>0</v>
      </c>
      <c r="N33">
        <v>1511317.08</v>
      </c>
      <c r="O33">
        <v>473025.49</v>
      </c>
      <c r="P33">
        <v>441343.09</v>
      </c>
      <c r="Q33">
        <v>0</v>
      </c>
      <c r="R33">
        <v>0</v>
      </c>
      <c r="S33">
        <v>0</v>
      </c>
      <c r="T33">
        <v>0</v>
      </c>
      <c r="U33">
        <v>0</v>
      </c>
      <c r="V33">
        <v>1873151.32</v>
      </c>
      <c r="W33">
        <v>0</v>
      </c>
      <c r="X33">
        <v>0</v>
      </c>
      <c r="Y33">
        <v>0</v>
      </c>
      <c r="Z33">
        <v>127428.8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544305.18999999994</v>
      </c>
      <c r="AH33">
        <v>0</v>
      </c>
      <c r="AI33">
        <v>0</v>
      </c>
      <c r="AJ33">
        <v>6773888755.4277096</v>
      </c>
    </row>
    <row r="34" spans="1:36" x14ac:dyDescent="0.25">
      <c r="A34" t="s">
        <v>351</v>
      </c>
      <c r="B34" t="s">
        <v>24</v>
      </c>
      <c r="C34">
        <v>6612.95</v>
      </c>
      <c r="D34">
        <v>18878.810000000001</v>
      </c>
      <c r="G34">
        <v>9.8530999999999994E-2</v>
      </c>
      <c r="H34">
        <v>0</v>
      </c>
      <c r="I34">
        <v>751911.91</v>
      </c>
      <c r="J34">
        <v>394508.4</v>
      </c>
      <c r="K34">
        <v>0</v>
      </c>
      <c r="L34">
        <v>436518</v>
      </c>
      <c r="M34">
        <v>0</v>
      </c>
      <c r="N34">
        <v>272682.28999999998</v>
      </c>
      <c r="O34">
        <v>106582.41</v>
      </c>
      <c r="P34">
        <v>96403.45</v>
      </c>
      <c r="Q34">
        <v>0</v>
      </c>
      <c r="R34">
        <v>0</v>
      </c>
      <c r="S34">
        <v>0</v>
      </c>
      <c r="T34">
        <v>0</v>
      </c>
      <c r="U34">
        <v>0</v>
      </c>
      <c r="V34">
        <v>416607.48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147585.1</v>
      </c>
      <c r="AH34">
        <v>0</v>
      </c>
      <c r="AI34">
        <v>0</v>
      </c>
      <c r="AJ34">
        <v>1987655965.57847</v>
      </c>
    </row>
    <row r="35" spans="1:36" x14ac:dyDescent="0.25">
      <c r="A35" t="s">
        <v>352</v>
      </c>
      <c r="B35" t="s">
        <v>24</v>
      </c>
      <c r="D35">
        <v>18878.810000000001</v>
      </c>
      <c r="E35">
        <v>6612.95</v>
      </c>
      <c r="G35">
        <v>9.8530999999999994E-2</v>
      </c>
      <c r="H35">
        <v>0</v>
      </c>
      <c r="I35">
        <v>704919.83</v>
      </c>
      <c r="J35">
        <v>394508.4</v>
      </c>
      <c r="K35">
        <v>0</v>
      </c>
      <c r="L35">
        <v>436518</v>
      </c>
      <c r="M35">
        <v>0</v>
      </c>
      <c r="N35">
        <v>272794.68</v>
      </c>
      <c r="O35">
        <v>94753.93</v>
      </c>
      <c r="P35">
        <v>95228.01</v>
      </c>
      <c r="Q35">
        <v>0</v>
      </c>
      <c r="R35">
        <v>0</v>
      </c>
      <c r="S35">
        <v>0</v>
      </c>
      <c r="T35">
        <v>0</v>
      </c>
      <c r="U35">
        <v>0</v>
      </c>
      <c r="V35">
        <v>416772.6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147586.16</v>
      </c>
      <c r="AH35">
        <v>0</v>
      </c>
      <c r="AI35">
        <v>0</v>
      </c>
      <c r="AJ35">
        <v>2021376522.39557</v>
      </c>
    </row>
    <row r="36" spans="1:36" x14ac:dyDescent="0.25">
      <c r="A36" t="s">
        <v>353</v>
      </c>
      <c r="B36" t="s">
        <v>24</v>
      </c>
      <c r="C36">
        <v>538.54</v>
      </c>
      <c r="D36">
        <v>1537.43</v>
      </c>
      <c r="G36">
        <v>8.0239999999999999E-3</v>
      </c>
      <c r="H36">
        <v>0</v>
      </c>
      <c r="I36">
        <v>54836.49</v>
      </c>
      <c r="J36">
        <v>12134.67</v>
      </c>
      <c r="K36">
        <v>0</v>
      </c>
      <c r="L36">
        <v>29466.65</v>
      </c>
      <c r="M36">
        <v>0</v>
      </c>
      <c r="N36">
        <v>67613.539999999994</v>
      </c>
      <c r="O36">
        <v>9475.86</v>
      </c>
      <c r="P36">
        <v>7886.64</v>
      </c>
      <c r="Q36">
        <v>0</v>
      </c>
      <c r="R36">
        <v>0</v>
      </c>
      <c r="S36">
        <v>0</v>
      </c>
      <c r="T36">
        <v>0</v>
      </c>
      <c r="U36">
        <v>0</v>
      </c>
      <c r="V36">
        <v>2025.77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4007.89</v>
      </c>
      <c r="AH36">
        <v>0</v>
      </c>
      <c r="AI36">
        <v>0</v>
      </c>
      <c r="AJ36">
        <v>130458969.02923401</v>
      </c>
    </row>
    <row r="37" spans="1:36" x14ac:dyDescent="0.25">
      <c r="A37" t="s">
        <v>354</v>
      </c>
      <c r="B37" t="s">
        <v>24</v>
      </c>
      <c r="D37">
        <v>1537.43</v>
      </c>
      <c r="E37">
        <v>538.54</v>
      </c>
      <c r="G37">
        <v>8.0239999999999999E-3</v>
      </c>
      <c r="H37">
        <v>0</v>
      </c>
      <c r="I37">
        <v>37932.18</v>
      </c>
      <c r="J37">
        <v>12134.67</v>
      </c>
      <c r="K37">
        <v>0</v>
      </c>
      <c r="L37">
        <v>29466.65</v>
      </c>
      <c r="M37">
        <v>0</v>
      </c>
      <c r="N37">
        <v>67612.63</v>
      </c>
      <c r="O37">
        <v>7195</v>
      </c>
      <c r="P37">
        <v>7552.7</v>
      </c>
      <c r="Q37">
        <v>0</v>
      </c>
      <c r="R37">
        <v>0</v>
      </c>
      <c r="S37">
        <v>0</v>
      </c>
      <c r="T37">
        <v>0</v>
      </c>
      <c r="U37">
        <v>0</v>
      </c>
      <c r="V37">
        <v>2025.77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4007.9</v>
      </c>
      <c r="AH37">
        <v>0</v>
      </c>
      <c r="AI37">
        <v>0</v>
      </c>
      <c r="AJ37">
        <v>112459958.26387</v>
      </c>
    </row>
    <row r="38" spans="1:36" x14ac:dyDescent="0.25">
      <c r="A38" t="s">
        <v>355</v>
      </c>
      <c r="B38" t="s">
        <v>24</v>
      </c>
      <c r="D38">
        <v>24382.16</v>
      </c>
      <c r="E38">
        <v>8540.68</v>
      </c>
      <c r="G38">
        <v>0.12725400000000001</v>
      </c>
      <c r="H38">
        <v>0</v>
      </c>
      <c r="I38">
        <v>840501.8</v>
      </c>
      <c r="J38">
        <v>239542.44</v>
      </c>
      <c r="K38">
        <v>0</v>
      </c>
      <c r="L38">
        <v>831153.37</v>
      </c>
      <c r="M38">
        <v>0</v>
      </c>
      <c r="N38">
        <v>274164.83</v>
      </c>
      <c r="O38">
        <v>190087.66</v>
      </c>
      <c r="P38">
        <v>192051.02</v>
      </c>
      <c r="Q38">
        <v>0</v>
      </c>
      <c r="R38">
        <v>0</v>
      </c>
      <c r="S38">
        <v>0</v>
      </c>
      <c r="T38">
        <v>0</v>
      </c>
      <c r="U38">
        <v>0</v>
      </c>
      <c r="V38">
        <v>529321.26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96582.98</v>
      </c>
      <c r="AH38">
        <v>0</v>
      </c>
      <c r="AI38">
        <v>0</v>
      </c>
      <c r="AJ38">
        <v>1677361084.73858</v>
      </c>
    </row>
    <row r="39" spans="1:36" x14ac:dyDescent="0.25">
      <c r="A39" t="s">
        <v>356</v>
      </c>
      <c r="B39" t="s">
        <v>24</v>
      </c>
      <c r="C39">
        <v>8540.68</v>
      </c>
      <c r="D39">
        <v>24382.16</v>
      </c>
      <c r="G39">
        <v>0.12725400000000001</v>
      </c>
      <c r="H39">
        <v>0</v>
      </c>
      <c r="I39">
        <v>1116393.99</v>
      </c>
      <c r="J39">
        <v>239542.44</v>
      </c>
      <c r="K39">
        <v>0</v>
      </c>
      <c r="L39">
        <v>831153.37</v>
      </c>
      <c r="M39">
        <v>0</v>
      </c>
      <c r="N39">
        <v>274347.33</v>
      </c>
      <c r="O39">
        <v>219618.24</v>
      </c>
      <c r="P39">
        <v>196257.99</v>
      </c>
      <c r="Q39">
        <v>0</v>
      </c>
      <c r="R39">
        <v>0</v>
      </c>
      <c r="S39">
        <v>0</v>
      </c>
      <c r="T39">
        <v>0</v>
      </c>
      <c r="U39">
        <v>0</v>
      </c>
      <c r="V39">
        <v>527010.09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96576.08</v>
      </c>
      <c r="AH39">
        <v>0</v>
      </c>
      <c r="AI39">
        <v>0</v>
      </c>
      <c r="AJ39">
        <v>2001485280.69718</v>
      </c>
    </row>
    <row r="40" spans="1:36" x14ac:dyDescent="0.25">
      <c r="A40" t="s">
        <v>357</v>
      </c>
      <c r="B40" t="s">
        <v>24</v>
      </c>
      <c r="D40">
        <v>4393.43</v>
      </c>
      <c r="E40">
        <v>1538.95</v>
      </c>
      <c r="G40">
        <v>2.2929999999999999E-2</v>
      </c>
      <c r="H40">
        <v>0</v>
      </c>
      <c r="I40">
        <v>251536.02</v>
      </c>
      <c r="J40">
        <v>103288.37</v>
      </c>
      <c r="K40">
        <v>0</v>
      </c>
      <c r="L40">
        <v>282049.05</v>
      </c>
      <c r="M40">
        <v>0</v>
      </c>
      <c r="N40">
        <v>123814.96</v>
      </c>
      <c r="O40">
        <v>21660.36</v>
      </c>
      <c r="P40">
        <v>22088.09</v>
      </c>
      <c r="Q40">
        <v>0</v>
      </c>
      <c r="R40">
        <v>0</v>
      </c>
      <c r="S40">
        <v>0</v>
      </c>
      <c r="T40">
        <v>0</v>
      </c>
      <c r="U40">
        <v>0</v>
      </c>
      <c r="V40">
        <v>164815.10999999999</v>
      </c>
      <c r="W40">
        <v>0</v>
      </c>
      <c r="X40">
        <v>0</v>
      </c>
      <c r="Y40">
        <v>0</v>
      </c>
      <c r="Z40">
        <v>65854.75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105307.15</v>
      </c>
      <c r="AH40">
        <v>0</v>
      </c>
      <c r="AI40">
        <v>0</v>
      </c>
      <c r="AJ40">
        <v>606608544.89424205</v>
      </c>
    </row>
    <row r="41" spans="1:36" x14ac:dyDescent="0.25">
      <c r="A41" t="s">
        <v>358</v>
      </c>
      <c r="B41" t="s">
        <v>24</v>
      </c>
      <c r="C41">
        <v>1538.95</v>
      </c>
      <c r="D41">
        <v>4393.43</v>
      </c>
      <c r="G41">
        <v>2.2929999999999999E-2</v>
      </c>
      <c r="H41">
        <v>0</v>
      </c>
      <c r="I41">
        <v>289654.77</v>
      </c>
      <c r="J41">
        <v>103288.37</v>
      </c>
      <c r="K41">
        <v>0</v>
      </c>
      <c r="L41">
        <v>282049.05</v>
      </c>
      <c r="M41">
        <v>0</v>
      </c>
      <c r="N41">
        <v>123815.03</v>
      </c>
      <c r="O41">
        <v>24475.18</v>
      </c>
      <c r="P41">
        <v>22157.06</v>
      </c>
      <c r="Q41">
        <v>0</v>
      </c>
      <c r="R41">
        <v>0</v>
      </c>
      <c r="S41">
        <v>0</v>
      </c>
      <c r="T41">
        <v>0</v>
      </c>
      <c r="U41">
        <v>0</v>
      </c>
      <c r="V41">
        <v>164774.57</v>
      </c>
      <c r="W41">
        <v>0</v>
      </c>
      <c r="X41">
        <v>0</v>
      </c>
      <c r="Y41">
        <v>0</v>
      </c>
      <c r="Z41">
        <v>65854.75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105305.45</v>
      </c>
      <c r="AH41">
        <v>0</v>
      </c>
      <c r="AI41">
        <v>0</v>
      </c>
      <c r="AJ41">
        <v>616368118.246243</v>
      </c>
    </row>
    <row r="42" spans="1:36" x14ac:dyDescent="0.25">
      <c r="A42" t="s">
        <v>359</v>
      </c>
      <c r="B42" t="s">
        <v>24</v>
      </c>
      <c r="D42">
        <v>36675.480000000003</v>
      </c>
      <c r="E42">
        <v>12846.84</v>
      </c>
      <c r="G42">
        <v>0.191414</v>
      </c>
      <c r="H42">
        <v>0</v>
      </c>
      <c r="I42">
        <v>1464828.52</v>
      </c>
      <c r="J42">
        <v>626942.71</v>
      </c>
      <c r="K42">
        <v>0</v>
      </c>
      <c r="L42">
        <v>1141299.43</v>
      </c>
      <c r="M42">
        <v>0</v>
      </c>
      <c r="N42">
        <v>543318.24</v>
      </c>
      <c r="O42">
        <v>343549.08</v>
      </c>
      <c r="P42">
        <v>311400.78999999998</v>
      </c>
      <c r="Q42">
        <v>0</v>
      </c>
      <c r="R42">
        <v>0</v>
      </c>
      <c r="S42">
        <v>0</v>
      </c>
      <c r="T42">
        <v>0</v>
      </c>
      <c r="U42">
        <v>0</v>
      </c>
      <c r="V42">
        <v>992148.83</v>
      </c>
      <c r="W42">
        <v>0</v>
      </c>
      <c r="X42">
        <v>0</v>
      </c>
      <c r="Y42">
        <v>0</v>
      </c>
      <c r="Z42">
        <v>43737.51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229425.69</v>
      </c>
      <c r="AH42">
        <v>0</v>
      </c>
      <c r="AI42">
        <v>0</v>
      </c>
      <c r="AJ42">
        <v>2794979850.74335</v>
      </c>
    </row>
    <row r="43" spans="1:36" x14ac:dyDescent="0.25">
      <c r="A43" t="s">
        <v>360</v>
      </c>
      <c r="B43" t="s">
        <v>24</v>
      </c>
      <c r="C43">
        <v>12846.84</v>
      </c>
      <c r="D43">
        <v>36675.480000000003</v>
      </c>
      <c r="G43">
        <v>0.191414</v>
      </c>
      <c r="H43">
        <v>0</v>
      </c>
      <c r="I43">
        <v>1816356.06</v>
      </c>
      <c r="J43">
        <v>626942.71</v>
      </c>
      <c r="K43">
        <v>0</v>
      </c>
      <c r="L43">
        <v>1141299.43</v>
      </c>
      <c r="M43">
        <v>0</v>
      </c>
      <c r="N43">
        <v>543575.62</v>
      </c>
      <c r="O43">
        <v>398604.79999999999</v>
      </c>
      <c r="P43">
        <v>324910.26</v>
      </c>
      <c r="Q43">
        <v>0</v>
      </c>
      <c r="R43">
        <v>0</v>
      </c>
      <c r="S43">
        <v>0</v>
      </c>
      <c r="T43">
        <v>0</v>
      </c>
      <c r="U43">
        <v>0</v>
      </c>
      <c r="V43">
        <v>989086.16</v>
      </c>
      <c r="W43">
        <v>0</v>
      </c>
      <c r="X43">
        <v>0</v>
      </c>
      <c r="Y43">
        <v>0</v>
      </c>
      <c r="Z43">
        <v>43737.51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229429.63</v>
      </c>
      <c r="AH43">
        <v>0</v>
      </c>
      <c r="AI43">
        <v>0</v>
      </c>
      <c r="AJ43">
        <v>2843665340.7523699</v>
      </c>
    </row>
    <row r="44" spans="1:36" x14ac:dyDescent="0.25">
      <c r="A44" t="s">
        <v>361</v>
      </c>
      <c r="B44" t="s">
        <v>24</v>
      </c>
      <c r="D44">
        <v>4633.75</v>
      </c>
      <c r="E44">
        <v>1623.13</v>
      </c>
      <c r="G44">
        <v>2.4184000000000001E-2</v>
      </c>
      <c r="H44">
        <v>0</v>
      </c>
      <c r="I44">
        <v>323984.40999999997</v>
      </c>
      <c r="J44">
        <v>94437.9</v>
      </c>
      <c r="K44">
        <v>0</v>
      </c>
      <c r="L44">
        <v>258328.15</v>
      </c>
      <c r="M44">
        <v>0</v>
      </c>
      <c r="N44">
        <v>277118.28000000003</v>
      </c>
      <c r="O44">
        <v>23220.49</v>
      </c>
      <c r="P44">
        <v>24279.32</v>
      </c>
      <c r="Q44">
        <v>0</v>
      </c>
      <c r="R44">
        <v>0</v>
      </c>
      <c r="S44">
        <v>0</v>
      </c>
      <c r="T44">
        <v>0</v>
      </c>
      <c r="U44">
        <v>0</v>
      </c>
      <c r="V44">
        <v>94582.57</v>
      </c>
      <c r="W44">
        <v>0</v>
      </c>
      <c r="X44">
        <v>0</v>
      </c>
      <c r="Y44">
        <v>0</v>
      </c>
      <c r="Z44">
        <v>64094.3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193649.34</v>
      </c>
      <c r="AH44">
        <v>0</v>
      </c>
      <c r="AI44">
        <v>0</v>
      </c>
      <c r="AJ44">
        <v>982298707.75665402</v>
      </c>
    </row>
    <row r="45" spans="1:36" x14ac:dyDescent="0.25">
      <c r="A45" t="s">
        <v>362</v>
      </c>
      <c r="B45" t="s">
        <v>24</v>
      </c>
      <c r="D45">
        <v>65093.21</v>
      </c>
      <c r="E45">
        <v>22801.119999999999</v>
      </c>
      <c r="G45">
        <v>0.33972999999999998</v>
      </c>
      <c r="H45">
        <v>0</v>
      </c>
      <c r="I45">
        <v>2656087.79</v>
      </c>
      <c r="J45">
        <v>643032.05000000005</v>
      </c>
      <c r="K45">
        <v>0</v>
      </c>
      <c r="L45">
        <v>3553012.2</v>
      </c>
      <c r="M45">
        <v>0</v>
      </c>
      <c r="N45">
        <v>1394596.58</v>
      </c>
      <c r="O45">
        <v>346885.58</v>
      </c>
      <c r="P45">
        <v>354064.32</v>
      </c>
      <c r="Q45">
        <v>0</v>
      </c>
      <c r="R45">
        <v>0</v>
      </c>
      <c r="S45">
        <v>0</v>
      </c>
      <c r="T45">
        <v>0</v>
      </c>
      <c r="U45">
        <v>0</v>
      </c>
      <c r="V45">
        <v>1488907.51</v>
      </c>
      <c r="W45">
        <v>0</v>
      </c>
      <c r="X45">
        <v>0</v>
      </c>
      <c r="Y45">
        <v>0</v>
      </c>
      <c r="Z45">
        <v>127428.8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613687.43000000005</v>
      </c>
      <c r="AH45">
        <v>0</v>
      </c>
      <c r="AI45">
        <v>0</v>
      </c>
      <c r="AJ45">
        <v>6253360517.8979301</v>
      </c>
    </row>
    <row r="46" spans="1:36" x14ac:dyDescent="0.25">
      <c r="A46" t="s">
        <v>363</v>
      </c>
      <c r="B46" t="s">
        <v>24</v>
      </c>
      <c r="C46">
        <v>10873.51</v>
      </c>
      <c r="D46">
        <v>31041.97</v>
      </c>
      <c r="G46">
        <v>0.16201199999999999</v>
      </c>
      <c r="H46">
        <v>0</v>
      </c>
      <c r="I46">
        <v>1253686.06</v>
      </c>
      <c r="J46">
        <v>163686.57</v>
      </c>
      <c r="K46">
        <v>0</v>
      </c>
      <c r="L46">
        <v>936314.72</v>
      </c>
      <c r="M46">
        <v>0</v>
      </c>
      <c r="N46">
        <v>382964.68</v>
      </c>
      <c r="O46">
        <v>298354.52</v>
      </c>
      <c r="P46">
        <v>258526.03</v>
      </c>
      <c r="Q46">
        <v>0</v>
      </c>
      <c r="R46">
        <v>0</v>
      </c>
      <c r="S46">
        <v>0</v>
      </c>
      <c r="T46">
        <v>0</v>
      </c>
      <c r="U46">
        <v>0</v>
      </c>
      <c r="V46">
        <v>298904.5</v>
      </c>
      <c r="W46">
        <v>0</v>
      </c>
      <c r="X46">
        <v>0</v>
      </c>
      <c r="Y46">
        <v>0</v>
      </c>
      <c r="Z46">
        <v>68627.600000000006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401522.39</v>
      </c>
      <c r="AH46">
        <v>0</v>
      </c>
      <c r="AI46">
        <v>0</v>
      </c>
      <c r="AJ46">
        <v>2235630369.0612998</v>
      </c>
    </row>
    <row r="47" spans="1:36" x14ac:dyDescent="0.25">
      <c r="A47" t="s">
        <v>364</v>
      </c>
      <c r="B47" t="s">
        <v>24</v>
      </c>
      <c r="C47">
        <v>22801.119999999999</v>
      </c>
      <c r="D47">
        <v>65093.21</v>
      </c>
      <c r="G47">
        <v>0.33972999999999998</v>
      </c>
      <c r="H47">
        <v>0</v>
      </c>
      <c r="I47">
        <v>3043881.34</v>
      </c>
      <c r="J47">
        <v>643032.05000000005</v>
      </c>
      <c r="K47">
        <v>0</v>
      </c>
      <c r="L47">
        <v>3553012.2</v>
      </c>
      <c r="M47">
        <v>0</v>
      </c>
      <c r="N47">
        <v>1395210.57</v>
      </c>
      <c r="O47">
        <v>390944.19</v>
      </c>
      <c r="P47">
        <v>355898.69</v>
      </c>
      <c r="Q47">
        <v>0</v>
      </c>
      <c r="R47">
        <v>0</v>
      </c>
      <c r="S47">
        <v>0</v>
      </c>
      <c r="T47">
        <v>0</v>
      </c>
      <c r="U47">
        <v>0</v>
      </c>
      <c r="V47">
        <v>1487238.3</v>
      </c>
      <c r="W47">
        <v>0</v>
      </c>
      <c r="X47">
        <v>0</v>
      </c>
      <c r="Y47">
        <v>0</v>
      </c>
      <c r="Z47">
        <v>127428.8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613688.38</v>
      </c>
      <c r="AH47">
        <v>0</v>
      </c>
      <c r="AI47">
        <v>0</v>
      </c>
      <c r="AJ47">
        <v>6390408987.4767303</v>
      </c>
    </row>
    <row r="48" spans="1:36" x14ac:dyDescent="0.25">
      <c r="A48" t="s">
        <v>365</v>
      </c>
      <c r="B48" t="s">
        <v>24</v>
      </c>
      <c r="D48">
        <v>31041.97</v>
      </c>
      <c r="E48">
        <v>10873.51</v>
      </c>
      <c r="G48">
        <v>0.16201199999999999</v>
      </c>
      <c r="H48">
        <v>0</v>
      </c>
      <c r="I48">
        <v>873798.69</v>
      </c>
      <c r="J48">
        <v>163686.57</v>
      </c>
      <c r="K48">
        <v>0</v>
      </c>
      <c r="L48">
        <v>936314.72</v>
      </c>
      <c r="M48">
        <v>0</v>
      </c>
      <c r="N48">
        <v>383142</v>
      </c>
      <c r="O48">
        <v>254739.46</v>
      </c>
      <c r="P48">
        <v>248275.17</v>
      </c>
      <c r="Q48">
        <v>0</v>
      </c>
      <c r="R48">
        <v>0</v>
      </c>
      <c r="S48">
        <v>0</v>
      </c>
      <c r="T48">
        <v>0</v>
      </c>
      <c r="U48">
        <v>0</v>
      </c>
      <c r="V48">
        <v>297470.88</v>
      </c>
      <c r="W48">
        <v>0</v>
      </c>
      <c r="X48">
        <v>0</v>
      </c>
      <c r="Y48">
        <v>0</v>
      </c>
      <c r="Z48">
        <v>68627.600000000006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401519.71</v>
      </c>
      <c r="AH48">
        <v>0</v>
      </c>
      <c r="AI48">
        <v>0</v>
      </c>
      <c r="AJ48">
        <v>1973696644.87447</v>
      </c>
    </row>
    <row r="49" spans="1:36" x14ac:dyDescent="0.25">
      <c r="A49" t="s">
        <v>366</v>
      </c>
      <c r="B49" t="s">
        <v>24</v>
      </c>
      <c r="C49">
        <v>1623.13</v>
      </c>
      <c r="D49">
        <v>4633.75</v>
      </c>
      <c r="G49">
        <v>2.4184000000000001E-2</v>
      </c>
      <c r="H49">
        <v>0</v>
      </c>
      <c r="I49">
        <v>352111.44</v>
      </c>
      <c r="J49">
        <v>94437.9</v>
      </c>
      <c r="K49">
        <v>0</v>
      </c>
      <c r="L49">
        <v>258328.15</v>
      </c>
      <c r="M49">
        <v>0</v>
      </c>
      <c r="N49">
        <v>277100.73</v>
      </c>
      <c r="O49">
        <v>26122.41</v>
      </c>
      <c r="P49">
        <v>24392.1</v>
      </c>
      <c r="Q49">
        <v>0</v>
      </c>
      <c r="R49">
        <v>0</v>
      </c>
      <c r="S49">
        <v>0</v>
      </c>
      <c r="T49">
        <v>0</v>
      </c>
      <c r="U49">
        <v>0</v>
      </c>
      <c r="V49">
        <v>94126.7</v>
      </c>
      <c r="W49">
        <v>0</v>
      </c>
      <c r="X49">
        <v>0</v>
      </c>
      <c r="Y49">
        <v>0</v>
      </c>
      <c r="Z49">
        <v>64094.3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193633.24</v>
      </c>
      <c r="AH49">
        <v>0</v>
      </c>
      <c r="AI49">
        <v>0</v>
      </c>
      <c r="AJ49">
        <v>1016677483.17325</v>
      </c>
    </row>
    <row r="50" spans="1:36" x14ac:dyDescent="0.25">
      <c r="A50" t="s">
        <v>367</v>
      </c>
      <c r="B50" t="s">
        <v>23</v>
      </c>
      <c r="D50">
        <v>19057.810000000001</v>
      </c>
      <c r="E50">
        <v>6675.65</v>
      </c>
      <c r="G50">
        <v>9.9464999999999998E-2</v>
      </c>
      <c r="H50">
        <v>0</v>
      </c>
      <c r="I50">
        <v>690318.44</v>
      </c>
      <c r="J50">
        <v>394508.4</v>
      </c>
      <c r="K50">
        <v>0</v>
      </c>
      <c r="L50">
        <v>436518</v>
      </c>
      <c r="M50">
        <v>0</v>
      </c>
      <c r="N50">
        <v>235543.14</v>
      </c>
      <c r="O50">
        <v>87369.37</v>
      </c>
      <c r="P50">
        <v>87751.93</v>
      </c>
      <c r="Q50">
        <v>0</v>
      </c>
      <c r="R50">
        <v>0</v>
      </c>
      <c r="S50">
        <v>0</v>
      </c>
      <c r="T50">
        <v>0</v>
      </c>
      <c r="U50">
        <v>0</v>
      </c>
      <c r="V50">
        <v>387964.41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155561.60000000001</v>
      </c>
      <c r="AH50">
        <v>0</v>
      </c>
      <c r="AI50">
        <v>0</v>
      </c>
      <c r="AJ50">
        <v>2008163191.40236</v>
      </c>
    </row>
    <row r="51" spans="1:36" x14ac:dyDescent="0.25">
      <c r="A51" t="s">
        <v>368</v>
      </c>
      <c r="B51" t="s">
        <v>23</v>
      </c>
      <c r="D51">
        <v>1484.5</v>
      </c>
      <c r="E51">
        <v>520</v>
      </c>
      <c r="G51">
        <v>7.7479999999999997E-3</v>
      </c>
      <c r="H51">
        <v>0</v>
      </c>
      <c r="I51">
        <v>31306.78</v>
      </c>
      <c r="J51">
        <v>12134.67</v>
      </c>
      <c r="K51">
        <v>0</v>
      </c>
      <c r="L51">
        <v>29466.65</v>
      </c>
      <c r="M51">
        <v>0</v>
      </c>
      <c r="N51">
        <v>60151.199999999997</v>
      </c>
      <c r="O51">
        <v>5986.14</v>
      </c>
      <c r="P51">
        <v>6422.37</v>
      </c>
      <c r="Q51">
        <v>0</v>
      </c>
      <c r="R51">
        <v>0</v>
      </c>
      <c r="S51">
        <v>0</v>
      </c>
      <c r="T51">
        <v>0</v>
      </c>
      <c r="U51">
        <v>0</v>
      </c>
      <c r="V51">
        <v>4149.17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4192.59</v>
      </c>
      <c r="AH51">
        <v>0</v>
      </c>
      <c r="AI51">
        <v>0</v>
      </c>
      <c r="AJ51">
        <v>105743871.94374301</v>
      </c>
    </row>
    <row r="52" spans="1:36" x14ac:dyDescent="0.25">
      <c r="A52" t="s">
        <v>369</v>
      </c>
      <c r="B52" t="s">
        <v>23</v>
      </c>
      <c r="C52">
        <v>6675.65</v>
      </c>
      <c r="D52">
        <v>19057.810000000001</v>
      </c>
      <c r="G52">
        <v>9.9464999999999998E-2</v>
      </c>
      <c r="H52">
        <v>0</v>
      </c>
      <c r="I52">
        <v>722905.86</v>
      </c>
      <c r="J52">
        <v>394508.4</v>
      </c>
      <c r="K52">
        <v>0</v>
      </c>
      <c r="L52">
        <v>436518</v>
      </c>
      <c r="M52">
        <v>0</v>
      </c>
      <c r="N52">
        <v>235536.32</v>
      </c>
      <c r="O52">
        <v>96929.31</v>
      </c>
      <c r="P52">
        <v>88611.76</v>
      </c>
      <c r="Q52">
        <v>0</v>
      </c>
      <c r="R52">
        <v>0</v>
      </c>
      <c r="S52">
        <v>0</v>
      </c>
      <c r="T52">
        <v>0</v>
      </c>
      <c r="U52">
        <v>0</v>
      </c>
      <c r="V52">
        <v>388297.31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155562.10999999999</v>
      </c>
      <c r="AH52">
        <v>0</v>
      </c>
      <c r="AI52">
        <v>0</v>
      </c>
      <c r="AJ52">
        <v>2005814035.0192599</v>
      </c>
    </row>
    <row r="53" spans="1:36" x14ac:dyDescent="0.25">
      <c r="A53" t="s">
        <v>370</v>
      </c>
      <c r="B53" t="s">
        <v>23</v>
      </c>
      <c r="C53">
        <v>520</v>
      </c>
      <c r="D53">
        <v>1484.5</v>
      </c>
      <c r="G53">
        <v>7.7479999999999997E-3</v>
      </c>
      <c r="H53">
        <v>0</v>
      </c>
      <c r="I53">
        <v>48878.06</v>
      </c>
      <c r="J53">
        <v>12134.67</v>
      </c>
      <c r="K53">
        <v>0</v>
      </c>
      <c r="L53">
        <v>29466.65</v>
      </c>
      <c r="M53">
        <v>0</v>
      </c>
      <c r="N53">
        <v>60151.47</v>
      </c>
      <c r="O53">
        <v>7958.09</v>
      </c>
      <c r="P53">
        <v>6857.74</v>
      </c>
      <c r="Q53">
        <v>0</v>
      </c>
      <c r="R53">
        <v>0</v>
      </c>
      <c r="S53">
        <v>0</v>
      </c>
      <c r="T53">
        <v>0</v>
      </c>
      <c r="U53">
        <v>0</v>
      </c>
      <c r="V53">
        <v>4149.17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4192.59</v>
      </c>
      <c r="AH53">
        <v>0</v>
      </c>
      <c r="AI53">
        <v>0</v>
      </c>
      <c r="AJ53">
        <v>128624437.30158401</v>
      </c>
    </row>
    <row r="54" spans="1:36" x14ac:dyDescent="0.25">
      <c r="A54" t="s">
        <v>371</v>
      </c>
      <c r="B54" t="s">
        <v>23</v>
      </c>
      <c r="D54">
        <v>23966.55</v>
      </c>
      <c r="E54">
        <v>8395.1</v>
      </c>
      <c r="G54">
        <v>0.125085</v>
      </c>
      <c r="H54">
        <v>0</v>
      </c>
      <c r="I54">
        <v>852772.72</v>
      </c>
      <c r="J54">
        <v>239542.44</v>
      </c>
      <c r="K54">
        <v>0</v>
      </c>
      <c r="L54">
        <v>831153.37</v>
      </c>
      <c r="M54">
        <v>0</v>
      </c>
      <c r="N54">
        <v>246764.57</v>
      </c>
      <c r="O54">
        <v>176851.74</v>
      </c>
      <c r="P54">
        <v>181172.8</v>
      </c>
      <c r="Q54">
        <v>0</v>
      </c>
      <c r="R54">
        <v>0</v>
      </c>
      <c r="S54">
        <v>0</v>
      </c>
      <c r="T54">
        <v>0</v>
      </c>
      <c r="U54">
        <v>0</v>
      </c>
      <c r="V54">
        <v>485100.97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101797.75999999999</v>
      </c>
      <c r="AH54">
        <v>0</v>
      </c>
      <c r="AI54">
        <v>0</v>
      </c>
      <c r="AJ54">
        <v>1883512318.1679399</v>
      </c>
    </row>
    <row r="55" spans="1:36" x14ac:dyDescent="0.25">
      <c r="A55" t="s">
        <v>372</v>
      </c>
      <c r="B55" t="s">
        <v>23</v>
      </c>
      <c r="C55">
        <v>8395.1</v>
      </c>
      <c r="D55">
        <v>23966.55</v>
      </c>
      <c r="G55">
        <v>0.125085</v>
      </c>
      <c r="H55">
        <v>0</v>
      </c>
      <c r="I55">
        <v>1082352.31</v>
      </c>
      <c r="J55">
        <v>239542.44</v>
      </c>
      <c r="K55">
        <v>0</v>
      </c>
      <c r="L55">
        <v>831153.37</v>
      </c>
      <c r="M55">
        <v>0</v>
      </c>
      <c r="N55">
        <v>246869.27</v>
      </c>
      <c r="O55">
        <v>204096.18</v>
      </c>
      <c r="P55">
        <v>186194.9</v>
      </c>
      <c r="Q55">
        <v>0</v>
      </c>
      <c r="R55">
        <v>0</v>
      </c>
      <c r="S55">
        <v>0</v>
      </c>
      <c r="T55">
        <v>0</v>
      </c>
      <c r="U55">
        <v>0</v>
      </c>
      <c r="V55">
        <v>483076.83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101799.69</v>
      </c>
      <c r="AH55">
        <v>0</v>
      </c>
      <c r="AI55">
        <v>0</v>
      </c>
      <c r="AJ55">
        <v>2097916723.2739301</v>
      </c>
    </row>
    <row r="56" spans="1:36" x14ac:dyDescent="0.25">
      <c r="A56" t="s">
        <v>373</v>
      </c>
      <c r="B56" t="s">
        <v>23</v>
      </c>
      <c r="D56">
        <v>4398.8</v>
      </c>
      <c r="E56">
        <v>1540.83</v>
      </c>
      <c r="G56">
        <v>2.2957999999999999E-2</v>
      </c>
      <c r="H56">
        <v>0</v>
      </c>
      <c r="I56">
        <v>199930.79</v>
      </c>
      <c r="J56">
        <v>103288.37</v>
      </c>
      <c r="K56">
        <v>0</v>
      </c>
      <c r="L56">
        <v>282049.05</v>
      </c>
      <c r="M56">
        <v>0</v>
      </c>
      <c r="N56">
        <v>105789.61</v>
      </c>
      <c r="O56">
        <v>19225.169999999998</v>
      </c>
      <c r="P56">
        <v>20503.27</v>
      </c>
      <c r="Q56">
        <v>0</v>
      </c>
      <c r="R56">
        <v>0</v>
      </c>
      <c r="S56">
        <v>0</v>
      </c>
      <c r="T56">
        <v>0</v>
      </c>
      <c r="U56">
        <v>0</v>
      </c>
      <c r="V56">
        <v>152730.59</v>
      </c>
      <c r="W56">
        <v>0</v>
      </c>
      <c r="X56">
        <v>0</v>
      </c>
      <c r="Y56">
        <v>0</v>
      </c>
      <c r="Z56">
        <v>65854.75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111011.13</v>
      </c>
      <c r="AH56">
        <v>0</v>
      </c>
      <c r="AI56">
        <v>0</v>
      </c>
      <c r="AJ56">
        <v>478700545.65509701</v>
      </c>
    </row>
    <row r="57" spans="1:36" x14ac:dyDescent="0.25">
      <c r="A57" t="s">
        <v>374</v>
      </c>
      <c r="B57" t="s">
        <v>23</v>
      </c>
      <c r="C57">
        <v>1540.83</v>
      </c>
      <c r="D57">
        <v>4398.8</v>
      </c>
      <c r="G57">
        <v>2.2957999999999999E-2</v>
      </c>
      <c r="H57">
        <v>0</v>
      </c>
      <c r="I57">
        <v>259182.22</v>
      </c>
      <c r="J57">
        <v>103288.37</v>
      </c>
      <c r="K57">
        <v>0</v>
      </c>
      <c r="L57">
        <v>282049.05</v>
      </c>
      <c r="M57">
        <v>0</v>
      </c>
      <c r="N57">
        <v>105782.36</v>
      </c>
      <c r="O57">
        <v>22476.46</v>
      </c>
      <c r="P57">
        <v>20547.5</v>
      </c>
      <c r="Q57">
        <v>0</v>
      </c>
      <c r="R57">
        <v>0</v>
      </c>
      <c r="S57">
        <v>0</v>
      </c>
      <c r="T57">
        <v>0</v>
      </c>
      <c r="U57">
        <v>0</v>
      </c>
      <c r="V57">
        <v>152637.39000000001</v>
      </c>
      <c r="W57">
        <v>0</v>
      </c>
      <c r="X57">
        <v>0</v>
      </c>
      <c r="Y57">
        <v>0</v>
      </c>
      <c r="Z57">
        <v>65854.75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111011.06</v>
      </c>
      <c r="AH57">
        <v>0</v>
      </c>
      <c r="AI57">
        <v>0</v>
      </c>
      <c r="AJ57">
        <v>547613522.339059</v>
      </c>
    </row>
    <row r="58" spans="1:36" x14ac:dyDescent="0.25">
      <c r="A58" t="s">
        <v>375</v>
      </c>
      <c r="B58" t="s">
        <v>23</v>
      </c>
      <c r="D58">
        <v>36671.870000000003</v>
      </c>
      <c r="E58">
        <v>12845.57</v>
      </c>
      <c r="G58">
        <v>0.19139500000000001</v>
      </c>
      <c r="H58">
        <v>0</v>
      </c>
      <c r="I58">
        <v>1505011.84</v>
      </c>
      <c r="J58">
        <v>626942.71</v>
      </c>
      <c r="K58">
        <v>0</v>
      </c>
      <c r="L58">
        <v>1141299.43</v>
      </c>
      <c r="M58">
        <v>0</v>
      </c>
      <c r="N58">
        <v>468143.72</v>
      </c>
      <c r="O58">
        <v>339029.09</v>
      </c>
      <c r="P58">
        <v>342201.04</v>
      </c>
      <c r="Q58">
        <v>0</v>
      </c>
      <c r="R58">
        <v>0</v>
      </c>
      <c r="S58">
        <v>0</v>
      </c>
      <c r="T58">
        <v>0</v>
      </c>
      <c r="U58">
        <v>0</v>
      </c>
      <c r="V58">
        <v>877105.94</v>
      </c>
      <c r="W58">
        <v>0</v>
      </c>
      <c r="X58">
        <v>0</v>
      </c>
      <c r="Y58">
        <v>0</v>
      </c>
      <c r="Z58">
        <v>43737.51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241875.72</v>
      </c>
      <c r="AH58">
        <v>0</v>
      </c>
      <c r="AI58">
        <v>0</v>
      </c>
      <c r="AJ58">
        <v>2992796422.0636301</v>
      </c>
    </row>
    <row r="59" spans="1:36" x14ac:dyDescent="0.25">
      <c r="A59" t="s">
        <v>376</v>
      </c>
      <c r="B59" t="s">
        <v>23</v>
      </c>
      <c r="C59">
        <v>12845.57</v>
      </c>
      <c r="D59">
        <v>36671.870000000003</v>
      </c>
      <c r="G59">
        <v>0.19139500000000001</v>
      </c>
      <c r="H59">
        <v>0</v>
      </c>
      <c r="I59">
        <v>1776299.41</v>
      </c>
      <c r="J59">
        <v>626942.71</v>
      </c>
      <c r="K59">
        <v>0</v>
      </c>
      <c r="L59">
        <v>1141299.43</v>
      </c>
      <c r="M59">
        <v>0</v>
      </c>
      <c r="N59">
        <v>468815.03</v>
      </c>
      <c r="O59">
        <v>394016.12</v>
      </c>
      <c r="P59">
        <v>354792.61</v>
      </c>
      <c r="Q59">
        <v>0</v>
      </c>
      <c r="R59">
        <v>0</v>
      </c>
      <c r="S59">
        <v>0</v>
      </c>
      <c r="T59">
        <v>0</v>
      </c>
      <c r="U59">
        <v>0</v>
      </c>
      <c r="V59">
        <v>874587.13</v>
      </c>
      <c r="W59">
        <v>0</v>
      </c>
      <c r="X59">
        <v>0</v>
      </c>
      <c r="Y59">
        <v>0</v>
      </c>
      <c r="Z59">
        <v>43737.51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241882.4</v>
      </c>
      <c r="AH59">
        <v>0</v>
      </c>
      <c r="AI59">
        <v>0</v>
      </c>
      <c r="AJ59">
        <v>2984038942.5895901</v>
      </c>
    </row>
    <row r="60" spans="1:36" x14ac:dyDescent="0.25">
      <c r="A60" t="s">
        <v>377</v>
      </c>
      <c r="B60" t="s">
        <v>23</v>
      </c>
      <c r="D60">
        <v>4623.16</v>
      </c>
      <c r="E60">
        <v>1619.42</v>
      </c>
      <c r="G60">
        <v>2.4129000000000001E-2</v>
      </c>
      <c r="H60">
        <v>0</v>
      </c>
      <c r="I60">
        <v>253537.07</v>
      </c>
      <c r="J60">
        <v>94437.9</v>
      </c>
      <c r="K60">
        <v>0</v>
      </c>
      <c r="L60">
        <v>258328.15</v>
      </c>
      <c r="M60">
        <v>0</v>
      </c>
      <c r="N60">
        <v>265274.09999999998</v>
      </c>
      <c r="O60">
        <v>20220.84</v>
      </c>
      <c r="P60">
        <v>21983.29</v>
      </c>
      <c r="Q60">
        <v>0</v>
      </c>
      <c r="R60">
        <v>0</v>
      </c>
      <c r="S60">
        <v>0</v>
      </c>
      <c r="T60">
        <v>0</v>
      </c>
      <c r="U60">
        <v>0</v>
      </c>
      <c r="V60">
        <v>126427.68</v>
      </c>
      <c r="W60">
        <v>0</v>
      </c>
      <c r="X60">
        <v>0</v>
      </c>
      <c r="Y60">
        <v>0</v>
      </c>
      <c r="Z60">
        <v>64094.3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204201.06</v>
      </c>
      <c r="AH60">
        <v>0</v>
      </c>
      <c r="AI60">
        <v>0</v>
      </c>
      <c r="AJ60">
        <v>832264405.61660302</v>
      </c>
    </row>
    <row r="61" spans="1:36" x14ac:dyDescent="0.25">
      <c r="A61" t="s">
        <v>378</v>
      </c>
      <c r="B61" t="s">
        <v>23</v>
      </c>
      <c r="D61">
        <v>64879.25</v>
      </c>
      <c r="E61">
        <v>22726.17</v>
      </c>
      <c r="G61">
        <v>0.33861400000000003</v>
      </c>
      <c r="H61">
        <v>0</v>
      </c>
      <c r="I61">
        <v>2323159.13</v>
      </c>
      <c r="J61">
        <v>643032.05000000005</v>
      </c>
      <c r="K61">
        <v>0</v>
      </c>
      <c r="L61">
        <v>3553012.2</v>
      </c>
      <c r="M61">
        <v>0</v>
      </c>
      <c r="N61">
        <v>1207425.29</v>
      </c>
      <c r="O61">
        <v>309865.96000000002</v>
      </c>
      <c r="P61">
        <v>324778.65000000002</v>
      </c>
      <c r="Q61">
        <v>0</v>
      </c>
      <c r="R61">
        <v>0</v>
      </c>
      <c r="S61">
        <v>0</v>
      </c>
      <c r="T61">
        <v>0</v>
      </c>
      <c r="U61">
        <v>0</v>
      </c>
      <c r="V61">
        <v>1328988.2</v>
      </c>
      <c r="W61">
        <v>0</v>
      </c>
      <c r="X61">
        <v>0</v>
      </c>
      <c r="Y61">
        <v>0</v>
      </c>
      <c r="Z61">
        <v>127428.8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647645.59</v>
      </c>
      <c r="AH61">
        <v>0</v>
      </c>
      <c r="AI61">
        <v>0</v>
      </c>
      <c r="AJ61">
        <v>6370996952.3000898</v>
      </c>
    </row>
    <row r="62" spans="1:36" x14ac:dyDescent="0.25">
      <c r="A62" t="s">
        <v>379</v>
      </c>
      <c r="B62" t="s">
        <v>23</v>
      </c>
      <c r="C62">
        <v>1619.42</v>
      </c>
      <c r="D62">
        <v>4623.16</v>
      </c>
      <c r="G62">
        <v>2.4129000000000001E-2</v>
      </c>
      <c r="H62">
        <v>0</v>
      </c>
      <c r="I62">
        <v>303516.92</v>
      </c>
      <c r="J62">
        <v>94437.9</v>
      </c>
      <c r="K62">
        <v>0</v>
      </c>
      <c r="L62">
        <v>258328.15</v>
      </c>
      <c r="M62">
        <v>0</v>
      </c>
      <c r="N62">
        <v>265251.34999999998</v>
      </c>
      <c r="O62">
        <v>23648.31</v>
      </c>
      <c r="P62">
        <v>22086.82</v>
      </c>
      <c r="Q62">
        <v>0</v>
      </c>
      <c r="R62">
        <v>0</v>
      </c>
      <c r="S62">
        <v>0</v>
      </c>
      <c r="T62">
        <v>0</v>
      </c>
      <c r="U62">
        <v>0</v>
      </c>
      <c r="V62">
        <v>126164.76</v>
      </c>
      <c r="W62">
        <v>0</v>
      </c>
      <c r="X62">
        <v>0</v>
      </c>
      <c r="Y62">
        <v>0</v>
      </c>
      <c r="Z62">
        <v>64094.3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204198.84</v>
      </c>
      <c r="AH62">
        <v>0</v>
      </c>
      <c r="AI62">
        <v>0</v>
      </c>
      <c r="AJ62">
        <v>911075877.73142302</v>
      </c>
    </row>
    <row r="63" spans="1:36" x14ac:dyDescent="0.25">
      <c r="A63" t="s">
        <v>380</v>
      </c>
      <c r="B63" t="s">
        <v>23</v>
      </c>
      <c r="C63">
        <v>22726.17</v>
      </c>
      <c r="D63">
        <v>64879.25</v>
      </c>
      <c r="G63">
        <v>0.33861400000000003</v>
      </c>
      <c r="H63">
        <v>0</v>
      </c>
      <c r="I63">
        <v>2850866.64</v>
      </c>
      <c r="J63">
        <v>643032.05000000005</v>
      </c>
      <c r="K63">
        <v>0</v>
      </c>
      <c r="L63">
        <v>3553012.2</v>
      </c>
      <c r="M63">
        <v>0</v>
      </c>
      <c r="N63">
        <v>1207123.1599999999</v>
      </c>
      <c r="O63">
        <v>355267.86</v>
      </c>
      <c r="P63">
        <v>326210.36</v>
      </c>
      <c r="Q63">
        <v>0</v>
      </c>
      <c r="R63">
        <v>0</v>
      </c>
      <c r="S63">
        <v>0</v>
      </c>
      <c r="T63">
        <v>0</v>
      </c>
      <c r="U63">
        <v>0</v>
      </c>
      <c r="V63">
        <v>1334637.52</v>
      </c>
      <c r="W63">
        <v>0</v>
      </c>
      <c r="X63">
        <v>0</v>
      </c>
      <c r="Y63">
        <v>0</v>
      </c>
      <c r="Z63">
        <v>127428.8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647621.04</v>
      </c>
      <c r="AH63">
        <v>0</v>
      </c>
      <c r="AI63">
        <v>0</v>
      </c>
      <c r="AJ63">
        <v>6493868594.1099796</v>
      </c>
    </row>
    <row r="64" spans="1:36" x14ac:dyDescent="0.25">
      <c r="A64" t="s">
        <v>381</v>
      </c>
      <c r="B64" t="s">
        <v>23</v>
      </c>
      <c r="D64">
        <v>31077.47</v>
      </c>
      <c r="E64">
        <v>10885.94</v>
      </c>
      <c r="G64">
        <v>0.16219800000000001</v>
      </c>
      <c r="H64">
        <v>0</v>
      </c>
      <c r="I64">
        <v>729331.83</v>
      </c>
      <c r="J64">
        <v>163686.57</v>
      </c>
      <c r="K64">
        <v>0</v>
      </c>
      <c r="L64">
        <v>936314.72</v>
      </c>
      <c r="M64">
        <v>0</v>
      </c>
      <c r="N64">
        <v>340195.79</v>
      </c>
      <c r="O64">
        <v>238223.71</v>
      </c>
      <c r="P64">
        <v>251702.26</v>
      </c>
      <c r="Q64">
        <v>0</v>
      </c>
      <c r="R64">
        <v>0</v>
      </c>
      <c r="S64">
        <v>0</v>
      </c>
      <c r="T64">
        <v>0</v>
      </c>
      <c r="U64">
        <v>0</v>
      </c>
      <c r="V64">
        <v>313242.25</v>
      </c>
      <c r="W64">
        <v>0</v>
      </c>
      <c r="X64">
        <v>0</v>
      </c>
      <c r="Y64">
        <v>0</v>
      </c>
      <c r="Z64">
        <v>68627.600000000006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424441.65</v>
      </c>
      <c r="AH64">
        <v>0</v>
      </c>
      <c r="AI64">
        <v>0</v>
      </c>
      <c r="AJ64">
        <v>1921315381.44715</v>
      </c>
    </row>
    <row r="65" spans="1:36" x14ac:dyDescent="0.25">
      <c r="A65" t="s">
        <v>382</v>
      </c>
      <c r="B65" t="s">
        <v>23</v>
      </c>
      <c r="C65">
        <v>10885.94</v>
      </c>
      <c r="D65">
        <v>31077.47</v>
      </c>
      <c r="G65">
        <v>0.16219800000000001</v>
      </c>
      <c r="H65">
        <v>0</v>
      </c>
      <c r="I65">
        <v>1230716.32</v>
      </c>
      <c r="J65">
        <v>163686.57</v>
      </c>
      <c r="K65">
        <v>0</v>
      </c>
      <c r="L65">
        <v>936314.72</v>
      </c>
      <c r="M65">
        <v>0</v>
      </c>
      <c r="N65">
        <v>340387.05</v>
      </c>
      <c r="O65">
        <v>284660.38</v>
      </c>
      <c r="P65">
        <v>260136.23</v>
      </c>
      <c r="Q65">
        <v>0</v>
      </c>
      <c r="R65">
        <v>0</v>
      </c>
      <c r="S65">
        <v>0</v>
      </c>
      <c r="T65">
        <v>0</v>
      </c>
      <c r="U65">
        <v>0</v>
      </c>
      <c r="V65">
        <v>313123.95</v>
      </c>
      <c r="W65">
        <v>0</v>
      </c>
      <c r="X65">
        <v>0</v>
      </c>
      <c r="Y65">
        <v>0</v>
      </c>
      <c r="Z65">
        <v>68627.600000000006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424443.34</v>
      </c>
      <c r="AH65">
        <v>0</v>
      </c>
      <c r="AI65">
        <v>0</v>
      </c>
      <c r="AJ65">
        <v>2327306014.9421401</v>
      </c>
    </row>
    <row r="66" spans="1:36" x14ac:dyDescent="0.25">
      <c r="A66" t="s">
        <v>383</v>
      </c>
      <c r="B66" t="s">
        <v>22</v>
      </c>
      <c r="D66">
        <v>18299.61</v>
      </c>
      <c r="E66">
        <v>6410.06</v>
      </c>
      <c r="G66">
        <v>9.5507999999999996E-2</v>
      </c>
      <c r="H66">
        <v>0</v>
      </c>
      <c r="I66">
        <v>605100.66</v>
      </c>
      <c r="J66">
        <v>394508.4</v>
      </c>
      <c r="K66">
        <v>0</v>
      </c>
      <c r="L66">
        <v>436518</v>
      </c>
      <c r="M66">
        <v>0</v>
      </c>
      <c r="N66">
        <v>212481.2</v>
      </c>
      <c r="O66">
        <v>79311.94</v>
      </c>
      <c r="P66">
        <v>79511.89</v>
      </c>
      <c r="Q66">
        <v>0</v>
      </c>
      <c r="R66">
        <v>0</v>
      </c>
      <c r="S66">
        <v>0</v>
      </c>
      <c r="T66">
        <v>0</v>
      </c>
      <c r="U66">
        <v>0</v>
      </c>
      <c r="V66">
        <v>417603.55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164659.9</v>
      </c>
      <c r="AH66">
        <v>0</v>
      </c>
      <c r="AI66">
        <v>0</v>
      </c>
      <c r="AJ66">
        <v>1934512922.53055</v>
      </c>
    </row>
    <row r="67" spans="1:36" x14ac:dyDescent="0.25">
      <c r="A67" t="s">
        <v>384</v>
      </c>
      <c r="B67" t="s">
        <v>22</v>
      </c>
      <c r="C67">
        <v>6410.06</v>
      </c>
      <c r="D67">
        <v>18299.61</v>
      </c>
      <c r="G67">
        <v>9.5507999999999996E-2</v>
      </c>
      <c r="H67">
        <v>0</v>
      </c>
      <c r="I67">
        <v>623662.63</v>
      </c>
      <c r="J67">
        <v>394508.4</v>
      </c>
      <c r="K67">
        <v>0</v>
      </c>
      <c r="L67">
        <v>436518</v>
      </c>
      <c r="M67">
        <v>0</v>
      </c>
      <c r="N67">
        <v>212462.05</v>
      </c>
      <c r="O67">
        <v>88413.49</v>
      </c>
      <c r="P67">
        <v>80202.61</v>
      </c>
      <c r="Q67">
        <v>0</v>
      </c>
      <c r="R67">
        <v>0</v>
      </c>
      <c r="S67">
        <v>0</v>
      </c>
      <c r="T67">
        <v>0</v>
      </c>
      <c r="U67">
        <v>0</v>
      </c>
      <c r="V67">
        <v>418187.23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164659.22</v>
      </c>
      <c r="AH67">
        <v>0</v>
      </c>
      <c r="AI67">
        <v>0</v>
      </c>
      <c r="AJ67">
        <v>1932544775.63271</v>
      </c>
    </row>
    <row r="68" spans="1:36" x14ac:dyDescent="0.25">
      <c r="A68" t="s">
        <v>385</v>
      </c>
      <c r="B68" t="s">
        <v>22</v>
      </c>
      <c r="C68">
        <v>490.41</v>
      </c>
      <c r="D68">
        <v>1400.02</v>
      </c>
      <c r="G68">
        <v>7.3070000000000001E-3</v>
      </c>
      <c r="H68">
        <v>0</v>
      </c>
      <c r="I68">
        <v>35943.9</v>
      </c>
      <c r="J68">
        <v>12134.67</v>
      </c>
      <c r="K68">
        <v>0</v>
      </c>
      <c r="L68">
        <v>29466.65</v>
      </c>
      <c r="M68">
        <v>0</v>
      </c>
      <c r="N68">
        <v>56567.41</v>
      </c>
      <c r="O68">
        <v>6544.07</v>
      </c>
      <c r="P68">
        <v>5390.86</v>
      </c>
      <c r="Q68">
        <v>0</v>
      </c>
      <c r="R68">
        <v>0</v>
      </c>
      <c r="S68">
        <v>0</v>
      </c>
      <c r="T68">
        <v>0</v>
      </c>
      <c r="U68">
        <v>0</v>
      </c>
      <c r="V68">
        <v>5543.18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4403.6000000000004</v>
      </c>
      <c r="AH68">
        <v>0</v>
      </c>
      <c r="AI68">
        <v>0</v>
      </c>
      <c r="AJ68">
        <v>115228570.85235301</v>
      </c>
    </row>
    <row r="69" spans="1:36" x14ac:dyDescent="0.25">
      <c r="A69" t="s">
        <v>386</v>
      </c>
      <c r="B69" t="s">
        <v>22</v>
      </c>
      <c r="D69">
        <v>1400.02</v>
      </c>
      <c r="E69">
        <v>490.41</v>
      </c>
      <c r="G69">
        <v>7.3070000000000001E-3</v>
      </c>
      <c r="H69">
        <v>0</v>
      </c>
      <c r="I69">
        <v>22517.74</v>
      </c>
      <c r="J69">
        <v>12134.67</v>
      </c>
      <c r="K69">
        <v>0</v>
      </c>
      <c r="L69">
        <v>29466.65</v>
      </c>
      <c r="M69">
        <v>0</v>
      </c>
      <c r="N69">
        <v>56567.55</v>
      </c>
      <c r="O69">
        <v>4835.6000000000004</v>
      </c>
      <c r="P69">
        <v>5001.08</v>
      </c>
      <c r="Q69">
        <v>0</v>
      </c>
      <c r="R69">
        <v>0</v>
      </c>
      <c r="S69">
        <v>0</v>
      </c>
      <c r="T69">
        <v>0</v>
      </c>
      <c r="U69">
        <v>0</v>
      </c>
      <c r="V69">
        <v>5543.18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4403.6000000000004</v>
      </c>
      <c r="AH69">
        <v>0</v>
      </c>
      <c r="AI69">
        <v>0</v>
      </c>
      <c r="AJ69">
        <v>91104381.958487198</v>
      </c>
    </row>
    <row r="70" spans="1:36" x14ac:dyDescent="0.25">
      <c r="A70" t="s">
        <v>387</v>
      </c>
      <c r="B70" t="s">
        <v>22</v>
      </c>
      <c r="C70">
        <v>8164.81</v>
      </c>
      <c r="D70">
        <v>23309.11</v>
      </c>
      <c r="G70">
        <v>0.121653</v>
      </c>
      <c r="H70">
        <v>0</v>
      </c>
      <c r="I70">
        <v>909857.49</v>
      </c>
      <c r="J70">
        <v>239542.44</v>
      </c>
      <c r="K70">
        <v>0</v>
      </c>
      <c r="L70">
        <v>831153.37</v>
      </c>
      <c r="M70">
        <v>0</v>
      </c>
      <c r="N70">
        <v>228829.44</v>
      </c>
      <c r="O70">
        <v>195805.4</v>
      </c>
      <c r="P70">
        <v>174782.68</v>
      </c>
      <c r="Q70">
        <v>0</v>
      </c>
      <c r="R70">
        <v>0</v>
      </c>
      <c r="S70">
        <v>0</v>
      </c>
      <c r="T70">
        <v>0</v>
      </c>
      <c r="U70">
        <v>0</v>
      </c>
      <c r="V70">
        <v>458031.78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107757.32</v>
      </c>
      <c r="AH70">
        <v>0</v>
      </c>
      <c r="AI70">
        <v>0</v>
      </c>
      <c r="AJ70">
        <v>1991423602.1909201</v>
      </c>
    </row>
    <row r="71" spans="1:36" x14ac:dyDescent="0.25">
      <c r="A71" t="s">
        <v>388</v>
      </c>
      <c r="B71" t="s">
        <v>22</v>
      </c>
      <c r="C71">
        <v>1469.39</v>
      </c>
      <c r="D71">
        <v>4194.84</v>
      </c>
      <c r="G71">
        <v>2.1892999999999999E-2</v>
      </c>
      <c r="H71">
        <v>0</v>
      </c>
      <c r="I71">
        <v>205622.33</v>
      </c>
      <c r="J71">
        <v>103288.37</v>
      </c>
      <c r="K71">
        <v>0</v>
      </c>
      <c r="L71">
        <v>282049.05</v>
      </c>
      <c r="M71">
        <v>0</v>
      </c>
      <c r="N71">
        <v>93199.64</v>
      </c>
      <c r="O71">
        <v>19623.759999999998</v>
      </c>
      <c r="P71">
        <v>17781.18</v>
      </c>
      <c r="Q71">
        <v>0</v>
      </c>
      <c r="R71">
        <v>0</v>
      </c>
      <c r="S71">
        <v>0</v>
      </c>
      <c r="T71">
        <v>0</v>
      </c>
      <c r="U71">
        <v>0</v>
      </c>
      <c r="V71">
        <v>146139.94</v>
      </c>
      <c r="W71">
        <v>0</v>
      </c>
      <c r="X71">
        <v>0</v>
      </c>
      <c r="Y71">
        <v>0</v>
      </c>
      <c r="Z71">
        <v>65854.75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117515.79</v>
      </c>
      <c r="AH71">
        <v>0</v>
      </c>
      <c r="AI71">
        <v>0</v>
      </c>
      <c r="AJ71">
        <v>512422210.86297899</v>
      </c>
    </row>
    <row r="72" spans="1:36" x14ac:dyDescent="0.25">
      <c r="A72" t="s">
        <v>389</v>
      </c>
      <c r="B72" t="s">
        <v>22</v>
      </c>
      <c r="D72">
        <v>4194.84</v>
      </c>
      <c r="E72">
        <v>1469.39</v>
      </c>
      <c r="G72">
        <v>2.1892999999999999E-2</v>
      </c>
      <c r="H72">
        <v>0</v>
      </c>
      <c r="I72">
        <v>160178.99</v>
      </c>
      <c r="J72">
        <v>103288.37</v>
      </c>
      <c r="K72">
        <v>0</v>
      </c>
      <c r="L72">
        <v>282049.05</v>
      </c>
      <c r="M72">
        <v>0</v>
      </c>
      <c r="N72">
        <v>93200.03</v>
      </c>
      <c r="O72">
        <v>16777.740000000002</v>
      </c>
      <c r="P72">
        <v>17729.25</v>
      </c>
      <c r="Q72">
        <v>0</v>
      </c>
      <c r="R72">
        <v>0</v>
      </c>
      <c r="S72">
        <v>0</v>
      </c>
      <c r="T72">
        <v>0</v>
      </c>
      <c r="U72">
        <v>0</v>
      </c>
      <c r="V72">
        <v>146203.06</v>
      </c>
      <c r="W72">
        <v>0</v>
      </c>
      <c r="X72">
        <v>0</v>
      </c>
      <c r="Y72">
        <v>0</v>
      </c>
      <c r="Z72">
        <v>65854.75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117519.39</v>
      </c>
      <c r="AH72">
        <v>0</v>
      </c>
      <c r="AI72">
        <v>0</v>
      </c>
      <c r="AJ72">
        <v>445906388.85938299</v>
      </c>
    </row>
    <row r="73" spans="1:36" x14ac:dyDescent="0.25">
      <c r="A73" t="s">
        <v>390</v>
      </c>
      <c r="B73" t="s">
        <v>22</v>
      </c>
      <c r="D73">
        <v>23309.11</v>
      </c>
      <c r="E73">
        <v>8164.81</v>
      </c>
      <c r="G73">
        <v>0.121653</v>
      </c>
      <c r="H73">
        <v>0</v>
      </c>
      <c r="I73">
        <v>726764.05</v>
      </c>
      <c r="J73">
        <v>239542.44</v>
      </c>
      <c r="K73">
        <v>0</v>
      </c>
      <c r="L73">
        <v>831153.37</v>
      </c>
      <c r="M73">
        <v>0</v>
      </c>
      <c r="N73">
        <v>228653.5</v>
      </c>
      <c r="O73">
        <v>167006.12</v>
      </c>
      <c r="P73">
        <v>166835.87</v>
      </c>
      <c r="Q73">
        <v>0</v>
      </c>
      <c r="R73">
        <v>0</v>
      </c>
      <c r="S73">
        <v>0</v>
      </c>
      <c r="T73">
        <v>0</v>
      </c>
      <c r="U73">
        <v>0</v>
      </c>
      <c r="V73">
        <v>460886.19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107761.45</v>
      </c>
      <c r="AH73">
        <v>0</v>
      </c>
      <c r="AI73">
        <v>0</v>
      </c>
      <c r="AJ73">
        <v>1718754420.1728599</v>
      </c>
    </row>
    <row r="74" spans="1:36" x14ac:dyDescent="0.25">
      <c r="A74" t="s">
        <v>391</v>
      </c>
      <c r="B74" t="s">
        <v>22</v>
      </c>
      <c r="D74">
        <v>35837.67</v>
      </c>
      <c r="E74">
        <v>12553.37</v>
      </c>
      <c r="G74">
        <v>0.18704200000000001</v>
      </c>
      <c r="H74">
        <v>0</v>
      </c>
      <c r="I74">
        <v>1264847.8899999999</v>
      </c>
      <c r="J74">
        <v>626942.71</v>
      </c>
      <c r="K74">
        <v>0</v>
      </c>
      <c r="L74">
        <v>1141299.43</v>
      </c>
      <c r="M74">
        <v>0</v>
      </c>
      <c r="N74">
        <v>417795.99</v>
      </c>
      <c r="O74">
        <v>323315.34000000003</v>
      </c>
      <c r="P74">
        <v>319727.78999999998</v>
      </c>
      <c r="Q74">
        <v>0</v>
      </c>
      <c r="R74">
        <v>0</v>
      </c>
      <c r="S74">
        <v>0</v>
      </c>
      <c r="T74">
        <v>0</v>
      </c>
      <c r="U74">
        <v>0</v>
      </c>
      <c r="V74">
        <v>832952.27</v>
      </c>
      <c r="W74">
        <v>0</v>
      </c>
      <c r="X74">
        <v>0</v>
      </c>
      <c r="Y74">
        <v>0</v>
      </c>
      <c r="Z74">
        <v>43737.51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256090.49</v>
      </c>
      <c r="AH74">
        <v>0</v>
      </c>
      <c r="AI74">
        <v>0</v>
      </c>
      <c r="AJ74">
        <v>2907669439.50491</v>
      </c>
    </row>
    <row r="75" spans="1:36" x14ac:dyDescent="0.25">
      <c r="A75" t="s">
        <v>392</v>
      </c>
      <c r="B75" t="s">
        <v>22</v>
      </c>
      <c r="C75">
        <v>12553.37</v>
      </c>
      <c r="D75">
        <v>35837.67</v>
      </c>
      <c r="G75">
        <v>0.18704200000000001</v>
      </c>
      <c r="H75">
        <v>0</v>
      </c>
      <c r="I75">
        <v>1498370.17</v>
      </c>
      <c r="J75">
        <v>626942.71</v>
      </c>
      <c r="K75">
        <v>0</v>
      </c>
      <c r="L75">
        <v>1141299.43</v>
      </c>
      <c r="M75">
        <v>0</v>
      </c>
      <c r="N75">
        <v>418068.31</v>
      </c>
      <c r="O75">
        <v>378989.89</v>
      </c>
      <c r="P75">
        <v>334200.31</v>
      </c>
      <c r="Q75">
        <v>0</v>
      </c>
      <c r="R75">
        <v>0</v>
      </c>
      <c r="S75">
        <v>0</v>
      </c>
      <c r="T75">
        <v>0</v>
      </c>
      <c r="U75">
        <v>0</v>
      </c>
      <c r="V75">
        <v>829744.65</v>
      </c>
      <c r="W75">
        <v>0</v>
      </c>
      <c r="X75">
        <v>0</v>
      </c>
      <c r="Y75">
        <v>0</v>
      </c>
      <c r="Z75">
        <v>43737.51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256101.77</v>
      </c>
      <c r="AH75">
        <v>0</v>
      </c>
      <c r="AI75">
        <v>0</v>
      </c>
      <c r="AJ75">
        <v>2898478708.0911198</v>
      </c>
    </row>
    <row r="76" spans="1:36" x14ac:dyDescent="0.25">
      <c r="A76" t="s">
        <v>393</v>
      </c>
      <c r="B76" t="s">
        <v>22</v>
      </c>
      <c r="C76">
        <v>1549.14</v>
      </c>
      <c r="D76">
        <v>4422.53</v>
      </c>
      <c r="G76">
        <v>2.3081999999999998E-2</v>
      </c>
      <c r="H76">
        <v>0</v>
      </c>
      <c r="I76">
        <v>247519.87</v>
      </c>
      <c r="J76">
        <v>94437.9</v>
      </c>
      <c r="K76">
        <v>0</v>
      </c>
      <c r="L76">
        <v>258328.15</v>
      </c>
      <c r="M76">
        <v>0</v>
      </c>
      <c r="N76">
        <v>273474.14</v>
      </c>
      <c r="O76">
        <v>21906.23</v>
      </c>
      <c r="P76">
        <v>20094.310000000001</v>
      </c>
      <c r="Q76">
        <v>0</v>
      </c>
      <c r="R76">
        <v>0</v>
      </c>
      <c r="S76">
        <v>0</v>
      </c>
      <c r="T76">
        <v>0</v>
      </c>
      <c r="U76">
        <v>0</v>
      </c>
      <c r="V76">
        <v>170392.22</v>
      </c>
      <c r="W76">
        <v>0</v>
      </c>
      <c r="X76">
        <v>0</v>
      </c>
      <c r="Y76">
        <v>0</v>
      </c>
      <c r="Z76">
        <v>64094.3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216283.71</v>
      </c>
      <c r="AH76">
        <v>0</v>
      </c>
      <c r="AI76">
        <v>0</v>
      </c>
      <c r="AJ76">
        <v>866835798.46281099</v>
      </c>
    </row>
    <row r="77" spans="1:36" x14ac:dyDescent="0.25">
      <c r="A77" t="s">
        <v>394</v>
      </c>
      <c r="B77" t="s">
        <v>22</v>
      </c>
      <c r="D77">
        <v>4422.53</v>
      </c>
      <c r="E77">
        <v>1549.14</v>
      </c>
      <c r="G77">
        <v>2.3081999999999998E-2</v>
      </c>
      <c r="H77">
        <v>0</v>
      </c>
      <c r="I77">
        <v>210256.11</v>
      </c>
      <c r="J77">
        <v>94437.9</v>
      </c>
      <c r="K77">
        <v>0</v>
      </c>
      <c r="L77">
        <v>258328.15</v>
      </c>
      <c r="M77">
        <v>0</v>
      </c>
      <c r="N77">
        <v>273504.28999999998</v>
      </c>
      <c r="O77">
        <v>18784.43</v>
      </c>
      <c r="P77">
        <v>19927.43</v>
      </c>
      <c r="Q77">
        <v>0</v>
      </c>
      <c r="R77">
        <v>0</v>
      </c>
      <c r="S77">
        <v>0</v>
      </c>
      <c r="T77">
        <v>0</v>
      </c>
      <c r="U77">
        <v>0</v>
      </c>
      <c r="V77">
        <v>170700.41</v>
      </c>
      <c r="W77">
        <v>0</v>
      </c>
      <c r="X77">
        <v>0</v>
      </c>
      <c r="Y77">
        <v>0</v>
      </c>
      <c r="Z77">
        <v>64094.3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216283.09</v>
      </c>
      <c r="AH77">
        <v>0</v>
      </c>
      <c r="AI77">
        <v>0</v>
      </c>
      <c r="AJ77">
        <v>821645842.51986694</v>
      </c>
    </row>
    <row r="78" spans="1:36" x14ac:dyDescent="0.25">
      <c r="A78" t="s">
        <v>395</v>
      </c>
      <c r="B78" t="s">
        <v>22</v>
      </c>
      <c r="D78">
        <v>62246.559999999998</v>
      </c>
      <c r="E78">
        <v>21803.98</v>
      </c>
      <c r="G78">
        <v>0.32487300000000002</v>
      </c>
      <c r="H78">
        <v>0</v>
      </c>
      <c r="I78">
        <v>1908561.08</v>
      </c>
      <c r="J78">
        <v>643032.05000000005</v>
      </c>
      <c r="K78">
        <v>0</v>
      </c>
      <c r="L78">
        <v>3553012.2</v>
      </c>
      <c r="M78">
        <v>0</v>
      </c>
      <c r="N78">
        <v>1125381.3500000001</v>
      </c>
      <c r="O78">
        <v>272898.77</v>
      </c>
      <c r="P78">
        <v>282558.40000000002</v>
      </c>
      <c r="Q78">
        <v>0</v>
      </c>
      <c r="R78">
        <v>0</v>
      </c>
      <c r="S78">
        <v>0</v>
      </c>
      <c r="T78">
        <v>0</v>
      </c>
      <c r="U78">
        <v>0</v>
      </c>
      <c r="V78">
        <v>1245955.71</v>
      </c>
      <c r="W78">
        <v>0</v>
      </c>
      <c r="X78">
        <v>0</v>
      </c>
      <c r="Y78">
        <v>0</v>
      </c>
      <c r="Z78">
        <v>127428.8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686695.71</v>
      </c>
      <c r="AH78">
        <v>0</v>
      </c>
      <c r="AI78">
        <v>0</v>
      </c>
      <c r="AJ78">
        <v>6050254627.0322504</v>
      </c>
    </row>
    <row r="79" spans="1:36" x14ac:dyDescent="0.25">
      <c r="A79" t="s">
        <v>396</v>
      </c>
      <c r="B79" t="s">
        <v>22</v>
      </c>
      <c r="C79">
        <v>21803.98</v>
      </c>
      <c r="D79">
        <v>62246.559999999998</v>
      </c>
      <c r="G79">
        <v>0.32487300000000002</v>
      </c>
      <c r="H79">
        <v>0</v>
      </c>
      <c r="I79">
        <v>2304665.2799999998</v>
      </c>
      <c r="J79">
        <v>643032.05000000005</v>
      </c>
      <c r="K79">
        <v>0</v>
      </c>
      <c r="L79">
        <v>3553012.2</v>
      </c>
      <c r="M79">
        <v>0</v>
      </c>
      <c r="N79">
        <v>1125722.55</v>
      </c>
      <c r="O79">
        <v>313550.51</v>
      </c>
      <c r="P79">
        <v>284593.65000000002</v>
      </c>
      <c r="Q79">
        <v>0</v>
      </c>
      <c r="R79">
        <v>0</v>
      </c>
      <c r="S79">
        <v>0</v>
      </c>
      <c r="T79">
        <v>0</v>
      </c>
      <c r="U79">
        <v>0</v>
      </c>
      <c r="V79">
        <v>1251068.47</v>
      </c>
      <c r="W79">
        <v>0</v>
      </c>
      <c r="X79">
        <v>0</v>
      </c>
      <c r="Y79">
        <v>0</v>
      </c>
      <c r="Z79">
        <v>127428.8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686699.99</v>
      </c>
      <c r="AH79">
        <v>0</v>
      </c>
      <c r="AI79">
        <v>0</v>
      </c>
      <c r="AJ79">
        <v>6187484716.5249996</v>
      </c>
    </row>
    <row r="80" spans="1:36" x14ac:dyDescent="0.25">
      <c r="A80" t="s">
        <v>397</v>
      </c>
      <c r="B80" t="s">
        <v>22</v>
      </c>
      <c r="C80">
        <v>10571.18</v>
      </c>
      <c r="D80">
        <v>30178.86</v>
      </c>
      <c r="G80">
        <v>0.15750800000000001</v>
      </c>
      <c r="H80">
        <v>0</v>
      </c>
      <c r="I80">
        <v>1117888.4099999999</v>
      </c>
      <c r="J80">
        <v>163686.57</v>
      </c>
      <c r="K80">
        <v>0</v>
      </c>
      <c r="L80">
        <v>936314.72</v>
      </c>
      <c r="M80">
        <v>0</v>
      </c>
      <c r="N80">
        <v>370296.54</v>
      </c>
      <c r="O80">
        <v>270353.17</v>
      </c>
      <c r="P80">
        <v>242068.53</v>
      </c>
      <c r="Q80">
        <v>0</v>
      </c>
      <c r="R80">
        <v>0</v>
      </c>
      <c r="S80">
        <v>0</v>
      </c>
      <c r="T80">
        <v>0</v>
      </c>
      <c r="U80">
        <v>0</v>
      </c>
      <c r="V80">
        <v>497100.88</v>
      </c>
      <c r="W80">
        <v>0</v>
      </c>
      <c r="X80">
        <v>0</v>
      </c>
      <c r="Y80">
        <v>0</v>
      </c>
      <c r="Z80">
        <v>68627.600000000006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450697.87</v>
      </c>
      <c r="AH80">
        <v>0</v>
      </c>
      <c r="AI80">
        <v>0</v>
      </c>
      <c r="AJ80">
        <v>2277822126.6419001</v>
      </c>
    </row>
    <row r="81" spans="1:36" x14ac:dyDescent="0.25">
      <c r="A81" t="s">
        <v>398</v>
      </c>
      <c r="B81" t="s">
        <v>22</v>
      </c>
      <c r="D81">
        <v>30178.86</v>
      </c>
      <c r="E81">
        <v>10571.18</v>
      </c>
      <c r="G81">
        <v>0.15750800000000001</v>
      </c>
      <c r="H81">
        <v>0</v>
      </c>
      <c r="I81">
        <v>641721.53</v>
      </c>
      <c r="J81">
        <v>163686.57</v>
      </c>
      <c r="K81">
        <v>0</v>
      </c>
      <c r="L81">
        <v>936314.72</v>
      </c>
      <c r="M81">
        <v>0</v>
      </c>
      <c r="N81">
        <v>370254.34</v>
      </c>
      <c r="O81">
        <v>225641.89</v>
      </c>
      <c r="P81">
        <v>231147.47</v>
      </c>
      <c r="Q81">
        <v>0</v>
      </c>
      <c r="R81">
        <v>0</v>
      </c>
      <c r="S81">
        <v>0</v>
      </c>
      <c r="T81">
        <v>0</v>
      </c>
      <c r="U81">
        <v>0</v>
      </c>
      <c r="V81">
        <v>497340.66</v>
      </c>
      <c r="W81">
        <v>0</v>
      </c>
      <c r="X81">
        <v>0</v>
      </c>
      <c r="Y81">
        <v>0</v>
      </c>
      <c r="Z81">
        <v>68627.600000000006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450692.55</v>
      </c>
      <c r="AH81">
        <v>0</v>
      </c>
      <c r="AI81">
        <v>0</v>
      </c>
      <c r="AJ81">
        <v>1947429574.0434</v>
      </c>
    </row>
    <row r="82" spans="1:36" x14ac:dyDescent="0.25">
      <c r="A82" t="s">
        <v>399</v>
      </c>
      <c r="B82" t="s">
        <v>21</v>
      </c>
      <c r="C82">
        <v>6323.79</v>
      </c>
      <c r="D82">
        <v>18053.310000000001</v>
      </c>
      <c r="G82">
        <v>9.4223000000000001E-2</v>
      </c>
      <c r="H82">
        <v>0</v>
      </c>
      <c r="I82">
        <v>625951.94999999995</v>
      </c>
      <c r="J82">
        <v>394508.4</v>
      </c>
      <c r="K82">
        <v>0</v>
      </c>
      <c r="L82">
        <v>436518</v>
      </c>
      <c r="M82">
        <v>0</v>
      </c>
      <c r="N82">
        <v>230923.7</v>
      </c>
      <c r="O82">
        <v>87528.56</v>
      </c>
      <c r="P82">
        <v>79556.649999999994</v>
      </c>
      <c r="Q82">
        <v>0</v>
      </c>
      <c r="R82">
        <v>0</v>
      </c>
      <c r="S82">
        <v>0</v>
      </c>
      <c r="T82">
        <v>0</v>
      </c>
      <c r="U82">
        <v>0</v>
      </c>
      <c r="V82">
        <v>421007.34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160195.56</v>
      </c>
      <c r="AH82">
        <v>0</v>
      </c>
      <c r="AI82">
        <v>0</v>
      </c>
      <c r="AJ82">
        <v>1952652540.6027701</v>
      </c>
    </row>
    <row r="83" spans="1:36" x14ac:dyDescent="0.25">
      <c r="A83" t="s">
        <v>400</v>
      </c>
      <c r="B83" t="s">
        <v>21</v>
      </c>
      <c r="D83">
        <v>18053.310000000001</v>
      </c>
      <c r="E83">
        <v>6323.79</v>
      </c>
      <c r="G83">
        <v>9.4223000000000001E-2</v>
      </c>
      <c r="H83">
        <v>0</v>
      </c>
      <c r="I83">
        <v>615143.75</v>
      </c>
      <c r="J83">
        <v>394508.4</v>
      </c>
      <c r="K83">
        <v>0</v>
      </c>
      <c r="L83">
        <v>436518</v>
      </c>
      <c r="M83">
        <v>0</v>
      </c>
      <c r="N83">
        <v>230995.57</v>
      </c>
      <c r="O83">
        <v>78931.16</v>
      </c>
      <c r="P83">
        <v>78593.61</v>
      </c>
      <c r="Q83">
        <v>0</v>
      </c>
      <c r="R83">
        <v>0</v>
      </c>
      <c r="S83">
        <v>0</v>
      </c>
      <c r="T83">
        <v>0</v>
      </c>
      <c r="U83">
        <v>0</v>
      </c>
      <c r="V83">
        <v>420877.67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160196.60999999999</v>
      </c>
      <c r="AH83">
        <v>0</v>
      </c>
      <c r="AI83">
        <v>0</v>
      </c>
      <c r="AJ83">
        <v>1954242688.7857499</v>
      </c>
    </row>
    <row r="84" spans="1:36" x14ac:dyDescent="0.25">
      <c r="A84" t="s">
        <v>401</v>
      </c>
      <c r="B84" t="s">
        <v>21</v>
      </c>
      <c r="C84">
        <v>510.78</v>
      </c>
      <c r="D84">
        <v>1458.2</v>
      </c>
      <c r="G84">
        <v>7.6109999999999997E-3</v>
      </c>
      <c r="H84">
        <v>0</v>
      </c>
      <c r="I84">
        <v>41979.39</v>
      </c>
      <c r="J84">
        <v>12134.67</v>
      </c>
      <c r="K84">
        <v>0</v>
      </c>
      <c r="L84">
        <v>29466.65</v>
      </c>
      <c r="M84">
        <v>0</v>
      </c>
      <c r="N84">
        <v>60611.69</v>
      </c>
      <c r="O84">
        <v>7448.49</v>
      </c>
      <c r="P84">
        <v>6307.19</v>
      </c>
      <c r="Q84">
        <v>0</v>
      </c>
      <c r="R84">
        <v>0</v>
      </c>
      <c r="S84">
        <v>0</v>
      </c>
      <c r="T84">
        <v>0</v>
      </c>
      <c r="U84">
        <v>0</v>
      </c>
      <c r="V84">
        <v>5164.41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4299.92</v>
      </c>
      <c r="AH84">
        <v>0</v>
      </c>
      <c r="AI84">
        <v>0</v>
      </c>
      <c r="AJ84">
        <v>120408298.958406</v>
      </c>
    </row>
    <row r="85" spans="1:36" x14ac:dyDescent="0.25">
      <c r="A85" t="s">
        <v>402</v>
      </c>
      <c r="B85" t="s">
        <v>21</v>
      </c>
      <c r="D85">
        <v>1458.2</v>
      </c>
      <c r="E85">
        <v>510.78</v>
      </c>
      <c r="G85">
        <v>7.6109999999999997E-3</v>
      </c>
      <c r="H85">
        <v>0</v>
      </c>
      <c r="I85">
        <v>27663.69</v>
      </c>
      <c r="J85">
        <v>12134.67</v>
      </c>
      <c r="K85">
        <v>0</v>
      </c>
      <c r="L85">
        <v>29466.65</v>
      </c>
      <c r="M85">
        <v>0</v>
      </c>
      <c r="N85">
        <v>60611.69</v>
      </c>
      <c r="O85">
        <v>5599.43</v>
      </c>
      <c r="P85">
        <v>5875.17</v>
      </c>
      <c r="Q85">
        <v>0</v>
      </c>
      <c r="R85">
        <v>0</v>
      </c>
      <c r="S85">
        <v>0</v>
      </c>
      <c r="T85">
        <v>0</v>
      </c>
      <c r="U85">
        <v>0</v>
      </c>
      <c r="V85">
        <v>5164.41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4299.92</v>
      </c>
      <c r="AH85">
        <v>0</v>
      </c>
      <c r="AI85">
        <v>0</v>
      </c>
      <c r="AJ85">
        <v>104098401.569039</v>
      </c>
    </row>
    <row r="86" spans="1:36" x14ac:dyDescent="0.25">
      <c r="A86" t="s">
        <v>403</v>
      </c>
      <c r="B86" t="s">
        <v>21</v>
      </c>
      <c r="D86">
        <v>4251.34</v>
      </c>
      <c r="E86">
        <v>1489.18</v>
      </c>
      <c r="G86">
        <v>2.2187999999999999E-2</v>
      </c>
      <c r="H86">
        <v>0</v>
      </c>
      <c r="I86">
        <v>180381.25</v>
      </c>
      <c r="J86">
        <v>103288.37</v>
      </c>
      <c r="K86">
        <v>0</v>
      </c>
      <c r="L86">
        <v>282049.05</v>
      </c>
      <c r="M86">
        <v>0</v>
      </c>
      <c r="N86">
        <v>103357.22</v>
      </c>
      <c r="O86">
        <v>17332.22</v>
      </c>
      <c r="P86">
        <v>18378.97</v>
      </c>
      <c r="Q86">
        <v>0</v>
      </c>
      <c r="R86">
        <v>0</v>
      </c>
      <c r="S86">
        <v>0</v>
      </c>
      <c r="T86">
        <v>0</v>
      </c>
      <c r="U86">
        <v>0</v>
      </c>
      <c r="V86">
        <v>172769</v>
      </c>
      <c r="W86">
        <v>0</v>
      </c>
      <c r="X86">
        <v>0</v>
      </c>
      <c r="Y86">
        <v>0</v>
      </c>
      <c r="Z86">
        <v>65854.75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114320.04</v>
      </c>
      <c r="AH86">
        <v>0</v>
      </c>
      <c r="AI86">
        <v>0</v>
      </c>
      <c r="AJ86">
        <v>476004260.67108297</v>
      </c>
    </row>
    <row r="87" spans="1:36" x14ac:dyDescent="0.25">
      <c r="A87" t="s">
        <v>404</v>
      </c>
      <c r="B87" t="s">
        <v>21</v>
      </c>
      <c r="C87">
        <v>1489.18</v>
      </c>
      <c r="D87">
        <v>4251.34</v>
      </c>
      <c r="G87">
        <v>2.2187999999999999E-2</v>
      </c>
      <c r="H87">
        <v>0</v>
      </c>
      <c r="I87">
        <v>229940.71</v>
      </c>
      <c r="J87">
        <v>103288.37</v>
      </c>
      <c r="K87">
        <v>0</v>
      </c>
      <c r="L87">
        <v>282049.05</v>
      </c>
      <c r="M87">
        <v>0</v>
      </c>
      <c r="N87">
        <v>103358.49</v>
      </c>
      <c r="O87">
        <v>20384.48</v>
      </c>
      <c r="P87">
        <v>18442.63</v>
      </c>
      <c r="Q87">
        <v>0</v>
      </c>
      <c r="R87">
        <v>0</v>
      </c>
      <c r="S87">
        <v>0</v>
      </c>
      <c r="T87">
        <v>0</v>
      </c>
      <c r="U87">
        <v>0</v>
      </c>
      <c r="V87">
        <v>172719.93</v>
      </c>
      <c r="W87">
        <v>0</v>
      </c>
      <c r="X87">
        <v>0</v>
      </c>
      <c r="Y87">
        <v>0</v>
      </c>
      <c r="Z87">
        <v>65854.75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114317.55</v>
      </c>
      <c r="AH87">
        <v>0</v>
      </c>
      <c r="AI87">
        <v>0</v>
      </c>
      <c r="AJ87">
        <v>532134823.11142498</v>
      </c>
    </row>
    <row r="88" spans="1:36" x14ac:dyDescent="0.25">
      <c r="A88" t="s">
        <v>405</v>
      </c>
      <c r="B88" t="s">
        <v>21</v>
      </c>
      <c r="D88">
        <v>23690.61</v>
      </c>
      <c r="E88">
        <v>8298.44</v>
      </c>
      <c r="G88">
        <v>0.123645</v>
      </c>
      <c r="H88">
        <v>0</v>
      </c>
      <c r="I88">
        <v>761950.22</v>
      </c>
      <c r="J88">
        <v>239542.44</v>
      </c>
      <c r="K88">
        <v>0</v>
      </c>
      <c r="L88">
        <v>831153.37</v>
      </c>
      <c r="M88">
        <v>0</v>
      </c>
      <c r="N88">
        <v>237348.33</v>
      </c>
      <c r="O88">
        <v>169230.07999999999</v>
      </c>
      <c r="P88">
        <v>170887.49</v>
      </c>
      <c r="Q88">
        <v>0</v>
      </c>
      <c r="R88">
        <v>0</v>
      </c>
      <c r="S88">
        <v>0</v>
      </c>
      <c r="T88">
        <v>0</v>
      </c>
      <c r="U88">
        <v>0</v>
      </c>
      <c r="V88">
        <v>540355.18000000005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104830.99</v>
      </c>
      <c r="AH88">
        <v>0</v>
      </c>
      <c r="AI88">
        <v>0</v>
      </c>
      <c r="AJ88">
        <v>1706927009.0513599</v>
      </c>
    </row>
    <row r="89" spans="1:36" x14ac:dyDescent="0.25">
      <c r="A89" t="s">
        <v>406</v>
      </c>
      <c r="B89" t="s">
        <v>21</v>
      </c>
      <c r="C89">
        <v>8298.44</v>
      </c>
      <c r="D89">
        <v>23690.61</v>
      </c>
      <c r="G89">
        <v>0.123645</v>
      </c>
      <c r="H89">
        <v>0</v>
      </c>
      <c r="I89">
        <v>971908.7</v>
      </c>
      <c r="J89">
        <v>239542.44</v>
      </c>
      <c r="K89">
        <v>0</v>
      </c>
      <c r="L89">
        <v>831153.37</v>
      </c>
      <c r="M89">
        <v>0</v>
      </c>
      <c r="N89">
        <v>237669.45</v>
      </c>
      <c r="O89">
        <v>195888.14</v>
      </c>
      <c r="P89">
        <v>176016.44</v>
      </c>
      <c r="Q89">
        <v>0</v>
      </c>
      <c r="R89">
        <v>0</v>
      </c>
      <c r="S89">
        <v>0</v>
      </c>
      <c r="T89">
        <v>0</v>
      </c>
      <c r="U89">
        <v>0</v>
      </c>
      <c r="V89">
        <v>537685.06999999995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104832.92</v>
      </c>
      <c r="AH89">
        <v>0</v>
      </c>
      <c r="AI89">
        <v>0</v>
      </c>
      <c r="AJ89">
        <v>1971559776.53671</v>
      </c>
    </row>
    <row r="90" spans="1:36" x14ac:dyDescent="0.25">
      <c r="A90" t="s">
        <v>407</v>
      </c>
      <c r="B90" t="s">
        <v>21</v>
      </c>
      <c r="C90">
        <v>12494.7</v>
      </c>
      <c r="D90">
        <v>35670.199999999997</v>
      </c>
      <c r="G90">
        <v>0.186168</v>
      </c>
      <c r="H90">
        <v>0</v>
      </c>
      <c r="I90">
        <v>1576758.7</v>
      </c>
      <c r="J90">
        <v>626942.71</v>
      </c>
      <c r="K90">
        <v>0</v>
      </c>
      <c r="L90">
        <v>1141299.43</v>
      </c>
      <c r="M90">
        <v>0</v>
      </c>
      <c r="N90">
        <v>450316.16</v>
      </c>
      <c r="O90">
        <v>382104.76</v>
      </c>
      <c r="P90">
        <v>335602.48</v>
      </c>
      <c r="Q90">
        <v>0</v>
      </c>
      <c r="R90">
        <v>0</v>
      </c>
      <c r="S90">
        <v>0</v>
      </c>
      <c r="T90">
        <v>0</v>
      </c>
      <c r="U90">
        <v>0</v>
      </c>
      <c r="V90">
        <v>884041.85</v>
      </c>
      <c r="W90">
        <v>0</v>
      </c>
      <c r="X90">
        <v>0</v>
      </c>
      <c r="Y90">
        <v>0</v>
      </c>
      <c r="Z90">
        <v>43737.51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249115.08</v>
      </c>
      <c r="AH90">
        <v>0</v>
      </c>
      <c r="AI90">
        <v>0</v>
      </c>
      <c r="AJ90">
        <v>2794127520.178</v>
      </c>
    </row>
    <row r="91" spans="1:36" x14ac:dyDescent="0.25">
      <c r="A91" t="s">
        <v>408</v>
      </c>
      <c r="B91" t="s">
        <v>21</v>
      </c>
      <c r="D91">
        <v>35670.199999999997</v>
      </c>
      <c r="E91">
        <v>12494.7</v>
      </c>
      <c r="G91">
        <v>0.186168</v>
      </c>
      <c r="H91">
        <v>0</v>
      </c>
      <c r="I91">
        <v>1323652.49</v>
      </c>
      <c r="J91">
        <v>626942.71</v>
      </c>
      <c r="K91">
        <v>0</v>
      </c>
      <c r="L91">
        <v>1141299.43</v>
      </c>
      <c r="M91">
        <v>0</v>
      </c>
      <c r="N91">
        <v>449128.57</v>
      </c>
      <c r="O91">
        <v>326738.43</v>
      </c>
      <c r="P91">
        <v>323197.55</v>
      </c>
      <c r="Q91">
        <v>0</v>
      </c>
      <c r="R91">
        <v>0</v>
      </c>
      <c r="S91">
        <v>0</v>
      </c>
      <c r="T91">
        <v>0</v>
      </c>
      <c r="U91">
        <v>0</v>
      </c>
      <c r="V91">
        <v>886898.87</v>
      </c>
      <c r="W91">
        <v>0</v>
      </c>
      <c r="X91">
        <v>0</v>
      </c>
      <c r="Y91">
        <v>0</v>
      </c>
      <c r="Z91">
        <v>43737.51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249122.35</v>
      </c>
      <c r="AH91">
        <v>0</v>
      </c>
      <c r="AI91">
        <v>0</v>
      </c>
      <c r="AJ91">
        <v>2785676708.1263399</v>
      </c>
    </row>
    <row r="92" spans="1:36" x14ac:dyDescent="0.25">
      <c r="A92" t="s">
        <v>409</v>
      </c>
      <c r="B92" t="s">
        <v>21</v>
      </c>
      <c r="D92">
        <v>4458.91</v>
      </c>
      <c r="E92">
        <v>1561.89</v>
      </c>
      <c r="G92">
        <v>2.3272000000000001E-2</v>
      </c>
      <c r="H92">
        <v>0</v>
      </c>
      <c r="I92">
        <v>227402.02</v>
      </c>
      <c r="J92">
        <v>94437.9</v>
      </c>
      <c r="K92">
        <v>0</v>
      </c>
      <c r="L92">
        <v>258328.15</v>
      </c>
      <c r="M92">
        <v>0</v>
      </c>
      <c r="N92">
        <v>267820.90000000002</v>
      </c>
      <c r="O92">
        <v>18324.16</v>
      </c>
      <c r="P92">
        <v>19963.919999999998</v>
      </c>
      <c r="Q92">
        <v>0</v>
      </c>
      <c r="R92">
        <v>0</v>
      </c>
      <c r="S92">
        <v>0</v>
      </c>
      <c r="T92">
        <v>0</v>
      </c>
      <c r="U92">
        <v>0</v>
      </c>
      <c r="V92">
        <v>148964.93</v>
      </c>
      <c r="W92">
        <v>0</v>
      </c>
      <c r="X92">
        <v>0</v>
      </c>
      <c r="Y92">
        <v>0</v>
      </c>
      <c r="Z92">
        <v>64094.3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210323.02</v>
      </c>
      <c r="AH92">
        <v>0</v>
      </c>
      <c r="AI92">
        <v>0</v>
      </c>
      <c r="AJ92">
        <v>833342956.765185</v>
      </c>
    </row>
    <row r="93" spans="1:36" x14ac:dyDescent="0.25">
      <c r="A93" t="s">
        <v>410</v>
      </c>
      <c r="B93" t="s">
        <v>21</v>
      </c>
      <c r="C93">
        <v>22240.799999999999</v>
      </c>
      <c r="D93">
        <v>63493.61</v>
      </c>
      <c r="G93">
        <v>0.33138200000000001</v>
      </c>
      <c r="H93">
        <v>0</v>
      </c>
      <c r="I93">
        <v>2507176.33</v>
      </c>
      <c r="J93">
        <v>643032.05000000005</v>
      </c>
      <c r="K93">
        <v>0</v>
      </c>
      <c r="L93">
        <v>3553012.2</v>
      </c>
      <c r="M93">
        <v>0</v>
      </c>
      <c r="N93">
        <v>1188141.72</v>
      </c>
      <c r="O93">
        <v>326052.93</v>
      </c>
      <c r="P93">
        <v>296699.83</v>
      </c>
      <c r="Q93">
        <v>0</v>
      </c>
      <c r="R93">
        <v>0</v>
      </c>
      <c r="S93">
        <v>0</v>
      </c>
      <c r="T93">
        <v>0</v>
      </c>
      <c r="U93">
        <v>0</v>
      </c>
      <c r="V93">
        <v>1413156.27</v>
      </c>
      <c r="W93">
        <v>0</v>
      </c>
      <c r="X93">
        <v>0</v>
      </c>
      <c r="Y93">
        <v>0</v>
      </c>
      <c r="Z93">
        <v>127428.8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667241.1</v>
      </c>
      <c r="AH93">
        <v>0</v>
      </c>
      <c r="AI93">
        <v>0</v>
      </c>
      <c r="AJ93">
        <v>6166994330.7137699</v>
      </c>
    </row>
    <row r="94" spans="1:36" x14ac:dyDescent="0.25">
      <c r="A94" t="s">
        <v>411</v>
      </c>
      <c r="B94" t="s">
        <v>21</v>
      </c>
      <c r="C94">
        <v>1561.89</v>
      </c>
      <c r="D94">
        <v>4458.91</v>
      </c>
      <c r="G94">
        <v>2.3272000000000001E-2</v>
      </c>
      <c r="H94">
        <v>0</v>
      </c>
      <c r="I94">
        <v>270111.67</v>
      </c>
      <c r="J94">
        <v>94437.9</v>
      </c>
      <c r="K94">
        <v>0</v>
      </c>
      <c r="L94">
        <v>258328.15</v>
      </c>
      <c r="M94">
        <v>0</v>
      </c>
      <c r="N94">
        <v>267793.5</v>
      </c>
      <c r="O94">
        <v>21520.77</v>
      </c>
      <c r="P94">
        <v>20091.89</v>
      </c>
      <c r="Q94">
        <v>0</v>
      </c>
      <c r="R94">
        <v>0</v>
      </c>
      <c r="S94">
        <v>0</v>
      </c>
      <c r="T94">
        <v>0</v>
      </c>
      <c r="U94">
        <v>0</v>
      </c>
      <c r="V94">
        <v>148746.04</v>
      </c>
      <c r="W94">
        <v>0</v>
      </c>
      <c r="X94">
        <v>0</v>
      </c>
      <c r="Y94">
        <v>0</v>
      </c>
      <c r="Z94">
        <v>64094.3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210322.45</v>
      </c>
      <c r="AH94">
        <v>0</v>
      </c>
      <c r="AI94">
        <v>0</v>
      </c>
      <c r="AJ94">
        <v>899061257.24421895</v>
      </c>
    </row>
    <row r="95" spans="1:36" x14ac:dyDescent="0.25">
      <c r="A95" t="s">
        <v>412</v>
      </c>
      <c r="B95" t="s">
        <v>21</v>
      </c>
      <c r="D95">
        <v>63493.61</v>
      </c>
      <c r="E95">
        <v>22240.799999999999</v>
      </c>
      <c r="G95">
        <v>0.33138200000000001</v>
      </c>
      <c r="H95">
        <v>0</v>
      </c>
      <c r="I95">
        <v>2043427.8400000001</v>
      </c>
      <c r="J95">
        <v>643032.05000000005</v>
      </c>
      <c r="K95">
        <v>0</v>
      </c>
      <c r="L95">
        <v>3553012.2</v>
      </c>
      <c r="M95">
        <v>0</v>
      </c>
      <c r="N95">
        <v>1187790.44</v>
      </c>
      <c r="O95">
        <v>284223.99</v>
      </c>
      <c r="P95">
        <v>295332.19</v>
      </c>
      <c r="Q95">
        <v>0</v>
      </c>
      <c r="R95">
        <v>0</v>
      </c>
      <c r="S95">
        <v>0</v>
      </c>
      <c r="T95">
        <v>0</v>
      </c>
      <c r="U95">
        <v>0</v>
      </c>
      <c r="V95">
        <v>1411621.41</v>
      </c>
      <c r="W95">
        <v>0</v>
      </c>
      <c r="X95">
        <v>0</v>
      </c>
      <c r="Y95">
        <v>0</v>
      </c>
      <c r="Z95">
        <v>127428.8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667214.36</v>
      </c>
      <c r="AH95">
        <v>0</v>
      </c>
      <c r="AI95">
        <v>0</v>
      </c>
      <c r="AJ95">
        <v>5833272750.81495</v>
      </c>
    </row>
    <row r="96" spans="1:36" x14ac:dyDescent="0.25">
      <c r="A96" t="s">
        <v>413</v>
      </c>
      <c r="B96" t="s">
        <v>21</v>
      </c>
      <c r="D96">
        <v>30147.360000000001</v>
      </c>
      <c r="E96">
        <v>10560.14</v>
      </c>
      <c r="G96">
        <v>0.15734300000000001</v>
      </c>
      <c r="H96">
        <v>0</v>
      </c>
      <c r="I96">
        <v>638152.21</v>
      </c>
      <c r="J96">
        <v>163686.57</v>
      </c>
      <c r="K96">
        <v>0</v>
      </c>
      <c r="L96">
        <v>936314.72</v>
      </c>
      <c r="M96">
        <v>0</v>
      </c>
      <c r="N96">
        <v>338681.7</v>
      </c>
      <c r="O96">
        <v>224682.17</v>
      </c>
      <c r="P96">
        <v>236748.48</v>
      </c>
      <c r="Q96">
        <v>0</v>
      </c>
      <c r="R96">
        <v>0</v>
      </c>
      <c r="S96">
        <v>0</v>
      </c>
      <c r="T96">
        <v>0</v>
      </c>
      <c r="U96">
        <v>0</v>
      </c>
      <c r="V96">
        <v>357612.54</v>
      </c>
      <c r="W96">
        <v>0</v>
      </c>
      <c r="X96">
        <v>0</v>
      </c>
      <c r="Y96">
        <v>0</v>
      </c>
      <c r="Z96">
        <v>68627.600000000006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437385.72</v>
      </c>
      <c r="AH96">
        <v>0</v>
      </c>
      <c r="AI96">
        <v>0</v>
      </c>
      <c r="AJ96">
        <v>1813426867.85761</v>
      </c>
    </row>
    <row r="97" spans="1:36" x14ac:dyDescent="0.25">
      <c r="A97" t="s">
        <v>414</v>
      </c>
      <c r="B97" t="s">
        <v>21</v>
      </c>
      <c r="C97">
        <v>10560.14</v>
      </c>
      <c r="D97">
        <v>30147.360000000001</v>
      </c>
      <c r="G97">
        <v>0.15734300000000001</v>
      </c>
      <c r="H97">
        <v>0</v>
      </c>
      <c r="I97">
        <v>1099508.17</v>
      </c>
      <c r="J97">
        <v>163686.57</v>
      </c>
      <c r="K97">
        <v>0</v>
      </c>
      <c r="L97">
        <v>936314.72</v>
      </c>
      <c r="M97">
        <v>0</v>
      </c>
      <c r="N97">
        <v>338752.87</v>
      </c>
      <c r="O97">
        <v>269625.33</v>
      </c>
      <c r="P97">
        <v>245650.76</v>
      </c>
      <c r="Q97">
        <v>0</v>
      </c>
      <c r="R97">
        <v>0</v>
      </c>
      <c r="S97">
        <v>0</v>
      </c>
      <c r="T97">
        <v>0</v>
      </c>
      <c r="U97">
        <v>0</v>
      </c>
      <c r="V97">
        <v>357352.27</v>
      </c>
      <c r="W97">
        <v>0</v>
      </c>
      <c r="X97">
        <v>0</v>
      </c>
      <c r="Y97">
        <v>0</v>
      </c>
      <c r="Z97">
        <v>68627.600000000006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437390.27</v>
      </c>
      <c r="AH97">
        <v>0</v>
      </c>
      <c r="AI97">
        <v>0</v>
      </c>
      <c r="AJ97">
        <v>2138177278.6008</v>
      </c>
    </row>
    <row r="98" spans="1:36" x14ac:dyDescent="0.25">
      <c r="A98" t="s">
        <v>415</v>
      </c>
      <c r="B98" t="s">
        <v>20</v>
      </c>
      <c r="C98">
        <v>8897.51</v>
      </c>
      <c r="D98">
        <v>25400.85</v>
      </c>
      <c r="G98">
        <v>0.13257099999999999</v>
      </c>
      <c r="H98">
        <v>0</v>
      </c>
      <c r="I98">
        <v>1018690.31</v>
      </c>
      <c r="J98">
        <v>394508.4</v>
      </c>
      <c r="K98">
        <v>0</v>
      </c>
      <c r="L98">
        <v>436518</v>
      </c>
      <c r="M98">
        <v>0</v>
      </c>
      <c r="N98">
        <v>283971.84999999998</v>
      </c>
      <c r="O98">
        <v>156884.07999999999</v>
      </c>
      <c r="P98">
        <v>141531.25</v>
      </c>
      <c r="Q98">
        <v>0</v>
      </c>
      <c r="R98">
        <v>0</v>
      </c>
      <c r="S98">
        <v>0</v>
      </c>
      <c r="T98">
        <v>0</v>
      </c>
      <c r="U98">
        <v>0</v>
      </c>
      <c r="V98">
        <v>734798.35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156629.82</v>
      </c>
      <c r="AH98">
        <v>0</v>
      </c>
      <c r="AI98">
        <v>0</v>
      </c>
      <c r="AJ98">
        <v>2404487709.1708698</v>
      </c>
    </row>
    <row r="99" spans="1:36" x14ac:dyDescent="0.25">
      <c r="A99" t="s">
        <v>416</v>
      </c>
      <c r="B99" t="s">
        <v>20</v>
      </c>
      <c r="D99">
        <v>1487.55</v>
      </c>
      <c r="E99">
        <v>521.05999999999995</v>
      </c>
      <c r="G99">
        <v>7.7640000000000001E-3</v>
      </c>
      <c r="H99">
        <v>0</v>
      </c>
      <c r="I99">
        <v>27839.65</v>
      </c>
      <c r="J99">
        <v>12134.67</v>
      </c>
      <c r="K99">
        <v>0</v>
      </c>
      <c r="L99">
        <v>29466.65</v>
      </c>
      <c r="M99">
        <v>0</v>
      </c>
      <c r="N99">
        <v>61779.839999999997</v>
      </c>
      <c r="O99">
        <v>5754.62</v>
      </c>
      <c r="P99">
        <v>6220.24</v>
      </c>
      <c r="Q99">
        <v>0</v>
      </c>
      <c r="R99">
        <v>0</v>
      </c>
      <c r="S99">
        <v>0</v>
      </c>
      <c r="T99">
        <v>0</v>
      </c>
      <c r="U99">
        <v>0</v>
      </c>
      <c r="V99">
        <v>1384.63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4217.2700000000004</v>
      </c>
      <c r="AH99">
        <v>0</v>
      </c>
      <c r="AI99">
        <v>0</v>
      </c>
      <c r="AJ99">
        <v>92902082.222069293</v>
      </c>
    </row>
    <row r="100" spans="1:36" x14ac:dyDescent="0.25">
      <c r="A100" t="s">
        <v>417</v>
      </c>
      <c r="B100" t="s">
        <v>20</v>
      </c>
      <c r="C100">
        <v>521.05999999999995</v>
      </c>
      <c r="D100">
        <v>1487.55</v>
      </c>
      <c r="G100">
        <v>7.7640000000000001E-3</v>
      </c>
      <c r="H100">
        <v>0</v>
      </c>
      <c r="I100">
        <v>44969.8</v>
      </c>
      <c r="J100">
        <v>12134.67</v>
      </c>
      <c r="K100">
        <v>0</v>
      </c>
      <c r="L100">
        <v>29466.65</v>
      </c>
      <c r="M100">
        <v>0</v>
      </c>
      <c r="N100">
        <v>61779.839999999997</v>
      </c>
      <c r="O100">
        <v>8029.51</v>
      </c>
      <c r="P100">
        <v>6813.95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1384.64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4217.2700000000004</v>
      </c>
      <c r="AH100">
        <v>0</v>
      </c>
      <c r="AI100">
        <v>0</v>
      </c>
      <c r="AJ100">
        <v>121240601.070049</v>
      </c>
    </row>
    <row r="101" spans="1:36" x14ac:dyDescent="0.25">
      <c r="A101" t="s">
        <v>418</v>
      </c>
      <c r="B101" t="s">
        <v>20</v>
      </c>
      <c r="D101">
        <v>25400.85</v>
      </c>
      <c r="E101">
        <v>8897.51</v>
      </c>
      <c r="G101">
        <v>0.13257099999999999</v>
      </c>
      <c r="H101">
        <v>0</v>
      </c>
      <c r="I101">
        <v>839547.59</v>
      </c>
      <c r="J101">
        <v>394508.4</v>
      </c>
      <c r="K101">
        <v>0</v>
      </c>
      <c r="L101">
        <v>436518</v>
      </c>
      <c r="M101">
        <v>0</v>
      </c>
      <c r="N101">
        <v>283941.03000000003</v>
      </c>
      <c r="O101">
        <v>136955.97</v>
      </c>
      <c r="P101">
        <v>138666.37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733476.87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156631.41</v>
      </c>
      <c r="AH101">
        <v>0</v>
      </c>
      <c r="AI101">
        <v>0</v>
      </c>
      <c r="AJ101">
        <v>2278355241.9052</v>
      </c>
    </row>
    <row r="102" spans="1:36" x14ac:dyDescent="0.25">
      <c r="A102" t="s">
        <v>419</v>
      </c>
      <c r="B102" t="s">
        <v>20</v>
      </c>
      <c r="D102">
        <v>23819.1</v>
      </c>
      <c r="E102">
        <v>8343.4500000000007</v>
      </c>
      <c r="G102">
        <v>0.12431499999999999</v>
      </c>
      <c r="H102">
        <v>0</v>
      </c>
      <c r="I102">
        <v>862705.61</v>
      </c>
      <c r="J102">
        <v>239542.44</v>
      </c>
      <c r="K102">
        <v>0</v>
      </c>
      <c r="L102">
        <v>831153.37</v>
      </c>
      <c r="M102">
        <v>0</v>
      </c>
      <c r="N102">
        <v>252016.45</v>
      </c>
      <c r="O102">
        <v>192084.05</v>
      </c>
      <c r="P102">
        <v>199332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426267.66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102498.03</v>
      </c>
      <c r="AH102">
        <v>0</v>
      </c>
      <c r="AI102">
        <v>0</v>
      </c>
      <c r="AJ102">
        <v>1593711570.53564</v>
      </c>
    </row>
    <row r="103" spans="1:36" x14ac:dyDescent="0.25">
      <c r="A103" t="s">
        <v>420</v>
      </c>
      <c r="B103" t="s">
        <v>20</v>
      </c>
      <c r="C103">
        <v>8343.4500000000007</v>
      </c>
      <c r="D103">
        <v>23819.1</v>
      </c>
      <c r="G103">
        <v>0.12431499999999999</v>
      </c>
      <c r="H103">
        <v>0</v>
      </c>
      <c r="I103">
        <v>1097823.1200000001</v>
      </c>
      <c r="J103">
        <v>239542.44</v>
      </c>
      <c r="K103">
        <v>0</v>
      </c>
      <c r="L103">
        <v>831153.37</v>
      </c>
      <c r="M103">
        <v>0</v>
      </c>
      <c r="N103">
        <v>252230.25</v>
      </c>
      <c r="O103">
        <v>222508.03</v>
      </c>
      <c r="P103">
        <v>203173.6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421774.09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102504.31</v>
      </c>
      <c r="AH103">
        <v>0</v>
      </c>
      <c r="AI103">
        <v>0</v>
      </c>
      <c r="AJ103">
        <v>1982707080.3147299</v>
      </c>
    </row>
    <row r="104" spans="1:36" x14ac:dyDescent="0.25">
      <c r="A104" t="s">
        <v>421</v>
      </c>
      <c r="B104" t="s">
        <v>20</v>
      </c>
      <c r="D104">
        <v>4316.04</v>
      </c>
      <c r="E104">
        <v>1511.84</v>
      </c>
      <c r="G104">
        <v>2.2526000000000001E-2</v>
      </c>
      <c r="H104">
        <v>0</v>
      </c>
      <c r="I104">
        <v>207203.63</v>
      </c>
      <c r="J104">
        <v>103288.37</v>
      </c>
      <c r="K104">
        <v>0</v>
      </c>
      <c r="L104">
        <v>282049.05</v>
      </c>
      <c r="M104">
        <v>0</v>
      </c>
      <c r="N104">
        <v>102231.33</v>
      </c>
      <c r="O104">
        <v>21196.61</v>
      </c>
      <c r="P104">
        <v>22051.39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111572.96</v>
      </c>
      <c r="W104">
        <v>0</v>
      </c>
      <c r="X104">
        <v>0</v>
      </c>
      <c r="Y104">
        <v>0</v>
      </c>
      <c r="Z104">
        <v>65854.75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111781.73</v>
      </c>
      <c r="AH104">
        <v>0</v>
      </c>
      <c r="AI104">
        <v>0</v>
      </c>
      <c r="AJ104">
        <v>469948883.46108502</v>
      </c>
    </row>
    <row r="105" spans="1:36" x14ac:dyDescent="0.25">
      <c r="A105" t="s">
        <v>422</v>
      </c>
      <c r="B105" t="s">
        <v>20</v>
      </c>
      <c r="C105">
        <v>1511.84</v>
      </c>
      <c r="D105">
        <v>4316.04</v>
      </c>
      <c r="G105">
        <v>2.2526000000000001E-2</v>
      </c>
      <c r="H105">
        <v>0</v>
      </c>
      <c r="I105">
        <v>247977.31</v>
      </c>
      <c r="J105">
        <v>103288.37</v>
      </c>
      <c r="K105">
        <v>0</v>
      </c>
      <c r="L105">
        <v>282049.05</v>
      </c>
      <c r="M105">
        <v>0</v>
      </c>
      <c r="N105">
        <v>102238.1</v>
      </c>
      <c r="O105">
        <v>23870.65</v>
      </c>
      <c r="P105">
        <v>22092.57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111491.4</v>
      </c>
      <c r="W105">
        <v>0</v>
      </c>
      <c r="X105">
        <v>0</v>
      </c>
      <c r="Y105">
        <v>0</v>
      </c>
      <c r="Z105">
        <v>65854.75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111777.7</v>
      </c>
      <c r="AH105">
        <v>0</v>
      </c>
      <c r="AI105">
        <v>0</v>
      </c>
      <c r="AJ105">
        <v>499867423.08571202</v>
      </c>
    </row>
    <row r="106" spans="1:36" x14ac:dyDescent="0.25">
      <c r="A106" t="s">
        <v>423</v>
      </c>
      <c r="B106" t="s">
        <v>20</v>
      </c>
      <c r="D106">
        <v>41023.43</v>
      </c>
      <c r="E106">
        <v>14369.85</v>
      </c>
      <c r="G106">
        <v>0.21410699999999999</v>
      </c>
      <c r="H106">
        <v>0</v>
      </c>
      <c r="I106">
        <v>1609477.57</v>
      </c>
      <c r="J106">
        <v>626942.71</v>
      </c>
      <c r="K106">
        <v>0</v>
      </c>
      <c r="L106">
        <v>1141299.43</v>
      </c>
      <c r="M106">
        <v>0</v>
      </c>
      <c r="N106">
        <v>520747.42</v>
      </c>
      <c r="O106">
        <v>375416.78</v>
      </c>
      <c r="P106">
        <v>379587.47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1290210.83</v>
      </c>
      <c r="W106">
        <v>0</v>
      </c>
      <c r="X106">
        <v>0</v>
      </c>
      <c r="Y106">
        <v>0</v>
      </c>
      <c r="Z106">
        <v>43737.51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243569.08</v>
      </c>
      <c r="AH106">
        <v>0</v>
      </c>
      <c r="AI106">
        <v>0</v>
      </c>
      <c r="AJ106">
        <v>3104764587.19484</v>
      </c>
    </row>
    <row r="107" spans="1:36" x14ac:dyDescent="0.25">
      <c r="A107" t="s">
        <v>424</v>
      </c>
      <c r="B107" t="s">
        <v>20</v>
      </c>
      <c r="C107">
        <v>14369.85</v>
      </c>
      <c r="D107">
        <v>41023.43</v>
      </c>
      <c r="G107">
        <v>0.21410699999999999</v>
      </c>
      <c r="H107">
        <v>0</v>
      </c>
      <c r="I107">
        <v>1971755.74</v>
      </c>
      <c r="J107">
        <v>626942.71</v>
      </c>
      <c r="K107">
        <v>0</v>
      </c>
      <c r="L107">
        <v>1141299.43</v>
      </c>
      <c r="M107">
        <v>0</v>
      </c>
      <c r="N107">
        <v>521510.87</v>
      </c>
      <c r="O107">
        <v>436433.21</v>
      </c>
      <c r="P107">
        <v>391617.49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1286353.17</v>
      </c>
      <c r="W107">
        <v>0</v>
      </c>
      <c r="X107">
        <v>0</v>
      </c>
      <c r="Y107">
        <v>0</v>
      </c>
      <c r="Z107">
        <v>43737.51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243572.76</v>
      </c>
      <c r="AH107">
        <v>0</v>
      </c>
      <c r="AI107">
        <v>0</v>
      </c>
      <c r="AJ107">
        <v>3301088319.0358801</v>
      </c>
    </row>
    <row r="108" spans="1:36" x14ac:dyDescent="0.25">
      <c r="A108" t="s">
        <v>425</v>
      </c>
      <c r="B108" t="s">
        <v>20</v>
      </c>
      <c r="C108">
        <v>1810.74</v>
      </c>
      <c r="D108">
        <v>5169.3500000000004</v>
      </c>
      <c r="G108">
        <v>2.6980000000000001E-2</v>
      </c>
      <c r="H108">
        <v>0</v>
      </c>
      <c r="I108">
        <v>330729.69</v>
      </c>
      <c r="J108">
        <v>94437.9</v>
      </c>
      <c r="K108">
        <v>0</v>
      </c>
      <c r="L108">
        <v>258328.15</v>
      </c>
      <c r="M108">
        <v>0</v>
      </c>
      <c r="N108">
        <v>329151.2</v>
      </c>
      <c r="O108">
        <v>29902.36</v>
      </c>
      <c r="P108">
        <v>27899.26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104448.53</v>
      </c>
      <c r="W108">
        <v>0</v>
      </c>
      <c r="X108">
        <v>0</v>
      </c>
      <c r="Y108">
        <v>0</v>
      </c>
      <c r="Z108">
        <v>64094.3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205698.57</v>
      </c>
      <c r="AH108">
        <v>0</v>
      </c>
      <c r="AI108">
        <v>0</v>
      </c>
      <c r="AJ108">
        <v>933477803.14044905</v>
      </c>
    </row>
    <row r="109" spans="1:36" x14ac:dyDescent="0.25">
      <c r="A109" t="s">
        <v>426</v>
      </c>
      <c r="B109" t="s">
        <v>20</v>
      </c>
      <c r="D109">
        <v>64710.34</v>
      </c>
      <c r="E109">
        <v>22667</v>
      </c>
      <c r="G109">
        <v>0.33773199999999998</v>
      </c>
      <c r="H109">
        <v>0</v>
      </c>
      <c r="I109">
        <v>2251070.14</v>
      </c>
      <c r="J109">
        <v>643032.05000000005</v>
      </c>
      <c r="K109">
        <v>0</v>
      </c>
      <c r="L109">
        <v>3553012.2</v>
      </c>
      <c r="M109">
        <v>0</v>
      </c>
      <c r="N109">
        <v>1173847.3</v>
      </c>
      <c r="O109">
        <v>336925.93</v>
      </c>
      <c r="P109">
        <v>354126.86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1038924.31</v>
      </c>
      <c r="W109">
        <v>0</v>
      </c>
      <c r="X109">
        <v>0</v>
      </c>
      <c r="Y109">
        <v>0</v>
      </c>
      <c r="Z109">
        <v>127428.8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652793.87</v>
      </c>
      <c r="AH109">
        <v>0</v>
      </c>
      <c r="AI109">
        <v>0</v>
      </c>
      <c r="AJ109">
        <v>5706486164.3740396</v>
      </c>
    </row>
    <row r="110" spans="1:36" x14ac:dyDescent="0.25">
      <c r="A110" t="s">
        <v>427</v>
      </c>
      <c r="B110" t="s">
        <v>20</v>
      </c>
      <c r="C110">
        <v>22667</v>
      </c>
      <c r="D110">
        <v>64710.34</v>
      </c>
      <c r="G110">
        <v>0.33773199999999998</v>
      </c>
      <c r="H110">
        <v>0</v>
      </c>
      <c r="I110">
        <v>2799205.11</v>
      </c>
      <c r="J110">
        <v>643032.05000000005</v>
      </c>
      <c r="K110">
        <v>0</v>
      </c>
      <c r="L110">
        <v>3553012.2</v>
      </c>
      <c r="M110">
        <v>0</v>
      </c>
      <c r="N110">
        <v>1173970.83</v>
      </c>
      <c r="O110">
        <v>386166.52</v>
      </c>
      <c r="P110">
        <v>356369.11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1038148.45</v>
      </c>
      <c r="W110">
        <v>0</v>
      </c>
      <c r="X110">
        <v>0</v>
      </c>
      <c r="Y110">
        <v>0</v>
      </c>
      <c r="Z110">
        <v>127428.8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652983.9</v>
      </c>
      <c r="AH110">
        <v>0</v>
      </c>
      <c r="AI110">
        <v>0</v>
      </c>
      <c r="AJ110">
        <v>6135672770.7493</v>
      </c>
    </row>
    <row r="111" spans="1:36" x14ac:dyDescent="0.25">
      <c r="A111" t="s">
        <v>428</v>
      </c>
      <c r="B111" t="s">
        <v>20</v>
      </c>
      <c r="D111">
        <v>32973.47</v>
      </c>
      <c r="E111">
        <v>11550.08</v>
      </c>
      <c r="G111">
        <v>0.172093</v>
      </c>
      <c r="H111">
        <v>0</v>
      </c>
      <c r="I111">
        <v>825249.46</v>
      </c>
      <c r="J111">
        <v>163686.57</v>
      </c>
      <c r="K111">
        <v>0</v>
      </c>
      <c r="L111">
        <v>936314.72</v>
      </c>
      <c r="M111">
        <v>0</v>
      </c>
      <c r="N111">
        <v>332393.14</v>
      </c>
      <c r="O111">
        <v>247057.39</v>
      </c>
      <c r="P111">
        <v>265155.62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317324.84999999998</v>
      </c>
      <c r="W111">
        <v>0</v>
      </c>
      <c r="X111">
        <v>0</v>
      </c>
      <c r="Y111">
        <v>0</v>
      </c>
      <c r="Z111">
        <v>68627.600000000006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428562.16</v>
      </c>
      <c r="AH111">
        <v>0</v>
      </c>
      <c r="AI111">
        <v>0</v>
      </c>
      <c r="AJ111">
        <v>1974470464.4205401</v>
      </c>
    </row>
    <row r="112" spans="1:36" x14ac:dyDescent="0.25">
      <c r="A112" t="s">
        <v>429</v>
      </c>
      <c r="B112" t="s">
        <v>20</v>
      </c>
      <c r="D112">
        <v>5169.3500000000004</v>
      </c>
      <c r="E112">
        <v>1810.74</v>
      </c>
      <c r="G112">
        <v>2.6980000000000001E-2</v>
      </c>
      <c r="H112">
        <v>0</v>
      </c>
      <c r="I112">
        <v>279803.74</v>
      </c>
      <c r="J112">
        <v>94437.9</v>
      </c>
      <c r="K112">
        <v>0</v>
      </c>
      <c r="L112">
        <v>258328.15</v>
      </c>
      <c r="M112">
        <v>0</v>
      </c>
      <c r="N112">
        <v>329054.05</v>
      </c>
      <c r="O112">
        <v>25881.98</v>
      </c>
      <c r="P112">
        <v>27704.31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104499.78</v>
      </c>
      <c r="W112">
        <v>0</v>
      </c>
      <c r="X112">
        <v>0</v>
      </c>
      <c r="Y112">
        <v>0</v>
      </c>
      <c r="Z112">
        <v>64094.3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205703.28</v>
      </c>
      <c r="AH112">
        <v>0</v>
      </c>
      <c r="AI112">
        <v>0</v>
      </c>
      <c r="AJ112">
        <v>845361374.45163</v>
      </c>
    </row>
    <row r="113" spans="1:36" x14ac:dyDescent="0.25">
      <c r="A113" t="s">
        <v>430</v>
      </c>
      <c r="B113" t="s">
        <v>20</v>
      </c>
      <c r="C113">
        <v>11550.08</v>
      </c>
      <c r="D113">
        <v>32973.47</v>
      </c>
      <c r="G113">
        <v>0.172093</v>
      </c>
      <c r="H113">
        <v>0</v>
      </c>
      <c r="I113">
        <v>1308131.8700000001</v>
      </c>
      <c r="J113">
        <v>163686.57</v>
      </c>
      <c r="K113">
        <v>0</v>
      </c>
      <c r="L113">
        <v>936314.72</v>
      </c>
      <c r="M113">
        <v>0</v>
      </c>
      <c r="N113">
        <v>332607.31</v>
      </c>
      <c r="O113">
        <v>291386.21999999997</v>
      </c>
      <c r="P113">
        <v>270787.08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318255.62</v>
      </c>
      <c r="W113">
        <v>0</v>
      </c>
      <c r="X113">
        <v>0</v>
      </c>
      <c r="Y113">
        <v>0</v>
      </c>
      <c r="Z113">
        <v>68627.600000000006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428588.19</v>
      </c>
      <c r="AH113">
        <v>0</v>
      </c>
      <c r="AI113">
        <v>0</v>
      </c>
      <c r="AJ113">
        <v>2448533385.6642299</v>
      </c>
    </row>
    <row r="114" spans="1:36" x14ac:dyDescent="0.25">
      <c r="A114" t="s">
        <v>431</v>
      </c>
      <c r="B114" t="s">
        <v>19</v>
      </c>
      <c r="D114">
        <v>24939.87</v>
      </c>
      <c r="E114">
        <v>8736.0400000000009</v>
      </c>
      <c r="G114">
        <v>0.130165</v>
      </c>
      <c r="H114">
        <v>0</v>
      </c>
      <c r="I114">
        <v>837291.43</v>
      </c>
      <c r="J114">
        <v>394508.4</v>
      </c>
      <c r="K114">
        <v>0</v>
      </c>
      <c r="L114">
        <v>436518</v>
      </c>
      <c r="M114">
        <v>0</v>
      </c>
      <c r="N114">
        <v>239220.68</v>
      </c>
      <c r="O114">
        <v>140574.34</v>
      </c>
      <c r="P114">
        <v>146933.65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554575.30000000005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157900.81</v>
      </c>
      <c r="AH114">
        <v>0</v>
      </c>
      <c r="AI114">
        <v>0</v>
      </c>
      <c r="AJ114">
        <v>1659604541.8837099</v>
      </c>
    </row>
    <row r="115" spans="1:36" x14ac:dyDescent="0.25">
      <c r="A115" t="s">
        <v>432</v>
      </c>
      <c r="B115" t="s">
        <v>19</v>
      </c>
      <c r="C115">
        <v>8736.0400000000009</v>
      </c>
      <c r="D115">
        <v>24939.87</v>
      </c>
      <c r="G115">
        <v>0.130165</v>
      </c>
      <c r="H115">
        <v>0</v>
      </c>
      <c r="I115">
        <v>988549.22</v>
      </c>
      <c r="J115">
        <v>394508.4</v>
      </c>
      <c r="K115">
        <v>0</v>
      </c>
      <c r="L115">
        <v>436518</v>
      </c>
      <c r="M115">
        <v>0</v>
      </c>
      <c r="N115">
        <v>239095.53</v>
      </c>
      <c r="O115">
        <v>161425.47</v>
      </c>
      <c r="P115">
        <v>149575.43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556021.02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157894.62</v>
      </c>
      <c r="AH115">
        <v>0</v>
      </c>
      <c r="AI115">
        <v>0</v>
      </c>
      <c r="AJ115">
        <v>1897744963.52616</v>
      </c>
    </row>
    <row r="116" spans="1:36" x14ac:dyDescent="0.25">
      <c r="A116" t="s">
        <v>433</v>
      </c>
      <c r="B116" t="s">
        <v>19</v>
      </c>
      <c r="D116">
        <v>1340.64</v>
      </c>
      <c r="E116">
        <v>469.61</v>
      </c>
      <c r="G116">
        <v>6.9969999999999997E-3</v>
      </c>
      <c r="H116">
        <v>0</v>
      </c>
      <c r="I116">
        <v>20773.27</v>
      </c>
      <c r="J116">
        <v>12134.67</v>
      </c>
      <c r="K116">
        <v>0</v>
      </c>
      <c r="L116">
        <v>29466.65</v>
      </c>
      <c r="M116">
        <v>0</v>
      </c>
      <c r="N116">
        <v>56591.06</v>
      </c>
      <c r="O116">
        <v>4557.96</v>
      </c>
      <c r="P116">
        <v>5007.28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293.44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4247.3</v>
      </c>
      <c r="AH116">
        <v>0</v>
      </c>
      <c r="AI116">
        <v>0</v>
      </c>
      <c r="AJ116">
        <v>57037013.939207397</v>
      </c>
    </row>
    <row r="117" spans="1:36" x14ac:dyDescent="0.25">
      <c r="A117" t="s">
        <v>434</v>
      </c>
      <c r="B117" t="s">
        <v>19</v>
      </c>
      <c r="C117">
        <v>469.61</v>
      </c>
      <c r="D117">
        <v>1340.64</v>
      </c>
      <c r="G117">
        <v>6.9969999999999997E-3</v>
      </c>
      <c r="H117">
        <v>0</v>
      </c>
      <c r="I117">
        <v>33893.39</v>
      </c>
      <c r="J117">
        <v>12134.67</v>
      </c>
      <c r="K117">
        <v>0</v>
      </c>
      <c r="L117">
        <v>29466.65</v>
      </c>
      <c r="M117">
        <v>0</v>
      </c>
      <c r="N117">
        <v>56591.06</v>
      </c>
      <c r="O117">
        <v>7002.89</v>
      </c>
      <c r="P117">
        <v>6047.53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293.43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4247.3</v>
      </c>
      <c r="AH117">
        <v>0</v>
      </c>
      <c r="AI117">
        <v>0</v>
      </c>
      <c r="AJ117">
        <v>72374617.1878874</v>
      </c>
    </row>
    <row r="118" spans="1:36" x14ac:dyDescent="0.25">
      <c r="A118" t="s">
        <v>435</v>
      </c>
      <c r="B118" t="s">
        <v>19</v>
      </c>
      <c r="D118">
        <v>21424.240000000002</v>
      </c>
      <c r="E118">
        <v>7504.57</v>
      </c>
      <c r="G118">
        <v>0.111816</v>
      </c>
      <c r="H118">
        <v>0</v>
      </c>
      <c r="I118">
        <v>847459.92</v>
      </c>
      <c r="J118">
        <v>239542.44</v>
      </c>
      <c r="K118">
        <v>0</v>
      </c>
      <c r="L118">
        <v>831153.37</v>
      </c>
      <c r="M118">
        <v>0</v>
      </c>
      <c r="N118">
        <v>243436.27</v>
      </c>
      <c r="O118">
        <v>186951.83</v>
      </c>
      <c r="P118">
        <v>199239.33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298745.69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103343.44</v>
      </c>
      <c r="AH118">
        <v>0</v>
      </c>
      <c r="AI118">
        <v>0</v>
      </c>
      <c r="AJ118">
        <v>1064059650.60614</v>
      </c>
    </row>
    <row r="119" spans="1:36" x14ac:dyDescent="0.25">
      <c r="A119" t="s">
        <v>436</v>
      </c>
      <c r="B119" t="s">
        <v>19</v>
      </c>
      <c r="C119">
        <v>7504.57</v>
      </c>
      <c r="D119">
        <v>21424.240000000002</v>
      </c>
      <c r="G119">
        <v>0.111816</v>
      </c>
      <c r="H119">
        <v>0</v>
      </c>
      <c r="I119">
        <v>1023789.26</v>
      </c>
      <c r="J119">
        <v>239542.44</v>
      </c>
      <c r="K119">
        <v>0</v>
      </c>
      <c r="L119">
        <v>831153.37</v>
      </c>
      <c r="M119">
        <v>0</v>
      </c>
      <c r="N119">
        <v>243508.33</v>
      </c>
      <c r="O119">
        <v>217026.52</v>
      </c>
      <c r="P119">
        <v>203602.75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295427.44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103344.63</v>
      </c>
      <c r="AH119">
        <v>0</v>
      </c>
      <c r="AI119">
        <v>0</v>
      </c>
      <c r="AJ119">
        <v>1334160494.39009</v>
      </c>
    </row>
    <row r="120" spans="1:36" x14ac:dyDescent="0.25">
      <c r="A120" t="s">
        <v>437</v>
      </c>
      <c r="B120" t="s">
        <v>19</v>
      </c>
      <c r="D120">
        <v>3836.13</v>
      </c>
      <c r="E120">
        <v>1343.73</v>
      </c>
      <c r="G120">
        <v>2.0021000000000001E-2</v>
      </c>
      <c r="H120">
        <v>0</v>
      </c>
      <c r="I120">
        <v>199048.33</v>
      </c>
      <c r="J120">
        <v>103288.37</v>
      </c>
      <c r="K120">
        <v>0</v>
      </c>
      <c r="L120">
        <v>282049.05</v>
      </c>
      <c r="M120">
        <v>0</v>
      </c>
      <c r="N120">
        <v>89626.26</v>
      </c>
      <c r="O120">
        <v>20899.73</v>
      </c>
      <c r="P120">
        <v>21573.5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68976.800000000003</v>
      </c>
      <c r="W120">
        <v>0</v>
      </c>
      <c r="X120">
        <v>0</v>
      </c>
      <c r="Y120">
        <v>0</v>
      </c>
      <c r="Z120">
        <v>65854.75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112700.01</v>
      </c>
      <c r="AH120">
        <v>0</v>
      </c>
      <c r="AI120">
        <v>0</v>
      </c>
      <c r="AJ120">
        <v>260692793.84207901</v>
      </c>
    </row>
    <row r="121" spans="1:36" x14ac:dyDescent="0.25">
      <c r="A121" t="s">
        <v>438</v>
      </c>
      <c r="B121" t="s">
        <v>19</v>
      </c>
      <c r="C121">
        <v>1343.73</v>
      </c>
      <c r="D121">
        <v>3836.13</v>
      </c>
      <c r="G121">
        <v>2.0021000000000001E-2</v>
      </c>
      <c r="H121">
        <v>0</v>
      </c>
      <c r="I121">
        <v>216247.25</v>
      </c>
      <c r="J121">
        <v>103288.37</v>
      </c>
      <c r="K121">
        <v>0</v>
      </c>
      <c r="L121">
        <v>282049.05</v>
      </c>
      <c r="M121">
        <v>0</v>
      </c>
      <c r="N121">
        <v>89624.97</v>
      </c>
      <c r="O121">
        <v>23061.07</v>
      </c>
      <c r="P121">
        <v>21587.759999999998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68959.289999999994</v>
      </c>
      <c r="W121">
        <v>0</v>
      </c>
      <c r="X121">
        <v>0</v>
      </c>
      <c r="Y121">
        <v>0</v>
      </c>
      <c r="Z121">
        <v>65854.75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112702.09</v>
      </c>
      <c r="AH121">
        <v>0</v>
      </c>
      <c r="AI121">
        <v>0</v>
      </c>
      <c r="AJ121">
        <v>295971892.69981599</v>
      </c>
    </row>
    <row r="122" spans="1:36" x14ac:dyDescent="0.25">
      <c r="A122" t="s">
        <v>439</v>
      </c>
      <c r="B122" t="s">
        <v>19</v>
      </c>
      <c r="C122">
        <v>13604.45</v>
      </c>
      <c r="D122">
        <v>38838.339999999997</v>
      </c>
      <c r="G122">
        <v>0.20270299999999999</v>
      </c>
      <c r="H122">
        <v>0</v>
      </c>
      <c r="I122">
        <v>1852783.05</v>
      </c>
      <c r="J122">
        <v>626942.71</v>
      </c>
      <c r="K122">
        <v>0</v>
      </c>
      <c r="L122">
        <v>1141299.43</v>
      </c>
      <c r="M122">
        <v>0</v>
      </c>
      <c r="N122">
        <v>458076.56</v>
      </c>
      <c r="O122">
        <v>416361.27</v>
      </c>
      <c r="P122">
        <v>388109.13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936450.21</v>
      </c>
      <c r="W122">
        <v>0</v>
      </c>
      <c r="X122">
        <v>0</v>
      </c>
      <c r="Y122">
        <v>0</v>
      </c>
      <c r="Z122">
        <v>43737.51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245610.2</v>
      </c>
      <c r="AH122">
        <v>0</v>
      </c>
      <c r="AI122">
        <v>0</v>
      </c>
      <c r="AJ122">
        <v>2420741575.40452</v>
      </c>
    </row>
    <row r="123" spans="1:36" x14ac:dyDescent="0.25">
      <c r="A123" t="s">
        <v>440</v>
      </c>
      <c r="B123" t="s">
        <v>19</v>
      </c>
      <c r="D123">
        <v>38838.339999999997</v>
      </c>
      <c r="E123">
        <v>13604.45</v>
      </c>
      <c r="G123">
        <v>0.20270299999999999</v>
      </c>
      <c r="H123">
        <v>0</v>
      </c>
      <c r="I123">
        <v>1599119.21</v>
      </c>
      <c r="J123">
        <v>626942.71</v>
      </c>
      <c r="K123">
        <v>0</v>
      </c>
      <c r="L123">
        <v>1141299.43</v>
      </c>
      <c r="M123">
        <v>0</v>
      </c>
      <c r="N123">
        <v>457907.92</v>
      </c>
      <c r="O123">
        <v>360838.13</v>
      </c>
      <c r="P123">
        <v>381872.77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945496.96</v>
      </c>
      <c r="W123">
        <v>0</v>
      </c>
      <c r="X123">
        <v>0</v>
      </c>
      <c r="Y123">
        <v>0</v>
      </c>
      <c r="Z123">
        <v>43737.51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245612.32</v>
      </c>
      <c r="AH123">
        <v>0</v>
      </c>
      <c r="AI123">
        <v>0</v>
      </c>
      <c r="AJ123">
        <v>2130779752.15271</v>
      </c>
    </row>
    <row r="124" spans="1:36" x14ac:dyDescent="0.25">
      <c r="A124" t="s">
        <v>441</v>
      </c>
      <c r="B124" t="s">
        <v>19</v>
      </c>
      <c r="C124">
        <v>1675.01</v>
      </c>
      <c r="D124">
        <v>4781.87</v>
      </c>
      <c r="G124">
        <v>2.4957E-2</v>
      </c>
      <c r="H124">
        <v>0</v>
      </c>
      <c r="I124">
        <v>278084.81</v>
      </c>
      <c r="J124">
        <v>94437.9</v>
      </c>
      <c r="K124">
        <v>0</v>
      </c>
      <c r="L124">
        <v>258328.15</v>
      </c>
      <c r="M124">
        <v>0</v>
      </c>
      <c r="N124">
        <v>327340.58</v>
      </c>
      <c r="O124">
        <v>29614.63</v>
      </c>
      <c r="P124">
        <v>27824.080000000002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86372.27</v>
      </c>
      <c r="W124">
        <v>0</v>
      </c>
      <c r="X124">
        <v>0</v>
      </c>
      <c r="Y124">
        <v>0</v>
      </c>
      <c r="Z124">
        <v>64094.3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207506.52</v>
      </c>
      <c r="AH124">
        <v>0</v>
      </c>
      <c r="AI124">
        <v>0</v>
      </c>
      <c r="AJ124">
        <v>626843089.78300595</v>
      </c>
    </row>
    <row r="125" spans="1:36" x14ac:dyDescent="0.25">
      <c r="A125" t="s">
        <v>442</v>
      </c>
      <c r="B125" t="s">
        <v>19</v>
      </c>
      <c r="D125">
        <v>4781.87</v>
      </c>
      <c r="E125">
        <v>1675.01</v>
      </c>
      <c r="G125">
        <v>2.4957E-2</v>
      </c>
      <c r="H125">
        <v>0</v>
      </c>
      <c r="I125">
        <v>254791.2</v>
      </c>
      <c r="J125">
        <v>94437.9</v>
      </c>
      <c r="K125">
        <v>0</v>
      </c>
      <c r="L125">
        <v>258328.15</v>
      </c>
      <c r="M125">
        <v>0</v>
      </c>
      <c r="N125">
        <v>327332.34000000003</v>
      </c>
      <c r="O125">
        <v>26214.65</v>
      </c>
      <c r="P125">
        <v>27776.49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86099.67</v>
      </c>
      <c r="W125">
        <v>0</v>
      </c>
      <c r="X125">
        <v>0</v>
      </c>
      <c r="Y125">
        <v>0</v>
      </c>
      <c r="Z125">
        <v>64094.3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207496.43</v>
      </c>
      <c r="AH125">
        <v>0</v>
      </c>
      <c r="AI125">
        <v>0</v>
      </c>
      <c r="AJ125">
        <v>569049862.00498295</v>
      </c>
    </row>
    <row r="126" spans="1:36" x14ac:dyDescent="0.25">
      <c r="A126" t="s">
        <v>443</v>
      </c>
      <c r="B126" t="s">
        <v>19</v>
      </c>
      <c r="D126">
        <v>58969.81</v>
      </c>
      <c r="E126">
        <v>20656.189999999999</v>
      </c>
      <c r="G126">
        <v>0.30777100000000002</v>
      </c>
      <c r="H126">
        <v>0</v>
      </c>
      <c r="I126">
        <v>2255503.31</v>
      </c>
      <c r="J126">
        <v>643032.05000000005</v>
      </c>
      <c r="K126">
        <v>0</v>
      </c>
      <c r="L126">
        <v>3553012.2</v>
      </c>
      <c r="M126">
        <v>0</v>
      </c>
      <c r="N126">
        <v>1074345.07</v>
      </c>
      <c r="O126">
        <v>330742.15000000002</v>
      </c>
      <c r="P126">
        <v>347647.4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671628.29</v>
      </c>
      <c r="W126">
        <v>0</v>
      </c>
      <c r="X126">
        <v>0</v>
      </c>
      <c r="Y126">
        <v>0</v>
      </c>
      <c r="Z126">
        <v>127428.8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659138.44999999995</v>
      </c>
      <c r="AH126">
        <v>0</v>
      </c>
      <c r="AI126">
        <v>0</v>
      </c>
      <c r="AJ126">
        <v>3309070789.5602498</v>
      </c>
    </row>
    <row r="127" spans="1:36" x14ac:dyDescent="0.25">
      <c r="A127" t="s">
        <v>444</v>
      </c>
      <c r="B127" t="s">
        <v>19</v>
      </c>
      <c r="C127">
        <v>20656.189999999999</v>
      </c>
      <c r="D127">
        <v>58969.81</v>
      </c>
      <c r="G127">
        <v>0.30777100000000002</v>
      </c>
      <c r="H127">
        <v>0</v>
      </c>
      <c r="I127">
        <v>2496166.7200000002</v>
      </c>
      <c r="J127">
        <v>643032.05000000005</v>
      </c>
      <c r="K127">
        <v>0</v>
      </c>
      <c r="L127">
        <v>3553012.2</v>
      </c>
      <c r="M127">
        <v>0</v>
      </c>
      <c r="N127">
        <v>1074202.1599999999</v>
      </c>
      <c r="O127">
        <v>370950.87</v>
      </c>
      <c r="P127">
        <v>348336.3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676142.77</v>
      </c>
      <c r="W127">
        <v>0</v>
      </c>
      <c r="X127">
        <v>0</v>
      </c>
      <c r="Y127">
        <v>0</v>
      </c>
      <c r="Z127">
        <v>127428.8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659241.31000000006</v>
      </c>
      <c r="AH127">
        <v>0</v>
      </c>
      <c r="AI127">
        <v>0</v>
      </c>
      <c r="AJ127">
        <v>3657400929.2098899</v>
      </c>
    </row>
    <row r="128" spans="1:36" x14ac:dyDescent="0.25">
      <c r="A128" t="s">
        <v>445</v>
      </c>
      <c r="B128" t="s">
        <v>19</v>
      </c>
      <c r="D128">
        <v>30067.9</v>
      </c>
      <c r="E128">
        <v>10532.31</v>
      </c>
      <c r="G128">
        <v>0.15692800000000001</v>
      </c>
      <c r="H128">
        <v>0</v>
      </c>
      <c r="I128">
        <v>926000.09</v>
      </c>
      <c r="J128">
        <v>163686.57</v>
      </c>
      <c r="K128">
        <v>0</v>
      </c>
      <c r="L128">
        <v>936314.72</v>
      </c>
      <c r="M128">
        <v>0</v>
      </c>
      <c r="N128">
        <v>351789.81</v>
      </c>
      <c r="O128">
        <v>242721.21</v>
      </c>
      <c r="P128">
        <v>260181.22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349075.05</v>
      </c>
      <c r="W128">
        <v>0</v>
      </c>
      <c r="X128">
        <v>0</v>
      </c>
      <c r="Y128">
        <v>0</v>
      </c>
      <c r="Z128">
        <v>68627.600000000006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433610.18</v>
      </c>
      <c r="AH128">
        <v>0</v>
      </c>
      <c r="AI128">
        <v>0</v>
      </c>
      <c r="AJ128">
        <v>1356697949.3385999</v>
      </c>
    </row>
    <row r="129" spans="1:36" x14ac:dyDescent="0.25">
      <c r="A129" t="s">
        <v>446</v>
      </c>
      <c r="B129" t="s">
        <v>19</v>
      </c>
      <c r="C129">
        <v>10532.31</v>
      </c>
      <c r="D129">
        <v>30067.9</v>
      </c>
      <c r="G129">
        <v>0.15692800000000001</v>
      </c>
      <c r="H129">
        <v>0</v>
      </c>
      <c r="I129">
        <v>1282412.97</v>
      </c>
      <c r="J129">
        <v>163686.57</v>
      </c>
      <c r="K129">
        <v>0</v>
      </c>
      <c r="L129">
        <v>936314.72</v>
      </c>
      <c r="M129">
        <v>0</v>
      </c>
      <c r="N129">
        <v>351639.06</v>
      </c>
      <c r="O129">
        <v>280190.89</v>
      </c>
      <c r="P129">
        <v>263197.93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356997.43</v>
      </c>
      <c r="W129">
        <v>0</v>
      </c>
      <c r="X129">
        <v>0</v>
      </c>
      <c r="Y129">
        <v>0</v>
      </c>
      <c r="Z129">
        <v>68627.600000000006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433592.58</v>
      </c>
      <c r="AH129">
        <v>0</v>
      </c>
      <c r="AI129">
        <v>0</v>
      </c>
      <c r="AJ129">
        <v>1545162103.65798</v>
      </c>
    </row>
    <row r="130" spans="1:36" x14ac:dyDescent="0.25">
      <c r="A130" t="s">
        <v>447</v>
      </c>
      <c r="B130" t="s">
        <v>18</v>
      </c>
      <c r="C130">
        <v>8200.5</v>
      </c>
      <c r="D130">
        <v>23411.01</v>
      </c>
      <c r="G130">
        <v>0.122185</v>
      </c>
      <c r="H130">
        <v>0</v>
      </c>
      <c r="I130">
        <v>870223.53</v>
      </c>
      <c r="J130">
        <v>394508.4</v>
      </c>
      <c r="K130">
        <v>0</v>
      </c>
      <c r="L130">
        <v>436518</v>
      </c>
      <c r="M130">
        <v>0</v>
      </c>
      <c r="N130">
        <v>220785.68</v>
      </c>
      <c r="O130">
        <v>147339.23000000001</v>
      </c>
      <c r="P130">
        <v>135893.29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502454.6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160090.39000000001</v>
      </c>
      <c r="AH130">
        <v>0</v>
      </c>
      <c r="AI130">
        <v>0</v>
      </c>
      <c r="AJ130">
        <v>1717590854.0967801</v>
      </c>
    </row>
    <row r="131" spans="1:36" x14ac:dyDescent="0.25">
      <c r="A131" t="s">
        <v>448</v>
      </c>
      <c r="B131" t="s">
        <v>18</v>
      </c>
      <c r="D131">
        <v>23411.01</v>
      </c>
      <c r="E131">
        <v>8200.5</v>
      </c>
      <c r="G131">
        <v>0.122185</v>
      </c>
      <c r="H131">
        <v>0</v>
      </c>
      <c r="I131">
        <v>768121.66</v>
      </c>
      <c r="J131">
        <v>394508.4</v>
      </c>
      <c r="K131">
        <v>0</v>
      </c>
      <c r="L131">
        <v>436518</v>
      </c>
      <c r="M131">
        <v>0</v>
      </c>
      <c r="N131">
        <v>220727.13</v>
      </c>
      <c r="O131">
        <v>128431.73</v>
      </c>
      <c r="P131">
        <v>133281.60000000001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500333.23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160089.34</v>
      </c>
      <c r="AH131">
        <v>0</v>
      </c>
      <c r="AI131">
        <v>0</v>
      </c>
      <c r="AJ131">
        <v>1534556216.0129199</v>
      </c>
    </row>
    <row r="132" spans="1:36" x14ac:dyDescent="0.25">
      <c r="A132" t="s">
        <v>449</v>
      </c>
      <c r="B132" t="s">
        <v>18</v>
      </c>
      <c r="D132">
        <v>1425.57</v>
      </c>
      <c r="E132">
        <v>499.35</v>
      </c>
      <c r="G132">
        <v>7.4400000000000004E-3</v>
      </c>
      <c r="H132">
        <v>0</v>
      </c>
      <c r="I132">
        <v>19871.55</v>
      </c>
      <c r="J132">
        <v>12134.67</v>
      </c>
      <c r="K132">
        <v>0</v>
      </c>
      <c r="L132">
        <v>29466.65</v>
      </c>
      <c r="M132">
        <v>0</v>
      </c>
      <c r="N132">
        <v>59636.04</v>
      </c>
      <c r="O132">
        <v>4723.1400000000003</v>
      </c>
      <c r="P132">
        <v>5163.54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486.05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4298.1099999999997</v>
      </c>
      <c r="AH132">
        <v>0</v>
      </c>
      <c r="AI132">
        <v>0</v>
      </c>
      <c r="AJ132">
        <v>61563157.146646701</v>
      </c>
    </row>
    <row r="133" spans="1:36" x14ac:dyDescent="0.25">
      <c r="A133" t="s">
        <v>450</v>
      </c>
      <c r="B133" t="s">
        <v>18</v>
      </c>
      <c r="C133">
        <v>499.35</v>
      </c>
      <c r="D133">
        <v>1425.57</v>
      </c>
      <c r="G133">
        <v>7.4400000000000004E-3</v>
      </c>
      <c r="H133">
        <v>0</v>
      </c>
      <c r="I133">
        <v>32165</v>
      </c>
      <c r="J133">
        <v>12134.67</v>
      </c>
      <c r="K133">
        <v>0</v>
      </c>
      <c r="L133">
        <v>29466.65</v>
      </c>
      <c r="M133">
        <v>0</v>
      </c>
      <c r="N133">
        <v>59636.800000000003</v>
      </c>
      <c r="O133">
        <v>7226.56</v>
      </c>
      <c r="P133">
        <v>6227.71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486.04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4298.1099999999997</v>
      </c>
      <c r="AH133">
        <v>0</v>
      </c>
      <c r="AI133">
        <v>0</v>
      </c>
      <c r="AJ133">
        <v>76382130.120700195</v>
      </c>
    </row>
    <row r="134" spans="1:36" x14ac:dyDescent="0.25">
      <c r="A134" t="s">
        <v>451</v>
      </c>
      <c r="B134" t="s">
        <v>18</v>
      </c>
      <c r="D134">
        <v>21813.13</v>
      </c>
      <c r="E134">
        <v>7640.79</v>
      </c>
      <c r="G134">
        <v>0.113846</v>
      </c>
      <c r="H134">
        <v>0</v>
      </c>
      <c r="I134">
        <v>803816.53</v>
      </c>
      <c r="J134">
        <v>239542.44</v>
      </c>
      <c r="K134">
        <v>0</v>
      </c>
      <c r="L134">
        <v>831153.37</v>
      </c>
      <c r="M134">
        <v>0</v>
      </c>
      <c r="N134">
        <v>227531.48</v>
      </c>
      <c r="O134">
        <v>187053</v>
      </c>
      <c r="P134">
        <v>199397.65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262995.18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104776.02</v>
      </c>
      <c r="AH134">
        <v>0</v>
      </c>
      <c r="AI134">
        <v>0</v>
      </c>
      <c r="AJ134">
        <v>1056772157.74359</v>
      </c>
    </row>
    <row r="135" spans="1:36" x14ac:dyDescent="0.25">
      <c r="A135" t="s">
        <v>452</v>
      </c>
      <c r="B135" t="s">
        <v>18</v>
      </c>
      <c r="C135">
        <v>7640.79</v>
      </c>
      <c r="D135">
        <v>21813.13</v>
      </c>
      <c r="G135">
        <v>0.113846</v>
      </c>
      <c r="H135">
        <v>0</v>
      </c>
      <c r="I135">
        <v>980906.43</v>
      </c>
      <c r="J135">
        <v>239542.44</v>
      </c>
      <c r="K135">
        <v>0</v>
      </c>
      <c r="L135">
        <v>831153.37</v>
      </c>
      <c r="M135">
        <v>0</v>
      </c>
      <c r="N135">
        <v>227793.4</v>
      </c>
      <c r="O135">
        <v>217872.89</v>
      </c>
      <c r="P135">
        <v>204035.51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260355.94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104777.96</v>
      </c>
      <c r="AH135">
        <v>0</v>
      </c>
      <c r="AI135">
        <v>0</v>
      </c>
      <c r="AJ135">
        <v>1301586438.2641599</v>
      </c>
    </row>
    <row r="136" spans="1:36" x14ac:dyDescent="0.25">
      <c r="A136" t="s">
        <v>453</v>
      </c>
      <c r="B136" t="s">
        <v>18</v>
      </c>
      <c r="D136">
        <v>3988.28</v>
      </c>
      <c r="E136">
        <v>1397.03</v>
      </c>
      <c r="G136">
        <v>2.0815E-2</v>
      </c>
      <c r="H136">
        <v>0</v>
      </c>
      <c r="I136">
        <v>188877.16</v>
      </c>
      <c r="J136">
        <v>103288.37</v>
      </c>
      <c r="K136">
        <v>0</v>
      </c>
      <c r="L136">
        <v>282049.05</v>
      </c>
      <c r="M136">
        <v>0</v>
      </c>
      <c r="N136">
        <v>86864.18</v>
      </c>
      <c r="O136">
        <v>21034.880000000001</v>
      </c>
      <c r="P136">
        <v>21720.05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72433.69</v>
      </c>
      <c r="W136">
        <v>0</v>
      </c>
      <c r="X136">
        <v>0</v>
      </c>
      <c r="Y136">
        <v>0</v>
      </c>
      <c r="Z136">
        <v>65854.75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114266.38</v>
      </c>
      <c r="AH136">
        <v>0</v>
      </c>
      <c r="AI136">
        <v>0</v>
      </c>
      <c r="AJ136">
        <v>267050282.956229</v>
      </c>
    </row>
    <row r="137" spans="1:36" x14ac:dyDescent="0.25">
      <c r="A137" t="s">
        <v>454</v>
      </c>
      <c r="B137" t="s">
        <v>18</v>
      </c>
      <c r="C137">
        <v>1397.03</v>
      </c>
      <c r="D137">
        <v>3988.28</v>
      </c>
      <c r="G137">
        <v>2.0815E-2</v>
      </c>
      <c r="H137">
        <v>0</v>
      </c>
      <c r="I137">
        <v>206841.31</v>
      </c>
      <c r="J137">
        <v>103288.37</v>
      </c>
      <c r="K137">
        <v>0</v>
      </c>
      <c r="L137">
        <v>282049.05</v>
      </c>
      <c r="M137">
        <v>0</v>
      </c>
      <c r="N137">
        <v>86864.4</v>
      </c>
      <c r="O137">
        <v>23255.49</v>
      </c>
      <c r="P137">
        <v>21736.94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72415.62</v>
      </c>
      <c r="W137">
        <v>0</v>
      </c>
      <c r="X137">
        <v>0</v>
      </c>
      <c r="Y137">
        <v>0</v>
      </c>
      <c r="Z137">
        <v>65854.75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114272.45</v>
      </c>
      <c r="AH137">
        <v>0</v>
      </c>
      <c r="AI137">
        <v>0</v>
      </c>
      <c r="AJ137">
        <v>303037177.17788798</v>
      </c>
    </row>
    <row r="138" spans="1:36" x14ac:dyDescent="0.25">
      <c r="A138" t="s">
        <v>455</v>
      </c>
      <c r="B138" t="s">
        <v>18</v>
      </c>
      <c r="C138">
        <v>13290.28</v>
      </c>
      <c r="D138">
        <v>37941.440000000002</v>
      </c>
      <c r="G138">
        <v>0.198022</v>
      </c>
      <c r="H138">
        <v>0</v>
      </c>
      <c r="I138">
        <v>1681621.13</v>
      </c>
      <c r="J138">
        <v>626942.71</v>
      </c>
      <c r="K138">
        <v>0</v>
      </c>
      <c r="L138">
        <v>1141299.43</v>
      </c>
      <c r="M138">
        <v>0</v>
      </c>
      <c r="N138">
        <v>413776.06</v>
      </c>
      <c r="O138">
        <v>404106.91</v>
      </c>
      <c r="P138">
        <v>374929.01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808606.12</v>
      </c>
      <c r="W138">
        <v>0</v>
      </c>
      <c r="X138">
        <v>0</v>
      </c>
      <c r="Y138">
        <v>0</v>
      </c>
      <c r="Z138">
        <v>43737.51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249012.19</v>
      </c>
      <c r="AH138">
        <v>0</v>
      </c>
      <c r="AI138">
        <v>0</v>
      </c>
      <c r="AJ138">
        <v>2284622569.8924098</v>
      </c>
    </row>
    <row r="139" spans="1:36" x14ac:dyDescent="0.25">
      <c r="A139" t="s">
        <v>456</v>
      </c>
      <c r="B139" t="s">
        <v>18</v>
      </c>
      <c r="D139">
        <v>4745.6499999999996</v>
      </c>
      <c r="E139">
        <v>1662.33</v>
      </c>
      <c r="G139">
        <v>2.4767999999999998E-2</v>
      </c>
      <c r="H139">
        <v>0</v>
      </c>
      <c r="I139">
        <v>216152.36</v>
      </c>
      <c r="J139">
        <v>94437.9</v>
      </c>
      <c r="K139">
        <v>0</v>
      </c>
      <c r="L139">
        <v>258328.15</v>
      </c>
      <c r="M139">
        <v>0</v>
      </c>
      <c r="N139">
        <v>316149.59000000003</v>
      </c>
      <c r="O139">
        <v>25186.5</v>
      </c>
      <c r="P139">
        <v>26928.37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72274.81</v>
      </c>
      <c r="W139">
        <v>0</v>
      </c>
      <c r="X139">
        <v>0</v>
      </c>
      <c r="Y139">
        <v>0</v>
      </c>
      <c r="Z139">
        <v>64094.3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210397.44</v>
      </c>
      <c r="AH139">
        <v>0</v>
      </c>
      <c r="AI139">
        <v>0</v>
      </c>
      <c r="AJ139">
        <v>524316504.17180902</v>
      </c>
    </row>
    <row r="140" spans="1:36" x14ac:dyDescent="0.25">
      <c r="A140" t="s">
        <v>457</v>
      </c>
      <c r="B140" t="s">
        <v>18</v>
      </c>
      <c r="D140">
        <v>37941.440000000002</v>
      </c>
      <c r="E140">
        <v>13290.28</v>
      </c>
      <c r="G140">
        <v>0.198022</v>
      </c>
      <c r="H140">
        <v>0</v>
      </c>
      <c r="I140">
        <v>1428624.84</v>
      </c>
      <c r="J140">
        <v>626942.71</v>
      </c>
      <c r="K140">
        <v>0</v>
      </c>
      <c r="L140">
        <v>1141299.43</v>
      </c>
      <c r="M140">
        <v>0</v>
      </c>
      <c r="N140">
        <v>413441.62</v>
      </c>
      <c r="O140">
        <v>348137.51</v>
      </c>
      <c r="P140">
        <v>366993.71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822066.73</v>
      </c>
      <c r="W140">
        <v>0</v>
      </c>
      <c r="X140">
        <v>0</v>
      </c>
      <c r="Y140">
        <v>0</v>
      </c>
      <c r="Z140">
        <v>43737.51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249023.56</v>
      </c>
      <c r="AH140">
        <v>0</v>
      </c>
      <c r="AI140">
        <v>0</v>
      </c>
      <c r="AJ140">
        <v>2090878178.2072501</v>
      </c>
    </row>
    <row r="141" spans="1:36" x14ac:dyDescent="0.25">
      <c r="A141" t="s">
        <v>458</v>
      </c>
      <c r="B141" t="s">
        <v>18</v>
      </c>
      <c r="C141">
        <v>1662.33</v>
      </c>
      <c r="D141">
        <v>4745.6499999999996</v>
      </c>
      <c r="G141">
        <v>2.4767999999999998E-2</v>
      </c>
      <c r="H141">
        <v>0</v>
      </c>
      <c r="I141">
        <v>247163.44</v>
      </c>
      <c r="J141">
        <v>94437.9</v>
      </c>
      <c r="K141">
        <v>0</v>
      </c>
      <c r="L141">
        <v>258328.15</v>
      </c>
      <c r="M141">
        <v>0</v>
      </c>
      <c r="N141">
        <v>316097.57</v>
      </c>
      <c r="O141">
        <v>28767.439999999999</v>
      </c>
      <c r="P141">
        <v>27015.57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72213.7</v>
      </c>
      <c r="W141">
        <v>0</v>
      </c>
      <c r="X141">
        <v>0</v>
      </c>
      <c r="Y141">
        <v>0</v>
      </c>
      <c r="Z141">
        <v>64094.3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210398.24</v>
      </c>
      <c r="AH141">
        <v>0</v>
      </c>
      <c r="AI141">
        <v>0</v>
      </c>
      <c r="AJ141">
        <v>595194772.78014302</v>
      </c>
    </row>
    <row r="142" spans="1:36" x14ac:dyDescent="0.25">
      <c r="A142" t="s">
        <v>459</v>
      </c>
      <c r="B142" t="s">
        <v>18</v>
      </c>
      <c r="D142">
        <v>59840.78</v>
      </c>
      <c r="E142">
        <v>20961.27</v>
      </c>
      <c r="G142">
        <v>0.31231700000000001</v>
      </c>
      <c r="H142">
        <v>0</v>
      </c>
      <c r="I142">
        <v>2016662.7</v>
      </c>
      <c r="J142">
        <v>643032.05000000005</v>
      </c>
      <c r="K142">
        <v>0</v>
      </c>
      <c r="L142">
        <v>3553012.2</v>
      </c>
      <c r="M142">
        <v>0</v>
      </c>
      <c r="N142">
        <v>1014960.64</v>
      </c>
      <c r="O142">
        <v>324325.71999999997</v>
      </c>
      <c r="P142">
        <v>345377.18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578174.23</v>
      </c>
      <c r="W142">
        <v>0</v>
      </c>
      <c r="X142">
        <v>0</v>
      </c>
      <c r="Y142">
        <v>0</v>
      </c>
      <c r="Z142">
        <v>127428.8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668397.75</v>
      </c>
      <c r="AH142">
        <v>0</v>
      </c>
      <c r="AI142">
        <v>0</v>
      </c>
      <c r="AJ142">
        <v>3044324785.1233301</v>
      </c>
    </row>
    <row r="143" spans="1:36" x14ac:dyDescent="0.25">
      <c r="A143" t="s">
        <v>460</v>
      </c>
      <c r="B143" t="s">
        <v>18</v>
      </c>
      <c r="C143">
        <v>20961.27</v>
      </c>
      <c r="D143">
        <v>59840.78</v>
      </c>
      <c r="G143">
        <v>0.31231700000000001</v>
      </c>
      <c r="H143">
        <v>0</v>
      </c>
      <c r="I143">
        <v>2344277.5</v>
      </c>
      <c r="J143">
        <v>643032.05000000005</v>
      </c>
      <c r="K143">
        <v>0</v>
      </c>
      <c r="L143">
        <v>3553012.2</v>
      </c>
      <c r="M143">
        <v>0</v>
      </c>
      <c r="N143">
        <v>1014804.48</v>
      </c>
      <c r="O143">
        <v>369697.77</v>
      </c>
      <c r="P143">
        <v>346490.74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584045.68000000005</v>
      </c>
      <c r="W143">
        <v>0</v>
      </c>
      <c r="X143">
        <v>0</v>
      </c>
      <c r="Y143">
        <v>0</v>
      </c>
      <c r="Z143">
        <v>127428.8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668491.43000000005</v>
      </c>
      <c r="AH143">
        <v>0</v>
      </c>
      <c r="AI143">
        <v>0</v>
      </c>
      <c r="AJ143">
        <v>3555540453.40622</v>
      </c>
    </row>
    <row r="144" spans="1:36" x14ac:dyDescent="0.25">
      <c r="A144" t="s">
        <v>461</v>
      </c>
      <c r="B144" t="s">
        <v>18</v>
      </c>
      <c r="C144">
        <v>10434.56</v>
      </c>
      <c r="D144">
        <v>29788.84</v>
      </c>
      <c r="G144">
        <v>0.155472</v>
      </c>
      <c r="H144">
        <v>0</v>
      </c>
      <c r="I144">
        <v>1161357.02</v>
      </c>
      <c r="J144">
        <v>163686.57</v>
      </c>
      <c r="K144">
        <v>0</v>
      </c>
      <c r="L144">
        <v>936314.72</v>
      </c>
      <c r="M144">
        <v>0</v>
      </c>
      <c r="N144">
        <v>277363.27</v>
      </c>
      <c r="O144">
        <v>274298.32</v>
      </c>
      <c r="P144">
        <v>257410.78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206739.63</v>
      </c>
      <c r="W144">
        <v>0</v>
      </c>
      <c r="X144">
        <v>0</v>
      </c>
      <c r="Y144">
        <v>0</v>
      </c>
      <c r="Z144">
        <v>68627.600000000006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439665.87</v>
      </c>
      <c r="AH144">
        <v>0</v>
      </c>
      <c r="AI144">
        <v>0</v>
      </c>
      <c r="AJ144">
        <v>1367762679.2242501</v>
      </c>
    </row>
    <row r="145" spans="1:36" x14ac:dyDescent="0.25">
      <c r="A145" t="s">
        <v>462</v>
      </c>
      <c r="B145" t="s">
        <v>18</v>
      </c>
      <c r="D145">
        <v>29788.84</v>
      </c>
      <c r="E145">
        <v>10434.56</v>
      </c>
      <c r="G145">
        <v>0.155472</v>
      </c>
      <c r="H145">
        <v>0</v>
      </c>
      <c r="I145">
        <v>693286.09</v>
      </c>
      <c r="J145">
        <v>163686.57</v>
      </c>
      <c r="K145">
        <v>0</v>
      </c>
      <c r="L145">
        <v>936314.72</v>
      </c>
      <c r="M145">
        <v>0</v>
      </c>
      <c r="N145">
        <v>277304.86</v>
      </c>
      <c r="O145">
        <v>232870.68</v>
      </c>
      <c r="P145">
        <v>253550.17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206740.7</v>
      </c>
      <c r="W145">
        <v>0</v>
      </c>
      <c r="X145">
        <v>0</v>
      </c>
      <c r="Y145">
        <v>0</v>
      </c>
      <c r="Z145">
        <v>68627.600000000006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439672.51</v>
      </c>
      <c r="AH145">
        <v>0</v>
      </c>
      <c r="AI145">
        <v>0</v>
      </c>
      <c r="AJ145">
        <v>1122785786.4907501</v>
      </c>
    </row>
    <row r="146" spans="1:36" x14ac:dyDescent="0.25">
      <c r="A146" t="s">
        <v>463</v>
      </c>
      <c r="B146" t="s">
        <v>17</v>
      </c>
      <c r="D146">
        <v>21422.15</v>
      </c>
      <c r="E146">
        <v>7503.84</v>
      </c>
      <c r="G146">
        <v>0.111805</v>
      </c>
      <c r="H146">
        <v>0</v>
      </c>
      <c r="I146">
        <v>724378.77</v>
      </c>
      <c r="J146">
        <v>394508.4</v>
      </c>
      <c r="K146">
        <v>0</v>
      </c>
      <c r="L146">
        <v>436518</v>
      </c>
      <c r="M146">
        <v>0</v>
      </c>
      <c r="N146">
        <v>214003.76</v>
      </c>
      <c r="O146">
        <v>120686.88</v>
      </c>
      <c r="P146">
        <v>125240.6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394967.68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160367.82</v>
      </c>
      <c r="AH146">
        <v>0</v>
      </c>
      <c r="AI146">
        <v>0</v>
      </c>
      <c r="AJ146">
        <v>1682251937.8376601</v>
      </c>
    </row>
    <row r="147" spans="1:36" x14ac:dyDescent="0.25">
      <c r="A147" t="s">
        <v>464</v>
      </c>
      <c r="B147" t="s">
        <v>17</v>
      </c>
      <c r="C147">
        <v>7503.84</v>
      </c>
      <c r="D147">
        <v>21422.15</v>
      </c>
      <c r="G147">
        <v>0.111805</v>
      </c>
      <c r="H147">
        <v>0</v>
      </c>
      <c r="I147">
        <v>786686.78</v>
      </c>
      <c r="J147">
        <v>394508.4</v>
      </c>
      <c r="K147">
        <v>0</v>
      </c>
      <c r="L147">
        <v>436518</v>
      </c>
      <c r="M147">
        <v>0</v>
      </c>
      <c r="N147">
        <v>213770.3</v>
      </c>
      <c r="O147">
        <v>136999.43</v>
      </c>
      <c r="P147">
        <v>127259.4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399717.78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160369.74</v>
      </c>
      <c r="AH147">
        <v>0</v>
      </c>
      <c r="AI147">
        <v>0</v>
      </c>
      <c r="AJ147">
        <v>1745997460.70474</v>
      </c>
    </row>
    <row r="148" spans="1:36" x14ac:dyDescent="0.25">
      <c r="A148" t="s">
        <v>465</v>
      </c>
      <c r="B148" t="s">
        <v>17</v>
      </c>
      <c r="D148">
        <v>1332.87</v>
      </c>
      <c r="E148">
        <v>466.88</v>
      </c>
      <c r="G148">
        <v>6.9560000000000004E-3</v>
      </c>
      <c r="H148">
        <v>0</v>
      </c>
      <c r="I148">
        <v>18336.849999999999</v>
      </c>
      <c r="J148">
        <v>12134.67</v>
      </c>
      <c r="K148">
        <v>0</v>
      </c>
      <c r="L148">
        <v>29466.65</v>
      </c>
      <c r="M148">
        <v>0</v>
      </c>
      <c r="N148">
        <v>56333.16</v>
      </c>
      <c r="O148">
        <v>4147.59</v>
      </c>
      <c r="P148">
        <v>4556.46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191.09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4304.6000000000004</v>
      </c>
      <c r="AH148">
        <v>0</v>
      </c>
      <c r="AI148">
        <v>0</v>
      </c>
      <c r="AJ148">
        <v>53044986.831570297</v>
      </c>
    </row>
    <row r="149" spans="1:36" x14ac:dyDescent="0.25">
      <c r="A149" t="s">
        <v>466</v>
      </c>
      <c r="B149" t="s">
        <v>17</v>
      </c>
      <c r="C149">
        <v>466.88</v>
      </c>
      <c r="D149">
        <v>1332.87</v>
      </c>
      <c r="G149">
        <v>6.9560000000000004E-3</v>
      </c>
      <c r="H149">
        <v>0</v>
      </c>
      <c r="I149">
        <v>27517.73</v>
      </c>
      <c r="J149">
        <v>12134.67</v>
      </c>
      <c r="K149">
        <v>0</v>
      </c>
      <c r="L149">
        <v>29466.65</v>
      </c>
      <c r="M149">
        <v>0</v>
      </c>
      <c r="N149">
        <v>56333.16</v>
      </c>
      <c r="O149">
        <v>6827.85</v>
      </c>
      <c r="P149">
        <v>5976.41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191.09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4304.6000000000004</v>
      </c>
      <c r="AH149">
        <v>0</v>
      </c>
      <c r="AI149">
        <v>0</v>
      </c>
      <c r="AJ149">
        <v>65666042.445758797</v>
      </c>
    </row>
    <row r="150" spans="1:36" x14ac:dyDescent="0.25">
      <c r="A150" t="s">
        <v>467</v>
      </c>
      <c r="B150" t="s">
        <v>17</v>
      </c>
      <c r="D150">
        <v>3728.7</v>
      </c>
      <c r="E150">
        <v>1306.0999999999999</v>
      </c>
      <c r="G150">
        <v>1.9460999999999999E-2</v>
      </c>
      <c r="H150">
        <v>0</v>
      </c>
      <c r="I150">
        <v>187206.08</v>
      </c>
      <c r="J150">
        <v>103288.37</v>
      </c>
      <c r="K150">
        <v>0</v>
      </c>
      <c r="L150">
        <v>282049.05</v>
      </c>
      <c r="M150">
        <v>0</v>
      </c>
      <c r="N150">
        <v>79218.63</v>
      </c>
      <c r="O150">
        <v>21095.27</v>
      </c>
      <c r="P150">
        <v>21503.68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58336.4</v>
      </c>
      <c r="W150">
        <v>0</v>
      </c>
      <c r="X150">
        <v>0</v>
      </c>
      <c r="Y150">
        <v>0</v>
      </c>
      <c r="Z150">
        <v>65854.75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114470.96</v>
      </c>
      <c r="AH150">
        <v>0</v>
      </c>
      <c r="AI150">
        <v>0</v>
      </c>
      <c r="AJ150">
        <v>295042110.969854</v>
      </c>
    </row>
    <row r="151" spans="1:36" x14ac:dyDescent="0.25">
      <c r="A151" t="s">
        <v>468</v>
      </c>
      <c r="B151" t="s">
        <v>17</v>
      </c>
      <c r="C151">
        <v>7192.46</v>
      </c>
      <c r="D151">
        <v>20533.21</v>
      </c>
      <c r="G151">
        <v>0.107166</v>
      </c>
      <c r="H151">
        <v>0</v>
      </c>
      <c r="I151">
        <v>964139.01</v>
      </c>
      <c r="J151">
        <v>239542.44</v>
      </c>
      <c r="K151">
        <v>0</v>
      </c>
      <c r="L151">
        <v>831153.37</v>
      </c>
      <c r="M151">
        <v>0</v>
      </c>
      <c r="N151">
        <v>236488.32000000001</v>
      </c>
      <c r="O151">
        <v>214087.69</v>
      </c>
      <c r="P151">
        <v>201182.75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225974.71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104964.44</v>
      </c>
      <c r="AH151">
        <v>0</v>
      </c>
      <c r="AI151">
        <v>0</v>
      </c>
      <c r="AJ151">
        <v>1337403005.43839</v>
      </c>
    </row>
    <row r="152" spans="1:36" x14ac:dyDescent="0.25">
      <c r="A152" t="s">
        <v>469</v>
      </c>
      <c r="B152" t="s">
        <v>17</v>
      </c>
      <c r="D152">
        <v>20533.21</v>
      </c>
      <c r="E152">
        <v>7192.46</v>
      </c>
      <c r="G152">
        <v>0.107166</v>
      </c>
      <c r="H152">
        <v>0</v>
      </c>
      <c r="I152">
        <v>797539.49</v>
      </c>
      <c r="J152">
        <v>239542.44</v>
      </c>
      <c r="K152">
        <v>0</v>
      </c>
      <c r="L152">
        <v>831153.37</v>
      </c>
      <c r="M152">
        <v>0</v>
      </c>
      <c r="N152">
        <v>236208.15</v>
      </c>
      <c r="O152">
        <v>184803.5</v>
      </c>
      <c r="P152">
        <v>197142.42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229133.46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104963.47</v>
      </c>
      <c r="AH152">
        <v>0</v>
      </c>
      <c r="AI152">
        <v>0</v>
      </c>
      <c r="AJ152">
        <v>1131366333.3879399</v>
      </c>
    </row>
    <row r="153" spans="1:36" x14ac:dyDescent="0.25">
      <c r="A153" t="s">
        <v>470</v>
      </c>
      <c r="B153" t="s">
        <v>17</v>
      </c>
      <c r="C153">
        <v>1306.0999999999999</v>
      </c>
      <c r="D153">
        <v>3728.7</v>
      </c>
      <c r="G153">
        <v>1.9460999999999999E-2</v>
      </c>
      <c r="H153">
        <v>0</v>
      </c>
      <c r="I153">
        <v>195658.16</v>
      </c>
      <c r="J153">
        <v>103288.37</v>
      </c>
      <c r="K153">
        <v>0</v>
      </c>
      <c r="L153">
        <v>282049.05</v>
      </c>
      <c r="M153">
        <v>0</v>
      </c>
      <c r="N153">
        <v>79227.73</v>
      </c>
      <c r="O153">
        <v>22953.599999999999</v>
      </c>
      <c r="P153">
        <v>21518.240000000002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58342.87</v>
      </c>
      <c r="W153">
        <v>0</v>
      </c>
      <c r="X153">
        <v>0</v>
      </c>
      <c r="Y153">
        <v>0</v>
      </c>
      <c r="Z153">
        <v>65854.75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114471.79</v>
      </c>
      <c r="AH153">
        <v>0</v>
      </c>
      <c r="AI153">
        <v>0</v>
      </c>
      <c r="AJ153">
        <v>300612924.95854998</v>
      </c>
    </row>
    <row r="154" spans="1:36" x14ac:dyDescent="0.25">
      <c r="A154" t="s">
        <v>471</v>
      </c>
      <c r="B154" t="s">
        <v>17</v>
      </c>
      <c r="C154">
        <v>12406.5</v>
      </c>
      <c r="D154">
        <v>35418.39</v>
      </c>
      <c r="G154">
        <v>0.18485299999999999</v>
      </c>
      <c r="H154">
        <v>0</v>
      </c>
      <c r="I154">
        <v>1542167.84</v>
      </c>
      <c r="J154">
        <v>626942.71</v>
      </c>
      <c r="K154">
        <v>0</v>
      </c>
      <c r="L154">
        <v>1141299.43</v>
      </c>
      <c r="M154">
        <v>0</v>
      </c>
      <c r="N154">
        <v>361007.18</v>
      </c>
      <c r="O154">
        <v>385299.94</v>
      </c>
      <c r="P154">
        <v>361102.34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567215.03</v>
      </c>
      <c r="W154">
        <v>0</v>
      </c>
      <c r="X154">
        <v>0</v>
      </c>
      <c r="Y154">
        <v>0</v>
      </c>
      <c r="Z154">
        <v>43737.51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249473.52</v>
      </c>
      <c r="AH154">
        <v>0</v>
      </c>
      <c r="AI154">
        <v>0</v>
      </c>
      <c r="AJ154">
        <v>2306904644.3975601</v>
      </c>
    </row>
    <row r="155" spans="1:36" x14ac:dyDescent="0.25">
      <c r="A155" t="s">
        <v>472</v>
      </c>
      <c r="B155" t="s">
        <v>17</v>
      </c>
      <c r="D155">
        <v>57273.67</v>
      </c>
      <c r="E155">
        <v>20062.05</v>
      </c>
      <c r="G155">
        <v>0.29891899999999999</v>
      </c>
      <c r="H155">
        <v>0</v>
      </c>
      <c r="I155">
        <v>1981540.39</v>
      </c>
      <c r="J155">
        <v>643032.05000000005</v>
      </c>
      <c r="K155">
        <v>0</v>
      </c>
      <c r="L155">
        <v>3553012.2</v>
      </c>
      <c r="M155">
        <v>0</v>
      </c>
      <c r="N155">
        <v>1004120.41</v>
      </c>
      <c r="O155">
        <v>324655.98</v>
      </c>
      <c r="P155">
        <v>342064.3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510070.27</v>
      </c>
      <c r="W155">
        <v>0</v>
      </c>
      <c r="X155">
        <v>0</v>
      </c>
      <c r="Y155">
        <v>0</v>
      </c>
      <c r="Z155">
        <v>127428.8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669525.21</v>
      </c>
      <c r="AH155">
        <v>0</v>
      </c>
      <c r="AI155">
        <v>0</v>
      </c>
      <c r="AJ155">
        <v>3248399075.0756798</v>
      </c>
    </row>
    <row r="156" spans="1:36" x14ac:dyDescent="0.25">
      <c r="A156" t="s">
        <v>473</v>
      </c>
      <c r="B156" t="s">
        <v>17</v>
      </c>
      <c r="D156">
        <v>4371.3599999999997</v>
      </c>
      <c r="E156">
        <v>1531.22</v>
      </c>
      <c r="G156">
        <v>2.2814999999999998E-2</v>
      </c>
      <c r="H156">
        <v>0</v>
      </c>
      <c r="I156">
        <v>187896.88</v>
      </c>
      <c r="J156">
        <v>94437.9</v>
      </c>
      <c r="K156">
        <v>0</v>
      </c>
      <c r="L156">
        <v>258328.15</v>
      </c>
      <c r="M156">
        <v>0</v>
      </c>
      <c r="N156">
        <v>305397.01</v>
      </c>
      <c r="O156">
        <v>24095.78</v>
      </c>
      <c r="P156">
        <v>25591.93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58244.32</v>
      </c>
      <c r="W156">
        <v>0</v>
      </c>
      <c r="X156">
        <v>0</v>
      </c>
      <c r="Y156">
        <v>0</v>
      </c>
      <c r="Z156">
        <v>64094.3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210773.37</v>
      </c>
      <c r="AH156">
        <v>0</v>
      </c>
      <c r="AI156">
        <v>0</v>
      </c>
      <c r="AJ156">
        <v>501071666.728818</v>
      </c>
    </row>
    <row r="157" spans="1:36" x14ac:dyDescent="0.25">
      <c r="A157" t="s">
        <v>474</v>
      </c>
      <c r="B157" t="s">
        <v>17</v>
      </c>
      <c r="D157">
        <v>35418.39</v>
      </c>
      <c r="E157">
        <v>12406.5</v>
      </c>
      <c r="G157">
        <v>0.18485299999999999</v>
      </c>
      <c r="H157">
        <v>0</v>
      </c>
      <c r="I157">
        <v>1293210.1499999999</v>
      </c>
      <c r="J157">
        <v>626942.71</v>
      </c>
      <c r="K157">
        <v>0</v>
      </c>
      <c r="L157">
        <v>1141299.43</v>
      </c>
      <c r="M157">
        <v>0</v>
      </c>
      <c r="N157">
        <v>357875.83</v>
      </c>
      <c r="O157">
        <v>331783.2</v>
      </c>
      <c r="P157">
        <v>357002.19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595727.02</v>
      </c>
      <c r="W157">
        <v>0</v>
      </c>
      <c r="X157">
        <v>0</v>
      </c>
      <c r="Y157">
        <v>0</v>
      </c>
      <c r="Z157">
        <v>43737.51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249462.94</v>
      </c>
      <c r="AH157">
        <v>0</v>
      </c>
      <c r="AI157">
        <v>0</v>
      </c>
      <c r="AJ157">
        <v>2223522566.7562799</v>
      </c>
    </row>
    <row r="158" spans="1:36" x14ac:dyDescent="0.25">
      <c r="A158" t="s">
        <v>475</v>
      </c>
      <c r="B158" t="s">
        <v>17</v>
      </c>
      <c r="C158">
        <v>1531.22</v>
      </c>
      <c r="D158">
        <v>4371.3599999999997</v>
      </c>
      <c r="G158">
        <v>2.2814999999999998E-2</v>
      </c>
      <c r="H158">
        <v>0</v>
      </c>
      <c r="I158">
        <v>209455.82</v>
      </c>
      <c r="J158">
        <v>94437.9</v>
      </c>
      <c r="K158">
        <v>0</v>
      </c>
      <c r="L158">
        <v>258328.15</v>
      </c>
      <c r="M158">
        <v>0</v>
      </c>
      <c r="N158">
        <v>305246.07</v>
      </c>
      <c r="O158">
        <v>27256.86</v>
      </c>
      <c r="P158">
        <v>25640.05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58197.38</v>
      </c>
      <c r="W158">
        <v>0</v>
      </c>
      <c r="X158">
        <v>0</v>
      </c>
      <c r="Y158">
        <v>0</v>
      </c>
      <c r="Z158">
        <v>64094.3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210769.31</v>
      </c>
      <c r="AH158">
        <v>0</v>
      </c>
      <c r="AI158">
        <v>0</v>
      </c>
      <c r="AJ158">
        <v>536238591.95448297</v>
      </c>
    </row>
    <row r="159" spans="1:36" x14ac:dyDescent="0.25">
      <c r="A159" t="s">
        <v>476</v>
      </c>
      <c r="B159" t="s">
        <v>17</v>
      </c>
      <c r="D159">
        <v>27356.78</v>
      </c>
      <c r="E159">
        <v>9582.65</v>
      </c>
      <c r="G159">
        <v>0.14277899999999999</v>
      </c>
      <c r="H159">
        <v>0</v>
      </c>
      <c r="I159">
        <v>730394.82</v>
      </c>
      <c r="J159">
        <v>163686.57</v>
      </c>
      <c r="K159">
        <v>0</v>
      </c>
      <c r="L159">
        <v>936314.72</v>
      </c>
      <c r="M159">
        <v>0</v>
      </c>
      <c r="N159">
        <v>271733.01</v>
      </c>
      <c r="O159">
        <v>224004.4</v>
      </c>
      <c r="P159">
        <v>242531.68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162962.51999999999</v>
      </c>
      <c r="W159">
        <v>0</v>
      </c>
      <c r="X159">
        <v>0</v>
      </c>
      <c r="Y159">
        <v>0</v>
      </c>
      <c r="Z159">
        <v>68627.600000000006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440539.81</v>
      </c>
      <c r="AH159">
        <v>0</v>
      </c>
      <c r="AI159">
        <v>0</v>
      </c>
      <c r="AJ159">
        <v>1167848554.5411899</v>
      </c>
    </row>
    <row r="160" spans="1:36" x14ac:dyDescent="0.25">
      <c r="A160" t="s">
        <v>477</v>
      </c>
      <c r="B160" t="s">
        <v>17</v>
      </c>
      <c r="C160">
        <v>20062.05</v>
      </c>
      <c r="D160">
        <v>57273.67</v>
      </c>
      <c r="G160">
        <v>0.29891899999999999</v>
      </c>
      <c r="H160">
        <v>0</v>
      </c>
      <c r="I160">
        <v>2226358.7599999998</v>
      </c>
      <c r="J160">
        <v>643032.05000000005</v>
      </c>
      <c r="K160">
        <v>0</v>
      </c>
      <c r="L160">
        <v>3553012.2</v>
      </c>
      <c r="M160">
        <v>0</v>
      </c>
      <c r="N160">
        <v>1004204.8</v>
      </c>
      <c r="O160">
        <v>364255.55</v>
      </c>
      <c r="P160">
        <v>342529.22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508044.46</v>
      </c>
      <c r="W160">
        <v>0</v>
      </c>
      <c r="X160">
        <v>0</v>
      </c>
      <c r="Y160">
        <v>0</v>
      </c>
      <c r="Z160">
        <v>127428.8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669658.78</v>
      </c>
      <c r="AH160">
        <v>0</v>
      </c>
      <c r="AI160">
        <v>0</v>
      </c>
      <c r="AJ160">
        <v>3465629335.0835299</v>
      </c>
    </row>
    <row r="161" spans="1:36" x14ac:dyDescent="0.25">
      <c r="A161" t="s">
        <v>478</v>
      </c>
      <c r="B161" t="s">
        <v>17</v>
      </c>
      <c r="C161">
        <v>9582.65</v>
      </c>
      <c r="D161">
        <v>27356.78</v>
      </c>
      <c r="G161">
        <v>0.14277899999999999</v>
      </c>
      <c r="H161">
        <v>0</v>
      </c>
      <c r="I161">
        <v>1083953.67</v>
      </c>
      <c r="J161">
        <v>163686.57</v>
      </c>
      <c r="K161">
        <v>0</v>
      </c>
      <c r="L161">
        <v>936314.72</v>
      </c>
      <c r="M161">
        <v>0</v>
      </c>
      <c r="N161">
        <v>272087.90000000002</v>
      </c>
      <c r="O161">
        <v>259320.24</v>
      </c>
      <c r="P161">
        <v>243962.08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165879.35</v>
      </c>
      <c r="W161">
        <v>0</v>
      </c>
      <c r="X161">
        <v>0</v>
      </c>
      <c r="Y161">
        <v>0</v>
      </c>
      <c r="Z161">
        <v>68627.600000000006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440524.82</v>
      </c>
      <c r="AH161">
        <v>0</v>
      </c>
      <c r="AI161">
        <v>0</v>
      </c>
      <c r="AJ161">
        <v>1369224805.4675801</v>
      </c>
    </row>
    <row r="162" spans="1:36" x14ac:dyDescent="0.25">
      <c r="A162" t="s">
        <v>479</v>
      </c>
      <c r="B162" t="s">
        <v>16</v>
      </c>
      <c r="C162">
        <v>7327.34</v>
      </c>
      <c r="D162">
        <v>20918.27</v>
      </c>
      <c r="G162">
        <v>0.10917499999999999</v>
      </c>
      <c r="H162">
        <v>0</v>
      </c>
      <c r="I162">
        <v>686711.52</v>
      </c>
      <c r="J162">
        <v>394508.4</v>
      </c>
      <c r="K162">
        <v>0</v>
      </c>
      <c r="L162">
        <v>436518</v>
      </c>
      <c r="M162">
        <v>0</v>
      </c>
      <c r="N162">
        <v>186494.58</v>
      </c>
      <c r="O162">
        <v>132101.34</v>
      </c>
      <c r="P162">
        <v>122613.71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302860.31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162404.29999999999</v>
      </c>
      <c r="AH162">
        <v>0</v>
      </c>
      <c r="AI162">
        <v>0</v>
      </c>
      <c r="AJ162">
        <v>1562551221.6073999</v>
      </c>
    </row>
    <row r="163" spans="1:36" x14ac:dyDescent="0.25">
      <c r="A163" t="s">
        <v>480</v>
      </c>
      <c r="B163" t="s">
        <v>16</v>
      </c>
      <c r="D163">
        <v>20918.27</v>
      </c>
      <c r="E163">
        <v>7327.34</v>
      </c>
      <c r="G163">
        <v>0.10917499999999999</v>
      </c>
      <c r="H163">
        <v>0</v>
      </c>
      <c r="I163">
        <v>645541.29</v>
      </c>
      <c r="J163">
        <v>394508.4</v>
      </c>
      <c r="K163">
        <v>0</v>
      </c>
      <c r="L163">
        <v>436518</v>
      </c>
      <c r="M163">
        <v>0</v>
      </c>
      <c r="N163">
        <v>186490.8</v>
      </c>
      <c r="O163">
        <v>114548.67</v>
      </c>
      <c r="P163">
        <v>120088.52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300502.34999999998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162406.37</v>
      </c>
      <c r="AH163">
        <v>0</v>
      </c>
      <c r="AI163">
        <v>0</v>
      </c>
      <c r="AJ163">
        <v>1511967153.73276</v>
      </c>
    </row>
    <row r="164" spans="1:36" x14ac:dyDescent="0.25">
      <c r="A164" t="s">
        <v>481</v>
      </c>
      <c r="B164" t="s">
        <v>16</v>
      </c>
      <c r="C164">
        <v>456.89</v>
      </c>
      <c r="D164">
        <v>1304.33</v>
      </c>
      <c r="G164">
        <v>6.8069999999999997E-3</v>
      </c>
      <c r="H164">
        <v>0</v>
      </c>
      <c r="I164">
        <v>21435.200000000001</v>
      </c>
      <c r="J164">
        <v>12134.67</v>
      </c>
      <c r="K164">
        <v>0</v>
      </c>
      <c r="L164">
        <v>29466.65</v>
      </c>
      <c r="M164">
        <v>0</v>
      </c>
      <c r="N164">
        <v>57166.63</v>
      </c>
      <c r="O164">
        <v>6454.91</v>
      </c>
      <c r="P164">
        <v>5589.18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257.89999999999998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4351.71</v>
      </c>
      <c r="AH164">
        <v>0</v>
      </c>
      <c r="AI164">
        <v>0</v>
      </c>
      <c r="AJ164">
        <v>58566361.777669698</v>
      </c>
    </row>
    <row r="165" spans="1:36" x14ac:dyDescent="0.25">
      <c r="A165" t="s">
        <v>482</v>
      </c>
      <c r="B165" t="s">
        <v>16</v>
      </c>
      <c r="D165">
        <v>1304.33</v>
      </c>
      <c r="E165">
        <v>456.89</v>
      </c>
      <c r="G165">
        <v>6.8069999999999997E-3</v>
      </c>
      <c r="H165">
        <v>0</v>
      </c>
      <c r="I165">
        <v>14061.27</v>
      </c>
      <c r="J165">
        <v>12134.67</v>
      </c>
      <c r="K165">
        <v>0</v>
      </c>
      <c r="L165">
        <v>29466.65</v>
      </c>
      <c r="M165">
        <v>0</v>
      </c>
      <c r="N165">
        <v>57168.03</v>
      </c>
      <c r="O165">
        <v>3736.72</v>
      </c>
      <c r="P165">
        <v>4125.55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257.88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4351.71</v>
      </c>
      <c r="AH165">
        <v>0</v>
      </c>
      <c r="AI165">
        <v>0</v>
      </c>
      <c r="AJ165">
        <v>50125551.680375502</v>
      </c>
    </row>
    <row r="166" spans="1:36" x14ac:dyDescent="0.25">
      <c r="A166" t="s">
        <v>483</v>
      </c>
      <c r="B166" t="s">
        <v>16</v>
      </c>
      <c r="D166">
        <v>3608.44</v>
      </c>
      <c r="E166">
        <v>1263.98</v>
      </c>
      <c r="G166">
        <v>1.8832999999999999E-2</v>
      </c>
      <c r="H166">
        <v>0</v>
      </c>
      <c r="I166">
        <v>166938.35999999999</v>
      </c>
      <c r="J166">
        <v>103288.37</v>
      </c>
      <c r="K166">
        <v>0</v>
      </c>
      <c r="L166">
        <v>282049.05</v>
      </c>
      <c r="M166">
        <v>0</v>
      </c>
      <c r="N166">
        <v>71731</v>
      </c>
      <c r="O166">
        <v>19430.900000000001</v>
      </c>
      <c r="P166">
        <v>19995.73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42832.38</v>
      </c>
      <c r="W166">
        <v>0</v>
      </c>
      <c r="X166">
        <v>0</v>
      </c>
      <c r="Y166">
        <v>0</v>
      </c>
      <c r="Z166">
        <v>65854.75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115921.87</v>
      </c>
      <c r="AH166">
        <v>0</v>
      </c>
      <c r="AI166">
        <v>0</v>
      </c>
      <c r="AJ166">
        <v>253180773.10851201</v>
      </c>
    </row>
    <row r="167" spans="1:36" x14ac:dyDescent="0.25">
      <c r="A167" t="s">
        <v>484</v>
      </c>
      <c r="B167" t="s">
        <v>16</v>
      </c>
      <c r="C167">
        <v>7037.89</v>
      </c>
      <c r="D167">
        <v>20091.939999999999</v>
      </c>
      <c r="G167">
        <v>0.104863</v>
      </c>
      <c r="H167">
        <v>0</v>
      </c>
      <c r="I167">
        <v>837165.62</v>
      </c>
      <c r="J167">
        <v>239542.44</v>
      </c>
      <c r="K167">
        <v>0</v>
      </c>
      <c r="L167">
        <v>831153.37</v>
      </c>
      <c r="M167">
        <v>0</v>
      </c>
      <c r="N167">
        <v>206892.02</v>
      </c>
      <c r="O167">
        <v>208406.61</v>
      </c>
      <c r="P167">
        <v>195611.11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136806.84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106288.95</v>
      </c>
      <c r="AH167">
        <v>0</v>
      </c>
      <c r="AI167">
        <v>0</v>
      </c>
      <c r="AJ167">
        <v>1152084489.9514999</v>
      </c>
    </row>
    <row r="168" spans="1:36" x14ac:dyDescent="0.25">
      <c r="A168" t="s">
        <v>485</v>
      </c>
      <c r="B168" t="s">
        <v>16</v>
      </c>
      <c r="D168">
        <v>20091.939999999999</v>
      </c>
      <c r="E168">
        <v>7037.89</v>
      </c>
      <c r="G168">
        <v>0.104863</v>
      </c>
      <c r="H168">
        <v>0</v>
      </c>
      <c r="I168">
        <v>692462.12</v>
      </c>
      <c r="J168">
        <v>239542.44</v>
      </c>
      <c r="K168">
        <v>0</v>
      </c>
      <c r="L168">
        <v>831153.37</v>
      </c>
      <c r="M168">
        <v>0</v>
      </c>
      <c r="N168">
        <v>206524.64</v>
      </c>
      <c r="O168">
        <v>178333.3</v>
      </c>
      <c r="P168">
        <v>191512.06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138390.22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106286.01</v>
      </c>
      <c r="AH168">
        <v>0</v>
      </c>
      <c r="AI168">
        <v>0</v>
      </c>
      <c r="AJ168">
        <v>1029156382.2685699</v>
      </c>
    </row>
    <row r="169" spans="1:36" x14ac:dyDescent="0.25">
      <c r="A169" t="s">
        <v>486</v>
      </c>
      <c r="B169" t="s">
        <v>16</v>
      </c>
      <c r="C169">
        <v>1263.98</v>
      </c>
      <c r="D169">
        <v>3608.44</v>
      </c>
      <c r="G169">
        <v>1.8832999999999999E-2</v>
      </c>
      <c r="H169">
        <v>0</v>
      </c>
      <c r="I169">
        <v>172894.19</v>
      </c>
      <c r="J169">
        <v>103288.37</v>
      </c>
      <c r="K169">
        <v>0</v>
      </c>
      <c r="L169">
        <v>282049.05</v>
      </c>
      <c r="M169">
        <v>0</v>
      </c>
      <c r="N169">
        <v>71743.12</v>
      </c>
      <c r="O169">
        <v>21369.88</v>
      </c>
      <c r="P169">
        <v>20018.43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42842.71</v>
      </c>
      <c r="W169">
        <v>0</v>
      </c>
      <c r="X169">
        <v>0</v>
      </c>
      <c r="Y169">
        <v>0</v>
      </c>
      <c r="Z169">
        <v>65854.75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115922.95</v>
      </c>
      <c r="AH169">
        <v>0</v>
      </c>
      <c r="AI169">
        <v>0</v>
      </c>
      <c r="AJ169">
        <v>259776094.435893</v>
      </c>
    </row>
    <row r="170" spans="1:36" x14ac:dyDescent="0.25">
      <c r="A170" t="s">
        <v>487</v>
      </c>
      <c r="B170" t="s">
        <v>16</v>
      </c>
      <c r="C170">
        <v>12189</v>
      </c>
      <c r="D170">
        <v>34797.47</v>
      </c>
      <c r="G170">
        <v>0.181613</v>
      </c>
      <c r="H170">
        <v>0</v>
      </c>
      <c r="I170">
        <v>1413432.73</v>
      </c>
      <c r="J170">
        <v>626942.71</v>
      </c>
      <c r="K170">
        <v>0</v>
      </c>
      <c r="L170">
        <v>1141299.43</v>
      </c>
      <c r="M170">
        <v>0</v>
      </c>
      <c r="N170">
        <v>311901.3</v>
      </c>
      <c r="O170">
        <v>375562.47</v>
      </c>
      <c r="P170">
        <v>351410.87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437016.52</v>
      </c>
      <c r="W170">
        <v>0</v>
      </c>
      <c r="X170">
        <v>0</v>
      </c>
      <c r="Y170">
        <v>0</v>
      </c>
      <c r="Z170">
        <v>43737.51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252644.44</v>
      </c>
      <c r="AH170">
        <v>0</v>
      </c>
      <c r="AI170">
        <v>0</v>
      </c>
      <c r="AJ170">
        <v>2046523317.28894</v>
      </c>
    </row>
    <row r="171" spans="1:36" x14ac:dyDescent="0.25">
      <c r="A171" t="s">
        <v>488</v>
      </c>
      <c r="B171" t="s">
        <v>16</v>
      </c>
      <c r="D171">
        <v>34797.47</v>
      </c>
      <c r="E171">
        <v>12189</v>
      </c>
      <c r="G171">
        <v>0.181613</v>
      </c>
      <c r="H171">
        <v>0</v>
      </c>
      <c r="I171">
        <v>1164190.02</v>
      </c>
      <c r="J171">
        <v>626942.71</v>
      </c>
      <c r="K171">
        <v>0</v>
      </c>
      <c r="L171">
        <v>1141299.43</v>
      </c>
      <c r="M171">
        <v>0</v>
      </c>
      <c r="N171">
        <v>311977.5</v>
      </c>
      <c r="O171">
        <v>321346.03000000003</v>
      </c>
      <c r="P171">
        <v>346584.44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452388.56</v>
      </c>
      <c r="W171">
        <v>0</v>
      </c>
      <c r="X171">
        <v>0</v>
      </c>
      <c r="Y171">
        <v>0</v>
      </c>
      <c r="Z171">
        <v>43737.51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252627.01</v>
      </c>
      <c r="AH171">
        <v>0</v>
      </c>
      <c r="AI171">
        <v>0</v>
      </c>
      <c r="AJ171">
        <v>1985429853.5288401</v>
      </c>
    </row>
    <row r="172" spans="1:36" x14ac:dyDescent="0.25">
      <c r="A172" t="s">
        <v>489</v>
      </c>
      <c r="B172" t="s">
        <v>16</v>
      </c>
      <c r="D172">
        <v>55419.11</v>
      </c>
      <c r="E172">
        <v>19412.43</v>
      </c>
      <c r="G172">
        <v>0.28924</v>
      </c>
      <c r="H172">
        <v>0</v>
      </c>
      <c r="I172">
        <v>1744621.88</v>
      </c>
      <c r="J172">
        <v>643032.05000000005</v>
      </c>
      <c r="K172">
        <v>0</v>
      </c>
      <c r="L172">
        <v>3553012.2</v>
      </c>
      <c r="M172">
        <v>0</v>
      </c>
      <c r="N172">
        <v>928168.11</v>
      </c>
      <c r="O172">
        <v>301292.02</v>
      </c>
      <c r="P172">
        <v>320530.95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287622.45</v>
      </c>
      <c r="W172">
        <v>0</v>
      </c>
      <c r="X172">
        <v>0</v>
      </c>
      <c r="Y172">
        <v>0</v>
      </c>
      <c r="Z172">
        <v>127428.8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678443.29</v>
      </c>
      <c r="AH172">
        <v>0</v>
      </c>
      <c r="AI172">
        <v>0</v>
      </c>
      <c r="AJ172">
        <v>2796900295.6138301</v>
      </c>
    </row>
    <row r="173" spans="1:36" x14ac:dyDescent="0.25">
      <c r="A173" t="s">
        <v>490</v>
      </c>
      <c r="B173" t="s">
        <v>16</v>
      </c>
      <c r="D173">
        <v>4248.76</v>
      </c>
      <c r="E173">
        <v>1488.27</v>
      </c>
      <c r="G173">
        <v>2.2175E-2</v>
      </c>
      <c r="H173">
        <v>0</v>
      </c>
      <c r="I173">
        <v>168971.06</v>
      </c>
      <c r="J173">
        <v>94437.9</v>
      </c>
      <c r="K173">
        <v>0</v>
      </c>
      <c r="L173">
        <v>258328.15</v>
      </c>
      <c r="M173">
        <v>0</v>
      </c>
      <c r="N173">
        <v>306839.65999999997</v>
      </c>
      <c r="O173">
        <v>22666.11</v>
      </c>
      <c r="P173">
        <v>24099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42881.96</v>
      </c>
      <c r="W173">
        <v>0</v>
      </c>
      <c r="X173">
        <v>0</v>
      </c>
      <c r="Y173">
        <v>0</v>
      </c>
      <c r="Z173">
        <v>64094.3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213482.31</v>
      </c>
      <c r="AH173">
        <v>0</v>
      </c>
      <c r="AI173">
        <v>0</v>
      </c>
      <c r="AJ173">
        <v>425732129.280222</v>
      </c>
    </row>
    <row r="174" spans="1:36" x14ac:dyDescent="0.25">
      <c r="A174" t="s">
        <v>491</v>
      </c>
      <c r="B174" t="s">
        <v>16</v>
      </c>
      <c r="C174">
        <v>1488.27</v>
      </c>
      <c r="D174">
        <v>4248.76</v>
      </c>
      <c r="G174">
        <v>2.2175E-2</v>
      </c>
      <c r="H174">
        <v>0</v>
      </c>
      <c r="I174">
        <v>183324.57</v>
      </c>
      <c r="J174">
        <v>94437.9</v>
      </c>
      <c r="K174">
        <v>0</v>
      </c>
      <c r="L174">
        <v>258328.15</v>
      </c>
      <c r="M174">
        <v>0</v>
      </c>
      <c r="N174">
        <v>307114.58</v>
      </c>
      <c r="O174">
        <v>25688.9</v>
      </c>
      <c r="P174">
        <v>24161.42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42029.22</v>
      </c>
      <c r="W174">
        <v>0</v>
      </c>
      <c r="X174">
        <v>0</v>
      </c>
      <c r="Y174">
        <v>0</v>
      </c>
      <c r="Z174">
        <v>64094.3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213472.92</v>
      </c>
      <c r="AH174">
        <v>0</v>
      </c>
      <c r="AI174">
        <v>0</v>
      </c>
      <c r="AJ174">
        <v>447221207.56706601</v>
      </c>
    </row>
    <row r="175" spans="1:36" x14ac:dyDescent="0.25">
      <c r="A175" t="s">
        <v>492</v>
      </c>
      <c r="B175" t="s">
        <v>16</v>
      </c>
      <c r="C175">
        <v>9317.93</v>
      </c>
      <c r="D175">
        <v>26601.06</v>
      </c>
      <c r="G175">
        <v>0.13883499999999999</v>
      </c>
      <c r="H175">
        <v>0</v>
      </c>
      <c r="I175">
        <v>973926.34</v>
      </c>
      <c r="J175">
        <v>163686.57</v>
      </c>
      <c r="K175">
        <v>0</v>
      </c>
      <c r="L175">
        <v>936314.72</v>
      </c>
      <c r="M175">
        <v>0</v>
      </c>
      <c r="N175">
        <v>254298.5</v>
      </c>
      <c r="O175">
        <v>251151.31</v>
      </c>
      <c r="P175">
        <v>236303.53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109309.77</v>
      </c>
      <c r="W175">
        <v>0</v>
      </c>
      <c r="X175">
        <v>0</v>
      </c>
      <c r="Y175">
        <v>0</v>
      </c>
      <c r="Z175">
        <v>68627.600000000006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446536.23</v>
      </c>
      <c r="AH175">
        <v>0</v>
      </c>
      <c r="AI175">
        <v>0</v>
      </c>
      <c r="AJ175">
        <v>1123673965.29826</v>
      </c>
    </row>
    <row r="176" spans="1:36" x14ac:dyDescent="0.25">
      <c r="A176" t="s">
        <v>493</v>
      </c>
      <c r="B176" t="s">
        <v>16</v>
      </c>
      <c r="C176">
        <v>19412.43</v>
      </c>
      <c r="D176">
        <v>55419.11</v>
      </c>
      <c r="G176">
        <v>0.28924</v>
      </c>
      <c r="H176">
        <v>0</v>
      </c>
      <c r="I176">
        <v>1917511.37</v>
      </c>
      <c r="J176">
        <v>643032.05000000005</v>
      </c>
      <c r="K176">
        <v>0</v>
      </c>
      <c r="L176">
        <v>3553012.2</v>
      </c>
      <c r="M176">
        <v>0</v>
      </c>
      <c r="N176">
        <v>928408.79</v>
      </c>
      <c r="O176">
        <v>341975.25</v>
      </c>
      <c r="P176">
        <v>321422.06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288384.01</v>
      </c>
      <c r="W176">
        <v>0</v>
      </c>
      <c r="X176">
        <v>0</v>
      </c>
      <c r="Y176">
        <v>0</v>
      </c>
      <c r="Z176">
        <v>127428.8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678526.36</v>
      </c>
      <c r="AH176">
        <v>0</v>
      </c>
      <c r="AI176">
        <v>0</v>
      </c>
      <c r="AJ176">
        <v>3032740766.4741302</v>
      </c>
    </row>
    <row r="177" spans="1:36" x14ac:dyDescent="0.25">
      <c r="A177" t="s">
        <v>494</v>
      </c>
      <c r="B177" t="s">
        <v>16</v>
      </c>
      <c r="D177">
        <v>26601.06</v>
      </c>
      <c r="E177">
        <v>9317.93</v>
      </c>
      <c r="G177">
        <v>0.13883499999999999</v>
      </c>
      <c r="H177">
        <v>0</v>
      </c>
      <c r="I177">
        <v>688364.8</v>
      </c>
      <c r="J177">
        <v>163686.57</v>
      </c>
      <c r="K177">
        <v>0</v>
      </c>
      <c r="L177">
        <v>936314.72</v>
      </c>
      <c r="M177">
        <v>0</v>
      </c>
      <c r="N177">
        <v>253822.53</v>
      </c>
      <c r="O177">
        <v>216978.96</v>
      </c>
      <c r="P177">
        <v>234478.81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108965.93</v>
      </c>
      <c r="W177">
        <v>0</v>
      </c>
      <c r="X177">
        <v>0</v>
      </c>
      <c r="Y177">
        <v>0</v>
      </c>
      <c r="Z177">
        <v>68627.600000000006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446533.38</v>
      </c>
      <c r="AH177">
        <v>0</v>
      </c>
      <c r="AI177">
        <v>0</v>
      </c>
      <c r="AJ177">
        <v>1018096766.7634799</v>
      </c>
    </row>
    <row r="178" spans="1:36" x14ac:dyDescent="0.25">
      <c r="A178" t="s">
        <v>495</v>
      </c>
      <c r="B178" t="s">
        <v>15</v>
      </c>
      <c r="D178">
        <v>19317.240000000002</v>
      </c>
      <c r="E178">
        <v>6766.52</v>
      </c>
      <c r="G178">
        <v>0.10081900000000001</v>
      </c>
      <c r="H178">
        <v>0</v>
      </c>
      <c r="I178">
        <v>366201.86</v>
      </c>
      <c r="J178">
        <v>394508.4</v>
      </c>
      <c r="K178">
        <v>0</v>
      </c>
      <c r="L178">
        <v>436518</v>
      </c>
      <c r="M178">
        <v>0</v>
      </c>
      <c r="N178">
        <v>167384.70000000001</v>
      </c>
      <c r="O178">
        <v>84399.34</v>
      </c>
      <c r="P178">
        <v>85306.14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469234.31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176303.99</v>
      </c>
      <c r="AH178">
        <v>0</v>
      </c>
      <c r="AI178">
        <v>0</v>
      </c>
      <c r="AJ178">
        <v>1310997503.2272999</v>
      </c>
    </row>
    <row r="179" spans="1:36" x14ac:dyDescent="0.25">
      <c r="A179" t="s">
        <v>496</v>
      </c>
      <c r="B179" t="s">
        <v>15</v>
      </c>
      <c r="C179">
        <v>6766.52</v>
      </c>
      <c r="D179">
        <v>19317.240000000002</v>
      </c>
      <c r="G179">
        <v>0.10081900000000001</v>
      </c>
      <c r="H179">
        <v>0</v>
      </c>
      <c r="I179">
        <v>393408.79</v>
      </c>
      <c r="J179">
        <v>394508.4</v>
      </c>
      <c r="K179">
        <v>0</v>
      </c>
      <c r="L179">
        <v>436518</v>
      </c>
      <c r="M179">
        <v>0</v>
      </c>
      <c r="N179">
        <v>167379.79999999999</v>
      </c>
      <c r="O179">
        <v>100488.91</v>
      </c>
      <c r="P179">
        <v>87948.26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469759.26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176303.76</v>
      </c>
      <c r="AH179">
        <v>0</v>
      </c>
      <c r="AI179">
        <v>0</v>
      </c>
      <c r="AJ179">
        <v>1377379106.06054</v>
      </c>
    </row>
    <row r="180" spans="1:36" x14ac:dyDescent="0.25">
      <c r="A180" t="s">
        <v>497</v>
      </c>
      <c r="B180" t="s">
        <v>15</v>
      </c>
      <c r="D180">
        <v>1206.44</v>
      </c>
      <c r="E180">
        <v>422.6</v>
      </c>
      <c r="G180">
        <v>6.2969999999999996E-3</v>
      </c>
      <c r="H180">
        <v>0</v>
      </c>
      <c r="I180">
        <v>7717.15</v>
      </c>
      <c r="J180">
        <v>12134.67</v>
      </c>
      <c r="K180">
        <v>0</v>
      </c>
      <c r="L180">
        <v>29466.65</v>
      </c>
      <c r="M180">
        <v>0</v>
      </c>
      <c r="N180">
        <v>54029.8</v>
      </c>
      <c r="O180">
        <v>2729.08</v>
      </c>
      <c r="P180">
        <v>2669.23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2996.25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4672.74</v>
      </c>
      <c r="AH180">
        <v>0</v>
      </c>
      <c r="AI180">
        <v>0</v>
      </c>
      <c r="AJ180">
        <v>54974195.407887802</v>
      </c>
    </row>
    <row r="181" spans="1:36" x14ac:dyDescent="0.25">
      <c r="A181" t="s">
        <v>498</v>
      </c>
      <c r="B181" t="s">
        <v>15</v>
      </c>
      <c r="C181">
        <v>422.6</v>
      </c>
      <c r="D181">
        <v>1206.44</v>
      </c>
      <c r="G181">
        <v>6.2969999999999996E-3</v>
      </c>
      <c r="H181">
        <v>0</v>
      </c>
      <c r="I181">
        <v>11182.19</v>
      </c>
      <c r="J181">
        <v>12134.67</v>
      </c>
      <c r="K181">
        <v>0</v>
      </c>
      <c r="L181">
        <v>29466.65</v>
      </c>
      <c r="M181">
        <v>0</v>
      </c>
      <c r="N181">
        <v>54029.81</v>
      </c>
      <c r="O181">
        <v>4576.53</v>
      </c>
      <c r="P181">
        <v>3437.32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2996.16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4672.74</v>
      </c>
      <c r="AH181">
        <v>0</v>
      </c>
      <c r="AI181">
        <v>0</v>
      </c>
      <c r="AJ181">
        <v>62983807.344960801</v>
      </c>
    </row>
    <row r="182" spans="1:36" x14ac:dyDescent="0.25">
      <c r="A182" t="s">
        <v>499</v>
      </c>
      <c r="B182" t="s">
        <v>15</v>
      </c>
      <c r="D182">
        <v>19399.3</v>
      </c>
      <c r="E182">
        <v>6795.27</v>
      </c>
      <c r="G182">
        <v>0.101248</v>
      </c>
      <c r="H182">
        <v>0</v>
      </c>
      <c r="I182">
        <v>366243.75</v>
      </c>
      <c r="J182">
        <v>239542.44</v>
      </c>
      <c r="K182">
        <v>0</v>
      </c>
      <c r="L182">
        <v>831153.37</v>
      </c>
      <c r="M182">
        <v>0</v>
      </c>
      <c r="N182">
        <v>168179.48</v>
      </c>
      <c r="O182">
        <v>134121.59</v>
      </c>
      <c r="P182">
        <v>139728.48000000001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209212.57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115365.77</v>
      </c>
      <c r="AH182">
        <v>0</v>
      </c>
      <c r="AI182">
        <v>0</v>
      </c>
      <c r="AJ182">
        <v>1133002441.7284</v>
      </c>
    </row>
    <row r="183" spans="1:36" x14ac:dyDescent="0.25">
      <c r="A183" t="s">
        <v>500</v>
      </c>
      <c r="B183" t="s">
        <v>15</v>
      </c>
      <c r="C183">
        <v>6795.27</v>
      </c>
      <c r="D183">
        <v>19399.3</v>
      </c>
      <c r="G183">
        <v>0.101248</v>
      </c>
      <c r="H183">
        <v>0</v>
      </c>
      <c r="I183">
        <v>474923.22</v>
      </c>
      <c r="J183">
        <v>239542.44</v>
      </c>
      <c r="K183">
        <v>0</v>
      </c>
      <c r="L183">
        <v>831153.37</v>
      </c>
      <c r="M183">
        <v>0</v>
      </c>
      <c r="N183">
        <v>168684.84</v>
      </c>
      <c r="O183">
        <v>164511.45000000001</v>
      </c>
      <c r="P183">
        <v>149063.5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208152.64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115370.66</v>
      </c>
      <c r="AH183">
        <v>0</v>
      </c>
      <c r="AI183">
        <v>0</v>
      </c>
      <c r="AJ183">
        <v>1234305767.03479</v>
      </c>
    </row>
    <row r="184" spans="1:36" x14ac:dyDescent="0.25">
      <c r="A184" t="s">
        <v>501</v>
      </c>
      <c r="B184" t="s">
        <v>15</v>
      </c>
      <c r="D184">
        <v>3378.13</v>
      </c>
      <c r="E184">
        <v>1183.31</v>
      </c>
      <c r="G184">
        <v>1.7631000000000001E-2</v>
      </c>
      <c r="H184">
        <v>0</v>
      </c>
      <c r="I184">
        <v>93838.25</v>
      </c>
      <c r="J184">
        <v>103288.37</v>
      </c>
      <c r="K184">
        <v>0</v>
      </c>
      <c r="L184">
        <v>282049.05</v>
      </c>
      <c r="M184">
        <v>0</v>
      </c>
      <c r="N184">
        <v>65374.57</v>
      </c>
      <c r="O184">
        <v>12140.72</v>
      </c>
      <c r="P184">
        <v>12270.54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75175.929999999993</v>
      </c>
      <c r="W184">
        <v>0</v>
      </c>
      <c r="X184">
        <v>0</v>
      </c>
      <c r="Y184">
        <v>0</v>
      </c>
      <c r="Z184">
        <v>65854.75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125817.16</v>
      </c>
      <c r="AH184">
        <v>0</v>
      </c>
      <c r="AI184">
        <v>0</v>
      </c>
      <c r="AJ184">
        <v>282314415.62586999</v>
      </c>
    </row>
    <row r="185" spans="1:36" x14ac:dyDescent="0.25">
      <c r="A185" t="s">
        <v>502</v>
      </c>
      <c r="B185" t="s">
        <v>15</v>
      </c>
      <c r="C185">
        <v>1183.31</v>
      </c>
      <c r="D185">
        <v>3378.13</v>
      </c>
      <c r="G185">
        <v>1.7631000000000001E-2</v>
      </c>
      <c r="H185">
        <v>0</v>
      </c>
      <c r="I185">
        <v>98450.45</v>
      </c>
      <c r="J185">
        <v>103288.37</v>
      </c>
      <c r="K185">
        <v>0</v>
      </c>
      <c r="L185">
        <v>282049.05</v>
      </c>
      <c r="M185">
        <v>0</v>
      </c>
      <c r="N185">
        <v>65428.97</v>
      </c>
      <c r="O185">
        <v>13486.18</v>
      </c>
      <c r="P185">
        <v>12318.18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75201.73</v>
      </c>
      <c r="W185">
        <v>0</v>
      </c>
      <c r="X185">
        <v>0</v>
      </c>
      <c r="Y185">
        <v>0</v>
      </c>
      <c r="Z185">
        <v>65854.75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125829.6</v>
      </c>
      <c r="AH185">
        <v>0</v>
      </c>
      <c r="AI185">
        <v>0</v>
      </c>
      <c r="AJ185">
        <v>300547478.831644</v>
      </c>
    </row>
    <row r="186" spans="1:36" x14ac:dyDescent="0.25">
      <c r="A186" t="s">
        <v>503</v>
      </c>
      <c r="B186" t="s">
        <v>15</v>
      </c>
      <c r="D186">
        <v>33148.99</v>
      </c>
      <c r="E186">
        <v>11611.56</v>
      </c>
      <c r="G186">
        <v>0.173009</v>
      </c>
      <c r="H186">
        <v>0</v>
      </c>
      <c r="I186">
        <v>670992.52</v>
      </c>
      <c r="J186">
        <v>626942.71</v>
      </c>
      <c r="K186">
        <v>0</v>
      </c>
      <c r="L186">
        <v>1141299.43</v>
      </c>
      <c r="M186">
        <v>0</v>
      </c>
      <c r="N186">
        <v>292060.45</v>
      </c>
      <c r="O186">
        <v>282426.78999999998</v>
      </c>
      <c r="P186">
        <v>290843.08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727484.56</v>
      </c>
      <c r="W186">
        <v>0</v>
      </c>
      <c r="X186">
        <v>0</v>
      </c>
      <c r="Y186">
        <v>0</v>
      </c>
      <c r="Z186">
        <v>43737.51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274247.21000000002</v>
      </c>
      <c r="AH186">
        <v>0</v>
      </c>
      <c r="AI186">
        <v>0</v>
      </c>
      <c r="AJ186">
        <v>1915116813.91974</v>
      </c>
    </row>
    <row r="187" spans="1:36" x14ac:dyDescent="0.25">
      <c r="A187" t="s">
        <v>504</v>
      </c>
      <c r="B187" t="s">
        <v>15</v>
      </c>
      <c r="C187">
        <v>11611.56</v>
      </c>
      <c r="D187">
        <v>33148.99</v>
      </c>
      <c r="G187">
        <v>0.173009</v>
      </c>
      <c r="H187">
        <v>0</v>
      </c>
      <c r="I187">
        <v>831856.78</v>
      </c>
      <c r="J187">
        <v>626942.71</v>
      </c>
      <c r="K187">
        <v>0</v>
      </c>
      <c r="L187">
        <v>1141299.43</v>
      </c>
      <c r="M187">
        <v>0</v>
      </c>
      <c r="N187">
        <v>292475.81</v>
      </c>
      <c r="O187">
        <v>338947.28</v>
      </c>
      <c r="P187">
        <v>303312.69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721607.57</v>
      </c>
      <c r="W187">
        <v>0</v>
      </c>
      <c r="X187">
        <v>0</v>
      </c>
      <c r="Y187">
        <v>0</v>
      </c>
      <c r="Z187">
        <v>43737.51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274265.32</v>
      </c>
      <c r="AH187">
        <v>0</v>
      </c>
      <c r="AI187">
        <v>0</v>
      </c>
      <c r="AJ187">
        <v>1964154800.5350699</v>
      </c>
    </row>
    <row r="188" spans="1:36" x14ac:dyDescent="0.25">
      <c r="A188" t="s">
        <v>505</v>
      </c>
      <c r="B188" t="s">
        <v>15</v>
      </c>
      <c r="D188">
        <v>3930.94</v>
      </c>
      <c r="E188">
        <v>1376.95</v>
      </c>
      <c r="G188">
        <v>2.0516E-2</v>
      </c>
      <c r="H188">
        <v>0</v>
      </c>
      <c r="I188">
        <v>99768.88</v>
      </c>
      <c r="J188">
        <v>94437.9</v>
      </c>
      <c r="K188">
        <v>0</v>
      </c>
      <c r="L188">
        <v>258328.15</v>
      </c>
      <c r="M188">
        <v>0</v>
      </c>
      <c r="N188">
        <v>311887.09999999998</v>
      </c>
      <c r="O188">
        <v>15190.53</v>
      </c>
      <c r="P188">
        <v>16004.27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117837.58</v>
      </c>
      <c r="W188">
        <v>0</v>
      </c>
      <c r="X188">
        <v>0</v>
      </c>
      <c r="Y188">
        <v>0</v>
      </c>
      <c r="Z188">
        <v>64094.3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231751.64</v>
      </c>
      <c r="AH188">
        <v>0</v>
      </c>
      <c r="AI188">
        <v>0</v>
      </c>
      <c r="AJ188">
        <v>461263991.799667</v>
      </c>
    </row>
    <row r="189" spans="1:36" x14ac:dyDescent="0.25">
      <c r="A189" t="s">
        <v>506</v>
      </c>
      <c r="B189" t="s">
        <v>15</v>
      </c>
      <c r="C189">
        <v>18483.740000000002</v>
      </c>
      <c r="D189">
        <v>52767.87</v>
      </c>
      <c r="G189">
        <v>0.27540300000000001</v>
      </c>
      <c r="H189">
        <v>0</v>
      </c>
      <c r="I189">
        <v>1054883.08</v>
      </c>
      <c r="J189">
        <v>643032.05000000005</v>
      </c>
      <c r="K189">
        <v>0</v>
      </c>
      <c r="L189">
        <v>3553012.2</v>
      </c>
      <c r="M189">
        <v>0</v>
      </c>
      <c r="N189">
        <v>861527.5</v>
      </c>
      <c r="O189">
        <v>222187.46</v>
      </c>
      <c r="P189">
        <v>201863.33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512172.63</v>
      </c>
      <c r="W189">
        <v>0</v>
      </c>
      <c r="X189">
        <v>0</v>
      </c>
      <c r="Y189">
        <v>0</v>
      </c>
      <c r="Z189">
        <v>127428.8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736922.58</v>
      </c>
      <c r="AH189">
        <v>0</v>
      </c>
      <c r="AI189">
        <v>0</v>
      </c>
      <c r="AJ189">
        <v>3244715095.2863498</v>
      </c>
    </row>
    <row r="190" spans="1:36" x14ac:dyDescent="0.25">
      <c r="A190" t="s">
        <v>507</v>
      </c>
      <c r="B190" t="s">
        <v>15</v>
      </c>
      <c r="D190">
        <v>25073.7</v>
      </c>
      <c r="E190">
        <v>8782.92</v>
      </c>
      <c r="G190">
        <v>0.13086300000000001</v>
      </c>
      <c r="H190">
        <v>0</v>
      </c>
      <c r="I190">
        <v>362711.16</v>
      </c>
      <c r="J190">
        <v>163686.57</v>
      </c>
      <c r="K190">
        <v>0</v>
      </c>
      <c r="L190">
        <v>936314.72</v>
      </c>
      <c r="M190">
        <v>0</v>
      </c>
      <c r="N190">
        <v>234771.47</v>
      </c>
      <c r="O190">
        <v>170944.38</v>
      </c>
      <c r="P190">
        <v>182799.54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233878.9</v>
      </c>
      <c r="W190">
        <v>0</v>
      </c>
      <c r="X190">
        <v>0</v>
      </c>
      <c r="Y190">
        <v>0</v>
      </c>
      <c r="Z190">
        <v>68627.600000000006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484969.44</v>
      </c>
      <c r="AH190">
        <v>0</v>
      </c>
      <c r="AI190">
        <v>0</v>
      </c>
      <c r="AJ190">
        <v>1001376452.51265</v>
      </c>
    </row>
    <row r="191" spans="1:36" x14ac:dyDescent="0.25">
      <c r="A191" t="s">
        <v>508</v>
      </c>
      <c r="B191" t="s">
        <v>15</v>
      </c>
      <c r="D191">
        <v>52767.87</v>
      </c>
      <c r="E191">
        <v>18483.740000000002</v>
      </c>
      <c r="G191">
        <v>0.27540300000000001</v>
      </c>
      <c r="H191">
        <v>0</v>
      </c>
      <c r="I191">
        <v>961691.89</v>
      </c>
      <c r="J191">
        <v>643032.05000000005</v>
      </c>
      <c r="K191">
        <v>0</v>
      </c>
      <c r="L191">
        <v>3553012.2</v>
      </c>
      <c r="M191">
        <v>0</v>
      </c>
      <c r="N191">
        <v>861318.26</v>
      </c>
      <c r="O191">
        <v>193177.01</v>
      </c>
      <c r="P191">
        <v>200289.54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511447.29</v>
      </c>
      <c r="W191">
        <v>0</v>
      </c>
      <c r="X191">
        <v>0</v>
      </c>
      <c r="Y191">
        <v>0</v>
      </c>
      <c r="Z191">
        <v>127428.8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736918.55</v>
      </c>
      <c r="AH191">
        <v>0</v>
      </c>
      <c r="AI191">
        <v>0</v>
      </c>
      <c r="AJ191">
        <v>3032915251.0020099</v>
      </c>
    </row>
    <row r="192" spans="1:36" x14ac:dyDescent="0.25">
      <c r="A192" t="s">
        <v>509</v>
      </c>
      <c r="B192" t="s">
        <v>15</v>
      </c>
      <c r="C192">
        <v>1376.95</v>
      </c>
      <c r="D192">
        <v>3930.94</v>
      </c>
      <c r="G192">
        <v>2.0516E-2</v>
      </c>
      <c r="H192">
        <v>0</v>
      </c>
      <c r="I192">
        <v>110587.85</v>
      </c>
      <c r="J192">
        <v>94437.9</v>
      </c>
      <c r="K192">
        <v>0</v>
      </c>
      <c r="L192">
        <v>258328.15</v>
      </c>
      <c r="M192">
        <v>0</v>
      </c>
      <c r="N192">
        <v>312050.78000000003</v>
      </c>
      <c r="O192">
        <v>17405.419999999998</v>
      </c>
      <c r="P192">
        <v>16090.82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117503.35</v>
      </c>
      <c r="W192">
        <v>0</v>
      </c>
      <c r="X192">
        <v>0</v>
      </c>
      <c r="Y192">
        <v>0</v>
      </c>
      <c r="Z192">
        <v>64094.3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231749.16</v>
      </c>
      <c r="AH192">
        <v>0</v>
      </c>
      <c r="AI192">
        <v>0</v>
      </c>
      <c r="AJ192">
        <v>484913301.87108201</v>
      </c>
    </row>
    <row r="193" spans="1:36" x14ac:dyDescent="0.25">
      <c r="A193" t="s">
        <v>510</v>
      </c>
      <c r="B193" t="s">
        <v>15</v>
      </c>
      <c r="C193">
        <v>8782.92</v>
      </c>
      <c r="D193">
        <v>25073.7</v>
      </c>
      <c r="G193">
        <v>0.13086300000000001</v>
      </c>
      <c r="H193">
        <v>0</v>
      </c>
      <c r="I193">
        <v>567646.07999999996</v>
      </c>
      <c r="J193">
        <v>163686.57</v>
      </c>
      <c r="K193">
        <v>0</v>
      </c>
      <c r="L193">
        <v>936314.72</v>
      </c>
      <c r="M193">
        <v>0</v>
      </c>
      <c r="N193">
        <v>235327.49</v>
      </c>
      <c r="O193">
        <v>203203.75</v>
      </c>
      <c r="P193">
        <v>187596.96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234354.88</v>
      </c>
      <c r="W193">
        <v>0</v>
      </c>
      <c r="X193">
        <v>0</v>
      </c>
      <c r="Y193">
        <v>0</v>
      </c>
      <c r="Z193">
        <v>68627.600000000006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484950.86</v>
      </c>
      <c r="AH193">
        <v>0</v>
      </c>
      <c r="AI193">
        <v>0</v>
      </c>
      <c r="AJ193">
        <v>1136625605.9862199</v>
      </c>
    </row>
    <row r="194" spans="1:36" x14ac:dyDescent="0.25">
      <c r="A194" t="s">
        <v>511</v>
      </c>
      <c r="B194" t="s">
        <v>14</v>
      </c>
      <c r="C194">
        <v>7937.29</v>
      </c>
      <c r="D194">
        <v>22659.57</v>
      </c>
      <c r="G194">
        <v>0.11826299999999999</v>
      </c>
      <c r="H194">
        <v>0</v>
      </c>
      <c r="I194">
        <v>583761.06999999995</v>
      </c>
      <c r="J194">
        <v>394508.4</v>
      </c>
      <c r="K194">
        <v>0</v>
      </c>
      <c r="L194">
        <v>436518</v>
      </c>
      <c r="M194">
        <v>0</v>
      </c>
      <c r="N194">
        <v>207884.91</v>
      </c>
      <c r="O194">
        <v>117841.83</v>
      </c>
      <c r="P194">
        <v>106086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579481.44999999995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170237.69</v>
      </c>
      <c r="AH194">
        <v>0</v>
      </c>
      <c r="AI194">
        <v>0</v>
      </c>
      <c r="AJ194">
        <v>2075391600.6591301</v>
      </c>
    </row>
    <row r="195" spans="1:36" x14ac:dyDescent="0.25">
      <c r="A195" t="s">
        <v>512</v>
      </c>
      <c r="B195" t="s">
        <v>14</v>
      </c>
      <c r="D195">
        <v>22659.57</v>
      </c>
      <c r="E195">
        <v>7937.29</v>
      </c>
      <c r="G195">
        <v>0.11826299999999999</v>
      </c>
      <c r="H195">
        <v>0</v>
      </c>
      <c r="I195">
        <v>512008.73</v>
      </c>
      <c r="J195">
        <v>394508.4</v>
      </c>
      <c r="K195">
        <v>0</v>
      </c>
      <c r="L195">
        <v>436518</v>
      </c>
      <c r="M195">
        <v>0</v>
      </c>
      <c r="N195">
        <v>207663.17</v>
      </c>
      <c r="O195">
        <v>100348.35</v>
      </c>
      <c r="P195">
        <v>102616.69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578086.86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170237.53</v>
      </c>
      <c r="AH195">
        <v>0</v>
      </c>
      <c r="AI195">
        <v>0</v>
      </c>
      <c r="AJ195">
        <v>1980456920.8998101</v>
      </c>
    </row>
    <row r="196" spans="1:36" x14ac:dyDescent="0.25">
      <c r="A196" t="s">
        <v>513</v>
      </c>
      <c r="B196" t="s">
        <v>14</v>
      </c>
      <c r="D196">
        <v>1349.53</v>
      </c>
      <c r="E196">
        <v>472.72</v>
      </c>
      <c r="G196">
        <v>7.0429999999999998E-3</v>
      </c>
      <c r="H196">
        <v>0</v>
      </c>
      <c r="I196">
        <v>13560.63</v>
      </c>
      <c r="J196">
        <v>12134.67</v>
      </c>
      <c r="K196">
        <v>0</v>
      </c>
      <c r="L196">
        <v>29466.65</v>
      </c>
      <c r="M196">
        <v>0</v>
      </c>
      <c r="N196">
        <v>56910.03</v>
      </c>
      <c r="O196">
        <v>3620.56</v>
      </c>
      <c r="P196">
        <v>3714.18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2349.17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4532.5600000000004</v>
      </c>
      <c r="AH196">
        <v>0</v>
      </c>
      <c r="AI196">
        <v>0</v>
      </c>
      <c r="AJ196">
        <v>86671101.702216893</v>
      </c>
    </row>
    <row r="197" spans="1:36" x14ac:dyDescent="0.25">
      <c r="A197" t="s">
        <v>514</v>
      </c>
      <c r="B197" t="s">
        <v>14</v>
      </c>
      <c r="C197">
        <v>472.72</v>
      </c>
      <c r="D197">
        <v>1349.53</v>
      </c>
      <c r="G197">
        <v>7.0429999999999998E-3</v>
      </c>
      <c r="H197">
        <v>0</v>
      </c>
      <c r="I197">
        <v>21339.93</v>
      </c>
      <c r="J197">
        <v>12134.67</v>
      </c>
      <c r="K197">
        <v>0</v>
      </c>
      <c r="L197">
        <v>29466.65</v>
      </c>
      <c r="M197">
        <v>0</v>
      </c>
      <c r="N197">
        <v>56909.98</v>
      </c>
      <c r="O197">
        <v>5634.07</v>
      </c>
      <c r="P197">
        <v>4463.28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2349.17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4532.5600000000004</v>
      </c>
      <c r="AH197">
        <v>0</v>
      </c>
      <c r="AI197">
        <v>0</v>
      </c>
      <c r="AJ197">
        <v>102787242.13045999</v>
      </c>
    </row>
    <row r="198" spans="1:36" x14ac:dyDescent="0.25">
      <c r="A198" t="s">
        <v>515</v>
      </c>
      <c r="B198" t="s">
        <v>14</v>
      </c>
      <c r="D198">
        <v>21701.23</v>
      </c>
      <c r="E198">
        <v>7601.6</v>
      </c>
      <c r="G198">
        <v>0.113262</v>
      </c>
      <c r="H198">
        <v>0</v>
      </c>
      <c r="I198">
        <v>537564.18000000005</v>
      </c>
      <c r="J198">
        <v>239542.44</v>
      </c>
      <c r="K198">
        <v>0</v>
      </c>
      <c r="L198">
        <v>831153.37</v>
      </c>
      <c r="M198">
        <v>0</v>
      </c>
      <c r="N198">
        <v>192351.13</v>
      </c>
      <c r="O198">
        <v>155148.75</v>
      </c>
      <c r="P198">
        <v>164283.81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288976.68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111402.07</v>
      </c>
      <c r="AH198">
        <v>0</v>
      </c>
      <c r="AI198">
        <v>0</v>
      </c>
      <c r="AJ198">
        <v>1485346893.5016301</v>
      </c>
    </row>
    <row r="199" spans="1:36" x14ac:dyDescent="0.25">
      <c r="A199" t="s">
        <v>516</v>
      </c>
      <c r="B199" t="s">
        <v>14</v>
      </c>
      <c r="C199">
        <v>7601.6</v>
      </c>
      <c r="D199">
        <v>21701.23</v>
      </c>
      <c r="G199">
        <v>0.113262</v>
      </c>
      <c r="H199">
        <v>0</v>
      </c>
      <c r="I199">
        <v>675578.36</v>
      </c>
      <c r="J199">
        <v>239542.44</v>
      </c>
      <c r="K199">
        <v>0</v>
      </c>
      <c r="L199">
        <v>831153.37</v>
      </c>
      <c r="M199">
        <v>0</v>
      </c>
      <c r="N199">
        <v>192452.04</v>
      </c>
      <c r="O199">
        <v>186021.87</v>
      </c>
      <c r="P199">
        <v>172062.87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286274.55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111398.72</v>
      </c>
      <c r="AH199">
        <v>0</v>
      </c>
      <c r="AI199">
        <v>0</v>
      </c>
      <c r="AJ199">
        <v>1743661569.73316</v>
      </c>
    </row>
    <row r="200" spans="1:36" x14ac:dyDescent="0.25">
      <c r="A200" t="s">
        <v>517</v>
      </c>
      <c r="B200" t="s">
        <v>14</v>
      </c>
      <c r="D200">
        <v>3837.58</v>
      </c>
      <c r="E200">
        <v>1344.24</v>
      </c>
      <c r="G200">
        <v>2.0029000000000002E-2</v>
      </c>
      <c r="H200">
        <v>0</v>
      </c>
      <c r="I200">
        <v>125054.12</v>
      </c>
      <c r="J200">
        <v>103288.37</v>
      </c>
      <c r="K200">
        <v>0</v>
      </c>
      <c r="L200">
        <v>282049.05</v>
      </c>
      <c r="M200">
        <v>0</v>
      </c>
      <c r="N200">
        <v>74880.34</v>
      </c>
      <c r="O200">
        <v>15382.56</v>
      </c>
      <c r="P200">
        <v>15764.65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71941.37</v>
      </c>
      <c r="W200">
        <v>0</v>
      </c>
      <c r="X200">
        <v>0</v>
      </c>
      <c r="Y200">
        <v>0</v>
      </c>
      <c r="Z200">
        <v>65854.75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121497.76</v>
      </c>
      <c r="AH200">
        <v>0</v>
      </c>
      <c r="AI200">
        <v>0</v>
      </c>
      <c r="AJ200">
        <v>416904497.117594</v>
      </c>
    </row>
    <row r="201" spans="1:36" x14ac:dyDescent="0.25">
      <c r="A201" t="s">
        <v>518</v>
      </c>
      <c r="B201" t="s">
        <v>14</v>
      </c>
      <c r="C201">
        <v>1344.24</v>
      </c>
      <c r="D201">
        <v>3837.58</v>
      </c>
      <c r="G201">
        <v>2.0029000000000002E-2</v>
      </c>
      <c r="H201">
        <v>0</v>
      </c>
      <c r="I201">
        <v>140389.98000000001</v>
      </c>
      <c r="J201">
        <v>103288.37</v>
      </c>
      <c r="K201">
        <v>0</v>
      </c>
      <c r="L201">
        <v>282049.05</v>
      </c>
      <c r="M201">
        <v>0</v>
      </c>
      <c r="N201">
        <v>74878.39</v>
      </c>
      <c r="O201">
        <v>17105.34</v>
      </c>
      <c r="P201">
        <v>15809.27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71959.820000000007</v>
      </c>
      <c r="W201">
        <v>0</v>
      </c>
      <c r="X201">
        <v>0</v>
      </c>
      <c r="Y201">
        <v>0</v>
      </c>
      <c r="Z201">
        <v>65854.75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121495.08</v>
      </c>
      <c r="AH201">
        <v>0</v>
      </c>
      <c r="AI201">
        <v>0</v>
      </c>
      <c r="AJ201">
        <v>443685321.16514999</v>
      </c>
    </row>
    <row r="202" spans="1:36" x14ac:dyDescent="0.25">
      <c r="A202" t="s">
        <v>519</v>
      </c>
      <c r="B202" t="s">
        <v>14</v>
      </c>
      <c r="D202">
        <v>4621.07</v>
      </c>
      <c r="E202">
        <v>1618.69</v>
      </c>
      <c r="G202">
        <v>2.4118000000000001E-2</v>
      </c>
      <c r="H202">
        <v>0</v>
      </c>
      <c r="I202">
        <v>149966.82</v>
      </c>
      <c r="J202">
        <v>94437.9</v>
      </c>
      <c r="K202">
        <v>0</v>
      </c>
      <c r="L202">
        <v>258328.15</v>
      </c>
      <c r="M202">
        <v>0</v>
      </c>
      <c r="N202">
        <v>333148.19</v>
      </c>
      <c r="O202">
        <v>18827.509999999998</v>
      </c>
      <c r="P202">
        <v>20089.84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119778.56</v>
      </c>
      <c r="W202">
        <v>0</v>
      </c>
      <c r="X202">
        <v>0</v>
      </c>
      <c r="Y202">
        <v>0</v>
      </c>
      <c r="Z202">
        <v>64094.3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223735.46</v>
      </c>
      <c r="AH202">
        <v>0</v>
      </c>
      <c r="AI202">
        <v>0</v>
      </c>
      <c r="AJ202">
        <v>757143144.57918894</v>
      </c>
    </row>
    <row r="203" spans="1:36" x14ac:dyDescent="0.25">
      <c r="A203" t="s">
        <v>520</v>
      </c>
      <c r="B203" t="s">
        <v>14</v>
      </c>
      <c r="D203">
        <v>37305.379999999997</v>
      </c>
      <c r="E203">
        <v>13067.48</v>
      </c>
      <c r="G203">
        <v>0.19470199999999999</v>
      </c>
      <c r="H203">
        <v>0</v>
      </c>
      <c r="I203">
        <v>970955.69</v>
      </c>
      <c r="J203">
        <v>626942.71</v>
      </c>
      <c r="K203">
        <v>0</v>
      </c>
      <c r="L203">
        <v>1141299.43</v>
      </c>
      <c r="M203">
        <v>0</v>
      </c>
      <c r="N203">
        <v>356921.38</v>
      </c>
      <c r="O203">
        <v>322956.28000000003</v>
      </c>
      <c r="P203">
        <v>338359.79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899599.31</v>
      </c>
      <c r="W203">
        <v>0</v>
      </c>
      <c r="X203">
        <v>0</v>
      </c>
      <c r="Y203">
        <v>0</v>
      </c>
      <c r="Z203">
        <v>43737.51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264811.12</v>
      </c>
      <c r="AH203">
        <v>0</v>
      </c>
      <c r="AI203">
        <v>0</v>
      </c>
      <c r="AJ203">
        <v>2809295009.7630301</v>
      </c>
    </row>
    <row r="204" spans="1:36" x14ac:dyDescent="0.25">
      <c r="A204" t="s">
        <v>521</v>
      </c>
      <c r="B204" t="s">
        <v>14</v>
      </c>
      <c r="C204">
        <v>13067.48</v>
      </c>
      <c r="D204">
        <v>37305.379999999997</v>
      </c>
      <c r="G204">
        <v>0.19470199999999999</v>
      </c>
      <c r="H204">
        <v>0</v>
      </c>
      <c r="I204">
        <v>1172809.26</v>
      </c>
      <c r="J204">
        <v>626942.71</v>
      </c>
      <c r="K204">
        <v>0</v>
      </c>
      <c r="L204">
        <v>1141299.43</v>
      </c>
      <c r="M204">
        <v>0</v>
      </c>
      <c r="N204">
        <v>357697.54</v>
      </c>
      <c r="O204">
        <v>384209.78</v>
      </c>
      <c r="P204">
        <v>351777.19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894297.16</v>
      </c>
      <c r="W204">
        <v>0</v>
      </c>
      <c r="X204">
        <v>0</v>
      </c>
      <c r="Y204">
        <v>0</v>
      </c>
      <c r="Z204">
        <v>43737.51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264794.14</v>
      </c>
      <c r="AH204">
        <v>0</v>
      </c>
      <c r="AI204">
        <v>0</v>
      </c>
      <c r="AJ204">
        <v>2908486961.9923501</v>
      </c>
    </row>
    <row r="205" spans="1:36" x14ac:dyDescent="0.25">
      <c r="A205" t="s">
        <v>522</v>
      </c>
      <c r="B205" t="s">
        <v>14</v>
      </c>
      <c r="D205">
        <v>59272.37</v>
      </c>
      <c r="E205">
        <v>20762.169999999998</v>
      </c>
      <c r="G205">
        <v>0.30935099999999999</v>
      </c>
      <c r="H205">
        <v>0</v>
      </c>
      <c r="I205">
        <v>1353239.19</v>
      </c>
      <c r="J205">
        <v>643032.05000000005</v>
      </c>
      <c r="K205">
        <v>0</v>
      </c>
      <c r="L205">
        <v>3553012.2</v>
      </c>
      <c r="M205">
        <v>0</v>
      </c>
      <c r="N205">
        <v>945231.48</v>
      </c>
      <c r="O205">
        <v>238636.45</v>
      </c>
      <c r="P205">
        <v>252096.1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649764.15</v>
      </c>
      <c r="W205">
        <v>0</v>
      </c>
      <c r="X205">
        <v>0</v>
      </c>
      <c r="Y205">
        <v>0</v>
      </c>
      <c r="Z205">
        <v>127428.8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711126.93</v>
      </c>
      <c r="AH205">
        <v>0</v>
      </c>
      <c r="AI205">
        <v>0</v>
      </c>
      <c r="AJ205">
        <v>5810176334.65205</v>
      </c>
    </row>
    <row r="206" spans="1:36" x14ac:dyDescent="0.25">
      <c r="A206" t="s">
        <v>523</v>
      </c>
      <c r="B206" t="s">
        <v>14</v>
      </c>
      <c r="C206">
        <v>1618.69</v>
      </c>
      <c r="D206">
        <v>4621.07</v>
      </c>
      <c r="G206">
        <v>2.4118000000000001E-2</v>
      </c>
      <c r="H206">
        <v>0</v>
      </c>
      <c r="I206">
        <v>173275.65</v>
      </c>
      <c r="J206">
        <v>94437.9</v>
      </c>
      <c r="K206">
        <v>0</v>
      </c>
      <c r="L206">
        <v>258328.15</v>
      </c>
      <c r="M206">
        <v>0</v>
      </c>
      <c r="N206">
        <v>333124.14</v>
      </c>
      <c r="O206">
        <v>21825.41</v>
      </c>
      <c r="P206">
        <v>20269.98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119681.59</v>
      </c>
      <c r="W206">
        <v>0</v>
      </c>
      <c r="X206">
        <v>0</v>
      </c>
      <c r="Y206">
        <v>0</v>
      </c>
      <c r="Z206">
        <v>64094.3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223734.88</v>
      </c>
      <c r="AH206">
        <v>0</v>
      </c>
      <c r="AI206">
        <v>0</v>
      </c>
      <c r="AJ206">
        <v>810166832.01511002</v>
      </c>
    </row>
    <row r="207" spans="1:36" x14ac:dyDescent="0.25">
      <c r="A207" t="s">
        <v>524</v>
      </c>
      <c r="B207" t="s">
        <v>14</v>
      </c>
      <c r="C207">
        <v>20762.169999999998</v>
      </c>
      <c r="D207">
        <v>59272.37</v>
      </c>
      <c r="G207">
        <v>0.30935099999999999</v>
      </c>
      <c r="H207">
        <v>0</v>
      </c>
      <c r="I207">
        <v>1585149.43</v>
      </c>
      <c r="J207">
        <v>643032.05000000005</v>
      </c>
      <c r="K207">
        <v>0</v>
      </c>
      <c r="L207">
        <v>3553012.2</v>
      </c>
      <c r="M207">
        <v>0</v>
      </c>
      <c r="N207">
        <v>945097.74</v>
      </c>
      <c r="O207">
        <v>274781.03000000003</v>
      </c>
      <c r="P207">
        <v>253729.29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651151.22</v>
      </c>
      <c r="W207">
        <v>0</v>
      </c>
      <c r="X207">
        <v>0</v>
      </c>
      <c r="Y207">
        <v>0</v>
      </c>
      <c r="Z207">
        <v>127428.8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711030.46</v>
      </c>
      <c r="AH207">
        <v>0</v>
      </c>
      <c r="AI207">
        <v>0</v>
      </c>
      <c r="AJ207">
        <v>6187944841.0809498</v>
      </c>
    </row>
    <row r="208" spans="1:36" x14ac:dyDescent="0.25">
      <c r="A208" t="s">
        <v>525</v>
      </c>
      <c r="B208" t="s">
        <v>14</v>
      </c>
      <c r="D208">
        <v>29337.02</v>
      </c>
      <c r="E208">
        <v>10276.290000000001</v>
      </c>
      <c r="G208">
        <v>0.153114</v>
      </c>
      <c r="H208">
        <v>0</v>
      </c>
      <c r="I208">
        <v>515721.89</v>
      </c>
      <c r="J208">
        <v>163686.57</v>
      </c>
      <c r="K208">
        <v>0</v>
      </c>
      <c r="L208">
        <v>936314.72</v>
      </c>
      <c r="M208">
        <v>0</v>
      </c>
      <c r="N208">
        <v>266872.49</v>
      </c>
      <c r="O208">
        <v>202349.6</v>
      </c>
      <c r="P208">
        <v>218206.78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271476.44</v>
      </c>
      <c r="W208">
        <v>0</v>
      </c>
      <c r="X208">
        <v>0</v>
      </c>
      <c r="Y208">
        <v>0</v>
      </c>
      <c r="Z208">
        <v>68627.600000000006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467625.91</v>
      </c>
      <c r="AH208">
        <v>0</v>
      </c>
      <c r="AI208">
        <v>0</v>
      </c>
      <c r="AJ208">
        <v>2012462045.6386499</v>
      </c>
    </row>
    <row r="209" spans="1:36" x14ac:dyDescent="0.25">
      <c r="A209" t="s">
        <v>526</v>
      </c>
      <c r="B209" t="s">
        <v>14</v>
      </c>
      <c r="C209">
        <v>10276.290000000001</v>
      </c>
      <c r="D209">
        <v>29337.02</v>
      </c>
      <c r="G209">
        <v>0.153114</v>
      </c>
      <c r="H209">
        <v>0</v>
      </c>
      <c r="I209">
        <v>828184.47</v>
      </c>
      <c r="J209">
        <v>163686.57</v>
      </c>
      <c r="K209">
        <v>0</v>
      </c>
      <c r="L209">
        <v>936314.72</v>
      </c>
      <c r="M209">
        <v>0</v>
      </c>
      <c r="N209">
        <v>267067.25</v>
      </c>
      <c r="O209">
        <v>239615.29</v>
      </c>
      <c r="P209">
        <v>223084.09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273205.90999999997</v>
      </c>
      <c r="W209">
        <v>0</v>
      </c>
      <c r="X209">
        <v>0</v>
      </c>
      <c r="Y209">
        <v>0</v>
      </c>
      <c r="Z209">
        <v>68627.600000000006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467629.04</v>
      </c>
      <c r="AH209">
        <v>0</v>
      </c>
      <c r="AI209">
        <v>0</v>
      </c>
      <c r="AJ209">
        <v>2212359865.7895098</v>
      </c>
    </row>
    <row r="210" spans="1:36" x14ac:dyDescent="0.25">
      <c r="A210" t="s">
        <v>527</v>
      </c>
      <c r="B210" t="s">
        <v>13</v>
      </c>
      <c r="D210">
        <v>20587.900000000001</v>
      </c>
      <c r="E210">
        <v>7211.61</v>
      </c>
      <c r="G210">
        <v>0.107451</v>
      </c>
      <c r="H210">
        <v>0</v>
      </c>
      <c r="I210">
        <v>302602.57</v>
      </c>
      <c r="J210">
        <v>394508.4</v>
      </c>
      <c r="K210">
        <v>0</v>
      </c>
      <c r="L210">
        <v>436518</v>
      </c>
      <c r="M210">
        <v>0</v>
      </c>
      <c r="N210">
        <v>165120.98000000001</v>
      </c>
      <c r="O210">
        <v>79245.5</v>
      </c>
      <c r="P210">
        <v>82473.919999999998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475923.25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176286.64</v>
      </c>
      <c r="AH210">
        <v>0</v>
      </c>
      <c r="AI210">
        <v>0</v>
      </c>
      <c r="AJ210">
        <v>1708119088.8724899</v>
      </c>
    </row>
    <row r="211" spans="1:36" x14ac:dyDescent="0.25">
      <c r="A211" t="s">
        <v>528</v>
      </c>
      <c r="B211" t="s">
        <v>13</v>
      </c>
      <c r="C211">
        <v>7211.61</v>
      </c>
      <c r="D211">
        <v>20587.900000000001</v>
      </c>
      <c r="G211">
        <v>0.107451</v>
      </c>
      <c r="H211">
        <v>0</v>
      </c>
      <c r="I211">
        <v>336744.24</v>
      </c>
      <c r="J211">
        <v>394508.4</v>
      </c>
      <c r="K211">
        <v>0</v>
      </c>
      <c r="L211">
        <v>436518</v>
      </c>
      <c r="M211">
        <v>0</v>
      </c>
      <c r="N211">
        <v>165118.93</v>
      </c>
      <c r="O211">
        <v>95243.73</v>
      </c>
      <c r="P211">
        <v>85350.58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476332.28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176286.24</v>
      </c>
      <c r="AH211">
        <v>0</v>
      </c>
      <c r="AI211">
        <v>0</v>
      </c>
      <c r="AJ211">
        <v>1764914568.9592299</v>
      </c>
    </row>
    <row r="212" spans="1:36" x14ac:dyDescent="0.25">
      <c r="A212" t="s">
        <v>529</v>
      </c>
      <c r="B212" t="s">
        <v>13</v>
      </c>
      <c r="D212">
        <v>1300.9000000000001</v>
      </c>
      <c r="E212">
        <v>455.68</v>
      </c>
      <c r="G212">
        <v>6.79E-3</v>
      </c>
      <c r="H212">
        <v>0</v>
      </c>
      <c r="I212">
        <v>5955.52</v>
      </c>
      <c r="J212">
        <v>12134.67</v>
      </c>
      <c r="K212">
        <v>0</v>
      </c>
      <c r="L212">
        <v>29466.65</v>
      </c>
      <c r="M212">
        <v>0</v>
      </c>
      <c r="N212">
        <v>55412.959999999999</v>
      </c>
      <c r="O212">
        <v>2642.21</v>
      </c>
      <c r="P212">
        <v>2578.13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3632.97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4672.42</v>
      </c>
      <c r="AH212">
        <v>0</v>
      </c>
      <c r="AI212">
        <v>0</v>
      </c>
      <c r="AJ212">
        <v>69535291.864686206</v>
      </c>
    </row>
    <row r="213" spans="1:36" x14ac:dyDescent="0.25">
      <c r="A213" t="s">
        <v>530</v>
      </c>
      <c r="B213" t="s">
        <v>13</v>
      </c>
      <c r="C213">
        <v>455.68</v>
      </c>
      <c r="D213">
        <v>1300.9000000000001</v>
      </c>
      <c r="G213">
        <v>6.79E-3</v>
      </c>
      <c r="H213">
        <v>0</v>
      </c>
      <c r="I213">
        <v>8804.49</v>
      </c>
      <c r="J213">
        <v>12134.67</v>
      </c>
      <c r="K213">
        <v>0</v>
      </c>
      <c r="L213">
        <v>29466.65</v>
      </c>
      <c r="M213">
        <v>0</v>
      </c>
      <c r="N213">
        <v>55412.959999999999</v>
      </c>
      <c r="O213">
        <v>4579.8</v>
      </c>
      <c r="P213">
        <v>3501.93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3632.97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4672.42</v>
      </c>
      <c r="AH213">
        <v>0</v>
      </c>
      <c r="AI213">
        <v>0</v>
      </c>
      <c r="AJ213">
        <v>84199169.789887995</v>
      </c>
    </row>
    <row r="214" spans="1:36" x14ac:dyDescent="0.25">
      <c r="A214" t="s">
        <v>531</v>
      </c>
      <c r="B214" t="s">
        <v>13</v>
      </c>
      <c r="D214">
        <v>20469.16</v>
      </c>
      <c r="E214">
        <v>7170.02</v>
      </c>
      <c r="G214">
        <v>0.106831</v>
      </c>
      <c r="H214">
        <v>0</v>
      </c>
      <c r="I214">
        <v>327009.96999999997</v>
      </c>
      <c r="J214">
        <v>239542.44</v>
      </c>
      <c r="K214">
        <v>0</v>
      </c>
      <c r="L214">
        <v>831153.37</v>
      </c>
      <c r="M214">
        <v>0</v>
      </c>
      <c r="N214">
        <v>151340.01</v>
      </c>
      <c r="O214">
        <v>140438.01</v>
      </c>
      <c r="P214">
        <v>150234.94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219030.45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115357.41</v>
      </c>
      <c r="AH214">
        <v>0</v>
      </c>
      <c r="AI214">
        <v>0</v>
      </c>
      <c r="AJ214">
        <v>1391981805.28988</v>
      </c>
    </row>
    <row r="215" spans="1:36" x14ac:dyDescent="0.25">
      <c r="A215" t="s">
        <v>532</v>
      </c>
      <c r="B215" t="s">
        <v>13</v>
      </c>
      <c r="C215">
        <v>7170.02</v>
      </c>
      <c r="D215">
        <v>20469.16</v>
      </c>
      <c r="G215">
        <v>0.106831</v>
      </c>
      <c r="H215">
        <v>0</v>
      </c>
      <c r="I215">
        <v>452065.65</v>
      </c>
      <c r="J215">
        <v>239542.44</v>
      </c>
      <c r="K215">
        <v>0</v>
      </c>
      <c r="L215">
        <v>831153.37</v>
      </c>
      <c r="M215">
        <v>0</v>
      </c>
      <c r="N215">
        <v>151697.17000000001</v>
      </c>
      <c r="O215">
        <v>173655.57</v>
      </c>
      <c r="P215">
        <v>160228.87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218343.51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115355.4</v>
      </c>
      <c r="AH215">
        <v>0</v>
      </c>
      <c r="AI215">
        <v>0</v>
      </c>
      <c r="AJ215">
        <v>1558475626.5818801</v>
      </c>
    </row>
    <row r="216" spans="1:36" x14ac:dyDescent="0.25">
      <c r="A216" t="s">
        <v>533</v>
      </c>
      <c r="B216" t="s">
        <v>13</v>
      </c>
      <c r="D216">
        <v>3647.44</v>
      </c>
      <c r="E216">
        <v>1277.6400000000001</v>
      </c>
      <c r="G216">
        <v>1.9036000000000001E-2</v>
      </c>
      <c r="H216">
        <v>0</v>
      </c>
      <c r="I216">
        <v>83494.960000000006</v>
      </c>
      <c r="J216">
        <v>103288.37</v>
      </c>
      <c r="K216">
        <v>0</v>
      </c>
      <c r="L216">
        <v>282049.05</v>
      </c>
      <c r="M216">
        <v>0</v>
      </c>
      <c r="N216">
        <v>61157.03</v>
      </c>
      <c r="O216">
        <v>12605.72</v>
      </c>
      <c r="P216">
        <v>12922.83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70651.59</v>
      </c>
      <c r="W216">
        <v>0</v>
      </c>
      <c r="X216">
        <v>0</v>
      </c>
      <c r="Y216">
        <v>0</v>
      </c>
      <c r="Z216">
        <v>65854.75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125812.93</v>
      </c>
      <c r="AH216">
        <v>0</v>
      </c>
      <c r="AI216">
        <v>0</v>
      </c>
      <c r="AJ216">
        <v>347092233.47907901</v>
      </c>
    </row>
    <row r="217" spans="1:36" x14ac:dyDescent="0.25">
      <c r="A217" t="s">
        <v>534</v>
      </c>
      <c r="B217" t="s">
        <v>13</v>
      </c>
      <c r="C217">
        <v>1277.6400000000001</v>
      </c>
      <c r="D217">
        <v>3647.44</v>
      </c>
      <c r="G217">
        <v>1.9036000000000001E-2</v>
      </c>
      <c r="H217">
        <v>0</v>
      </c>
      <c r="I217">
        <v>89576.99</v>
      </c>
      <c r="J217">
        <v>103288.37</v>
      </c>
      <c r="K217">
        <v>0</v>
      </c>
      <c r="L217">
        <v>282049.05</v>
      </c>
      <c r="M217">
        <v>0</v>
      </c>
      <c r="N217">
        <v>61202.89</v>
      </c>
      <c r="O217">
        <v>14069.01</v>
      </c>
      <c r="P217">
        <v>12971.41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70728.5</v>
      </c>
      <c r="W217">
        <v>0</v>
      </c>
      <c r="X217">
        <v>0</v>
      </c>
      <c r="Y217">
        <v>0</v>
      </c>
      <c r="Z217">
        <v>65854.75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125808.94</v>
      </c>
      <c r="AH217">
        <v>0</v>
      </c>
      <c r="AI217">
        <v>0</v>
      </c>
      <c r="AJ217">
        <v>374146781.41604799</v>
      </c>
    </row>
    <row r="218" spans="1:36" x14ac:dyDescent="0.25">
      <c r="A218" t="s">
        <v>535</v>
      </c>
      <c r="B218" t="s">
        <v>13</v>
      </c>
      <c r="D218">
        <v>34658.36</v>
      </c>
      <c r="E218">
        <v>12140.27</v>
      </c>
      <c r="G218">
        <v>0.18088699999999999</v>
      </c>
      <c r="H218">
        <v>0</v>
      </c>
      <c r="I218">
        <v>577027.05000000005</v>
      </c>
      <c r="J218">
        <v>626942.71</v>
      </c>
      <c r="K218">
        <v>0</v>
      </c>
      <c r="L218">
        <v>1141299.43</v>
      </c>
      <c r="M218">
        <v>0</v>
      </c>
      <c r="N218">
        <v>252659.74</v>
      </c>
      <c r="O218">
        <v>289860.89</v>
      </c>
      <c r="P218">
        <v>310107.94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662914.57999999996</v>
      </c>
      <c r="W218">
        <v>0</v>
      </c>
      <c r="X218">
        <v>0</v>
      </c>
      <c r="Y218">
        <v>0</v>
      </c>
      <c r="Z218">
        <v>43737.51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274233.02</v>
      </c>
      <c r="AH218">
        <v>0</v>
      </c>
      <c r="AI218">
        <v>0</v>
      </c>
      <c r="AJ218">
        <v>2535393920.8281398</v>
      </c>
    </row>
    <row r="219" spans="1:36" x14ac:dyDescent="0.25">
      <c r="A219" t="s">
        <v>536</v>
      </c>
      <c r="B219" t="s">
        <v>13</v>
      </c>
      <c r="C219">
        <v>12140.27</v>
      </c>
      <c r="D219">
        <v>34658.36</v>
      </c>
      <c r="G219">
        <v>0.18088699999999999</v>
      </c>
      <c r="H219">
        <v>0</v>
      </c>
      <c r="I219">
        <v>757498.2</v>
      </c>
      <c r="J219">
        <v>626942.71</v>
      </c>
      <c r="K219">
        <v>0</v>
      </c>
      <c r="L219">
        <v>1141299.43</v>
      </c>
      <c r="M219">
        <v>0</v>
      </c>
      <c r="N219">
        <v>252759.62</v>
      </c>
      <c r="O219">
        <v>351806.61</v>
      </c>
      <c r="P219">
        <v>322044.27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661267.93000000005</v>
      </c>
      <c r="W219">
        <v>0</v>
      </c>
      <c r="X219">
        <v>0</v>
      </c>
      <c r="Y219">
        <v>0</v>
      </c>
      <c r="Z219">
        <v>43737.51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274229.78000000003</v>
      </c>
      <c r="AH219">
        <v>0</v>
      </c>
      <c r="AI219">
        <v>0</v>
      </c>
      <c r="AJ219">
        <v>2572623618.1321502</v>
      </c>
    </row>
    <row r="220" spans="1:36" x14ac:dyDescent="0.25">
      <c r="A220" t="s">
        <v>537</v>
      </c>
      <c r="B220" t="s">
        <v>13</v>
      </c>
      <c r="D220">
        <v>56813.42</v>
      </c>
      <c r="E220">
        <v>19900.84</v>
      </c>
      <c r="G220">
        <v>0.29651699999999998</v>
      </c>
      <c r="H220">
        <v>0</v>
      </c>
      <c r="I220">
        <v>832452.37</v>
      </c>
      <c r="J220">
        <v>643032.05000000005</v>
      </c>
      <c r="K220">
        <v>0</v>
      </c>
      <c r="L220">
        <v>3553012.2</v>
      </c>
      <c r="M220">
        <v>0</v>
      </c>
      <c r="N220">
        <v>824633.97</v>
      </c>
      <c r="O220">
        <v>190398.94</v>
      </c>
      <c r="P220">
        <v>202384.77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450074.31</v>
      </c>
      <c r="W220">
        <v>0</v>
      </c>
      <c r="X220">
        <v>0</v>
      </c>
      <c r="Y220">
        <v>0</v>
      </c>
      <c r="Z220">
        <v>127428.8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736685.04</v>
      </c>
      <c r="AH220">
        <v>0</v>
      </c>
      <c r="AI220">
        <v>0</v>
      </c>
      <c r="AJ220">
        <v>5096097589.7925901</v>
      </c>
    </row>
    <row r="221" spans="1:36" x14ac:dyDescent="0.25">
      <c r="A221" t="s">
        <v>538</v>
      </c>
      <c r="B221" t="s">
        <v>13</v>
      </c>
      <c r="D221">
        <v>4250.0600000000004</v>
      </c>
      <c r="E221">
        <v>1488.73</v>
      </c>
      <c r="G221">
        <v>2.2182E-2</v>
      </c>
      <c r="H221">
        <v>0</v>
      </c>
      <c r="I221">
        <v>84801.03</v>
      </c>
      <c r="J221">
        <v>94437.9</v>
      </c>
      <c r="K221">
        <v>0</v>
      </c>
      <c r="L221">
        <v>258328.15</v>
      </c>
      <c r="M221">
        <v>0</v>
      </c>
      <c r="N221">
        <v>321131.92</v>
      </c>
      <c r="O221">
        <v>15045.62</v>
      </c>
      <c r="P221">
        <v>16077.01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121133.37</v>
      </c>
      <c r="W221">
        <v>0</v>
      </c>
      <c r="X221">
        <v>0</v>
      </c>
      <c r="Y221">
        <v>0</v>
      </c>
      <c r="Z221">
        <v>64094.3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231731.03</v>
      </c>
      <c r="AH221">
        <v>0</v>
      </c>
      <c r="AI221">
        <v>0</v>
      </c>
      <c r="AJ221">
        <v>587562191.11263299</v>
      </c>
    </row>
    <row r="222" spans="1:36" x14ac:dyDescent="0.25">
      <c r="A222" t="s">
        <v>539</v>
      </c>
      <c r="B222" t="s">
        <v>13</v>
      </c>
      <c r="C222">
        <v>1488.73</v>
      </c>
      <c r="D222">
        <v>4250.0600000000004</v>
      </c>
      <c r="G222">
        <v>2.2182E-2</v>
      </c>
      <c r="H222">
        <v>0</v>
      </c>
      <c r="I222">
        <v>97256.67</v>
      </c>
      <c r="J222">
        <v>94437.9</v>
      </c>
      <c r="K222">
        <v>0</v>
      </c>
      <c r="L222">
        <v>258328.15</v>
      </c>
      <c r="M222">
        <v>0</v>
      </c>
      <c r="N222">
        <v>321135.98</v>
      </c>
      <c r="O222">
        <v>17427</v>
      </c>
      <c r="P222">
        <v>16200.31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120995.1</v>
      </c>
      <c r="W222">
        <v>0</v>
      </c>
      <c r="X222">
        <v>0</v>
      </c>
      <c r="Y222">
        <v>0</v>
      </c>
      <c r="Z222">
        <v>64094.3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231726.04</v>
      </c>
      <c r="AH222">
        <v>0</v>
      </c>
      <c r="AI222">
        <v>0</v>
      </c>
      <c r="AJ222">
        <v>631452013.91969395</v>
      </c>
    </row>
    <row r="223" spans="1:36" x14ac:dyDescent="0.25">
      <c r="A223" t="s">
        <v>540</v>
      </c>
      <c r="B223" t="s">
        <v>13</v>
      </c>
      <c r="C223">
        <v>19900.84</v>
      </c>
      <c r="D223">
        <v>56813.42</v>
      </c>
      <c r="G223">
        <v>0.29651699999999998</v>
      </c>
      <c r="H223">
        <v>0</v>
      </c>
      <c r="I223">
        <v>945251.9</v>
      </c>
      <c r="J223">
        <v>643032.05000000005</v>
      </c>
      <c r="K223">
        <v>0</v>
      </c>
      <c r="L223">
        <v>3553012.2</v>
      </c>
      <c r="M223">
        <v>0</v>
      </c>
      <c r="N223">
        <v>824788.68</v>
      </c>
      <c r="O223">
        <v>222058.84</v>
      </c>
      <c r="P223">
        <v>204338.85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450181.72</v>
      </c>
      <c r="W223">
        <v>0</v>
      </c>
      <c r="X223">
        <v>0</v>
      </c>
      <c r="Y223">
        <v>0</v>
      </c>
      <c r="Z223">
        <v>127428.8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736789.26</v>
      </c>
      <c r="AH223">
        <v>0</v>
      </c>
      <c r="AI223">
        <v>0</v>
      </c>
      <c r="AJ223">
        <v>5496686037.9508896</v>
      </c>
    </row>
    <row r="224" spans="1:36" x14ac:dyDescent="0.25">
      <c r="A224" t="s">
        <v>541</v>
      </c>
      <c r="B224" t="s">
        <v>12</v>
      </c>
      <c r="D224">
        <v>1325.42</v>
      </c>
      <c r="E224">
        <v>464.28</v>
      </c>
      <c r="G224">
        <v>6.9179999999999997E-3</v>
      </c>
      <c r="H224">
        <v>0</v>
      </c>
      <c r="I224">
        <v>11101.71</v>
      </c>
      <c r="J224">
        <v>12134.67</v>
      </c>
      <c r="K224">
        <v>0</v>
      </c>
      <c r="L224">
        <v>29466.65</v>
      </c>
      <c r="M224">
        <v>0</v>
      </c>
      <c r="N224">
        <v>55883.38</v>
      </c>
      <c r="O224">
        <v>3331.25</v>
      </c>
      <c r="P224">
        <v>3172.2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5529.89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4688.04</v>
      </c>
      <c r="AH224">
        <v>0</v>
      </c>
      <c r="AI224">
        <v>0</v>
      </c>
      <c r="AJ224">
        <v>78583372.975707993</v>
      </c>
    </row>
    <row r="225" spans="1:36" x14ac:dyDescent="0.25">
      <c r="A225" t="s">
        <v>542</v>
      </c>
      <c r="B225" t="s">
        <v>13</v>
      </c>
      <c r="C225">
        <v>9403.6</v>
      </c>
      <c r="D225">
        <v>26845.64</v>
      </c>
      <c r="G225">
        <v>0.14011100000000001</v>
      </c>
      <c r="H225">
        <v>0</v>
      </c>
      <c r="I225">
        <v>575825.32999999996</v>
      </c>
      <c r="J225">
        <v>163686.57</v>
      </c>
      <c r="K225">
        <v>0</v>
      </c>
      <c r="L225">
        <v>936314.72</v>
      </c>
      <c r="M225">
        <v>0</v>
      </c>
      <c r="N225">
        <v>230518.04</v>
      </c>
      <c r="O225">
        <v>213318.14</v>
      </c>
      <c r="P225">
        <v>197883.68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232306.83</v>
      </c>
      <c r="W225">
        <v>0</v>
      </c>
      <c r="X225">
        <v>0</v>
      </c>
      <c r="Y225">
        <v>0</v>
      </c>
      <c r="Z225">
        <v>68627.600000000006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484904.26</v>
      </c>
      <c r="AH225">
        <v>0</v>
      </c>
      <c r="AI225">
        <v>0</v>
      </c>
      <c r="AJ225">
        <v>1834350600.0276201</v>
      </c>
    </row>
    <row r="226" spans="1:36" x14ac:dyDescent="0.25">
      <c r="A226" t="s">
        <v>543</v>
      </c>
      <c r="B226" t="s">
        <v>13</v>
      </c>
      <c r="D226">
        <v>26845.64</v>
      </c>
      <c r="E226">
        <v>9403.6</v>
      </c>
      <c r="G226">
        <v>0.14011100000000001</v>
      </c>
      <c r="H226">
        <v>0</v>
      </c>
      <c r="I226">
        <v>313476.95</v>
      </c>
      <c r="J226">
        <v>163686.57</v>
      </c>
      <c r="K226">
        <v>0</v>
      </c>
      <c r="L226">
        <v>936314.72</v>
      </c>
      <c r="M226">
        <v>0</v>
      </c>
      <c r="N226">
        <v>230496.68</v>
      </c>
      <c r="O226">
        <v>177924.02</v>
      </c>
      <c r="P226">
        <v>193800.46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232014.95</v>
      </c>
      <c r="W226">
        <v>0</v>
      </c>
      <c r="X226">
        <v>0</v>
      </c>
      <c r="Y226">
        <v>0</v>
      </c>
      <c r="Z226">
        <v>68627.600000000006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484914.33</v>
      </c>
      <c r="AH226">
        <v>0</v>
      </c>
      <c r="AI226">
        <v>0</v>
      </c>
      <c r="AJ226">
        <v>1570914696.8286099</v>
      </c>
    </row>
    <row r="227" spans="1:36" x14ac:dyDescent="0.25">
      <c r="A227" t="s">
        <v>544</v>
      </c>
      <c r="B227" t="s">
        <v>12</v>
      </c>
      <c r="C227">
        <v>7760.24</v>
      </c>
      <c r="D227">
        <v>22154.13</v>
      </c>
      <c r="G227">
        <v>0.11562500000000001</v>
      </c>
      <c r="H227">
        <v>0</v>
      </c>
      <c r="I227">
        <v>518134.39</v>
      </c>
      <c r="J227">
        <v>394508.4</v>
      </c>
      <c r="K227">
        <v>0</v>
      </c>
      <c r="L227">
        <v>436518</v>
      </c>
      <c r="M227">
        <v>0</v>
      </c>
      <c r="N227">
        <v>196856.32000000001</v>
      </c>
      <c r="O227">
        <v>106691.37</v>
      </c>
      <c r="P227">
        <v>90335.69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750728.11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176958.62</v>
      </c>
      <c r="AH227">
        <v>0</v>
      </c>
      <c r="AI227">
        <v>0</v>
      </c>
      <c r="AJ227">
        <v>2015821444.2890301</v>
      </c>
    </row>
    <row r="228" spans="1:36" x14ac:dyDescent="0.25">
      <c r="A228" t="s">
        <v>545</v>
      </c>
      <c r="B228" t="s">
        <v>12</v>
      </c>
      <c r="D228">
        <v>22154.13</v>
      </c>
      <c r="E228">
        <v>7760.24</v>
      </c>
      <c r="G228">
        <v>0.11562500000000001</v>
      </c>
      <c r="H228">
        <v>0</v>
      </c>
      <c r="I228">
        <v>458077.24</v>
      </c>
      <c r="J228">
        <v>394508.4</v>
      </c>
      <c r="K228">
        <v>0</v>
      </c>
      <c r="L228">
        <v>436518</v>
      </c>
      <c r="M228">
        <v>0</v>
      </c>
      <c r="N228">
        <v>196878.5</v>
      </c>
      <c r="O228">
        <v>91186.38</v>
      </c>
      <c r="P228">
        <v>87977.58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750039.72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176960.2</v>
      </c>
      <c r="AH228">
        <v>0</v>
      </c>
      <c r="AI228">
        <v>0</v>
      </c>
      <c r="AJ228">
        <v>1936861950.5708101</v>
      </c>
    </row>
    <row r="229" spans="1:36" x14ac:dyDescent="0.25">
      <c r="A229" t="s">
        <v>546</v>
      </c>
      <c r="B229" t="s">
        <v>12</v>
      </c>
      <c r="C229">
        <v>464.28</v>
      </c>
      <c r="D229">
        <v>1325.42</v>
      </c>
      <c r="G229">
        <v>6.9179999999999997E-3</v>
      </c>
      <c r="H229">
        <v>0</v>
      </c>
      <c r="I229">
        <v>17458.009999999998</v>
      </c>
      <c r="J229">
        <v>12134.67</v>
      </c>
      <c r="K229">
        <v>0</v>
      </c>
      <c r="L229">
        <v>29466.65</v>
      </c>
      <c r="M229">
        <v>0</v>
      </c>
      <c r="N229">
        <v>55883.38</v>
      </c>
      <c r="O229">
        <v>5012.82</v>
      </c>
      <c r="P229">
        <v>3735.05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5529.88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4688</v>
      </c>
      <c r="AH229">
        <v>0</v>
      </c>
      <c r="AI229">
        <v>0</v>
      </c>
      <c r="AJ229">
        <v>97935180.594457</v>
      </c>
    </row>
    <row r="230" spans="1:36" x14ac:dyDescent="0.25">
      <c r="A230" t="s">
        <v>547</v>
      </c>
      <c r="B230" t="s">
        <v>12</v>
      </c>
      <c r="D230">
        <v>21580.54</v>
      </c>
      <c r="E230">
        <v>7559.32</v>
      </c>
      <c r="G230">
        <v>0.112632</v>
      </c>
      <c r="H230">
        <v>0</v>
      </c>
      <c r="I230">
        <v>476442.57</v>
      </c>
      <c r="J230">
        <v>239542.44</v>
      </c>
      <c r="K230">
        <v>0</v>
      </c>
      <c r="L230">
        <v>831153.37</v>
      </c>
      <c r="M230">
        <v>0</v>
      </c>
      <c r="N230">
        <v>185421.75</v>
      </c>
      <c r="O230">
        <v>141493.12</v>
      </c>
      <c r="P230">
        <v>139866.15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364576.51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115798.96</v>
      </c>
      <c r="AH230">
        <v>0</v>
      </c>
      <c r="AI230">
        <v>0</v>
      </c>
      <c r="AJ230">
        <v>1454834253.2511799</v>
      </c>
    </row>
    <row r="231" spans="1:36" x14ac:dyDescent="0.25">
      <c r="A231" t="s">
        <v>548</v>
      </c>
      <c r="B231" t="s">
        <v>12</v>
      </c>
      <c r="C231">
        <v>7559.32</v>
      </c>
      <c r="D231">
        <v>21580.54</v>
      </c>
      <c r="G231">
        <v>0.112632</v>
      </c>
      <c r="H231">
        <v>0</v>
      </c>
      <c r="I231">
        <v>597854.24</v>
      </c>
      <c r="J231">
        <v>239542.44</v>
      </c>
      <c r="K231">
        <v>0</v>
      </c>
      <c r="L231">
        <v>831153.37</v>
      </c>
      <c r="M231">
        <v>0</v>
      </c>
      <c r="N231">
        <v>185724.11</v>
      </c>
      <c r="O231">
        <v>170088.17</v>
      </c>
      <c r="P231">
        <v>149629.39000000001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362517.84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115795.14</v>
      </c>
      <c r="AH231">
        <v>0</v>
      </c>
      <c r="AI231">
        <v>0</v>
      </c>
      <c r="AJ231">
        <v>1734026611.9686999</v>
      </c>
    </row>
    <row r="232" spans="1:36" x14ac:dyDescent="0.25">
      <c r="A232" t="s">
        <v>549</v>
      </c>
      <c r="B232" t="s">
        <v>12</v>
      </c>
      <c r="C232">
        <v>1322.17</v>
      </c>
      <c r="D232">
        <v>3774.56</v>
      </c>
      <c r="G232">
        <v>1.9699999999999999E-2</v>
      </c>
      <c r="H232">
        <v>0</v>
      </c>
      <c r="I232">
        <v>119979.2</v>
      </c>
      <c r="J232">
        <v>103288.37</v>
      </c>
      <c r="K232">
        <v>0</v>
      </c>
      <c r="L232">
        <v>282049.05</v>
      </c>
      <c r="M232">
        <v>0</v>
      </c>
      <c r="N232">
        <v>72982.210000000006</v>
      </c>
      <c r="O232">
        <v>14533.83</v>
      </c>
      <c r="P232">
        <v>13097.58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107471.87</v>
      </c>
      <c r="W232">
        <v>0</v>
      </c>
      <c r="X232">
        <v>0</v>
      </c>
      <c r="Y232">
        <v>0</v>
      </c>
      <c r="Z232">
        <v>65854.75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126287.52</v>
      </c>
      <c r="AH232">
        <v>0</v>
      </c>
      <c r="AI232">
        <v>0</v>
      </c>
      <c r="AJ232">
        <v>428700192.99947101</v>
      </c>
    </row>
    <row r="233" spans="1:36" x14ac:dyDescent="0.25">
      <c r="A233" t="s">
        <v>550</v>
      </c>
      <c r="B233" t="s">
        <v>12</v>
      </c>
      <c r="D233">
        <v>3774.56</v>
      </c>
      <c r="E233">
        <v>1322.17</v>
      </c>
      <c r="G233">
        <v>1.9699999999999999E-2</v>
      </c>
      <c r="H233">
        <v>0</v>
      </c>
      <c r="I233">
        <v>108966.31</v>
      </c>
      <c r="J233">
        <v>103288.37</v>
      </c>
      <c r="K233">
        <v>0</v>
      </c>
      <c r="L233">
        <v>282049.05</v>
      </c>
      <c r="M233">
        <v>0</v>
      </c>
      <c r="N233">
        <v>72981.05</v>
      </c>
      <c r="O233">
        <v>13111.88</v>
      </c>
      <c r="P233">
        <v>13046.16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107465.64</v>
      </c>
      <c r="W233">
        <v>0</v>
      </c>
      <c r="X233">
        <v>0</v>
      </c>
      <c r="Y233">
        <v>0</v>
      </c>
      <c r="Z233">
        <v>65854.75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126288.53</v>
      </c>
      <c r="AH233">
        <v>0</v>
      </c>
      <c r="AI233">
        <v>0</v>
      </c>
      <c r="AJ233">
        <v>405826899.17097998</v>
      </c>
    </row>
    <row r="234" spans="1:36" x14ac:dyDescent="0.25">
      <c r="A234" t="s">
        <v>551</v>
      </c>
      <c r="B234" t="s">
        <v>12</v>
      </c>
      <c r="D234">
        <v>36860.620000000003</v>
      </c>
      <c r="E234">
        <v>12911.69</v>
      </c>
      <c r="G234">
        <v>0.192381</v>
      </c>
      <c r="H234">
        <v>0</v>
      </c>
      <c r="I234">
        <v>875583.93</v>
      </c>
      <c r="J234">
        <v>626942.71</v>
      </c>
      <c r="K234">
        <v>0</v>
      </c>
      <c r="L234">
        <v>1141299.43</v>
      </c>
      <c r="M234">
        <v>0</v>
      </c>
      <c r="N234">
        <v>347819.43</v>
      </c>
      <c r="O234">
        <v>316416.14</v>
      </c>
      <c r="P234">
        <v>313195.78000000003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1115839.71</v>
      </c>
      <c r="W234">
        <v>0</v>
      </c>
      <c r="X234">
        <v>0</v>
      </c>
      <c r="Y234">
        <v>0</v>
      </c>
      <c r="Z234">
        <v>43737.51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275268.76</v>
      </c>
      <c r="AH234">
        <v>0</v>
      </c>
      <c r="AI234">
        <v>0</v>
      </c>
      <c r="AJ234">
        <v>2941945669.6187901</v>
      </c>
    </row>
    <row r="235" spans="1:36" x14ac:dyDescent="0.25">
      <c r="A235" t="s">
        <v>552</v>
      </c>
      <c r="B235" t="s">
        <v>12</v>
      </c>
      <c r="D235">
        <v>4542.8599999999997</v>
      </c>
      <c r="E235">
        <v>1591.29</v>
      </c>
      <c r="G235">
        <v>2.3709999999999998E-2</v>
      </c>
      <c r="H235">
        <v>0</v>
      </c>
      <c r="I235">
        <v>137232.81</v>
      </c>
      <c r="J235">
        <v>94437.9</v>
      </c>
      <c r="K235">
        <v>0</v>
      </c>
      <c r="L235">
        <v>258328.15</v>
      </c>
      <c r="M235">
        <v>0</v>
      </c>
      <c r="N235">
        <v>344733.92</v>
      </c>
      <c r="O235">
        <v>17000.05</v>
      </c>
      <c r="P235">
        <v>17394.02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203981.25</v>
      </c>
      <c r="W235">
        <v>0</v>
      </c>
      <c r="X235">
        <v>0</v>
      </c>
      <c r="Y235">
        <v>0</v>
      </c>
      <c r="Z235">
        <v>64094.3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232590.38</v>
      </c>
      <c r="AH235">
        <v>0</v>
      </c>
      <c r="AI235">
        <v>0</v>
      </c>
      <c r="AJ235">
        <v>742619776.52304804</v>
      </c>
    </row>
    <row r="236" spans="1:36" x14ac:dyDescent="0.25">
      <c r="A236" t="s">
        <v>553</v>
      </c>
      <c r="B236" t="s">
        <v>12</v>
      </c>
      <c r="C236">
        <v>12911.69</v>
      </c>
      <c r="D236">
        <v>36860.620000000003</v>
      </c>
      <c r="G236">
        <v>0.192381</v>
      </c>
      <c r="H236">
        <v>0</v>
      </c>
      <c r="I236">
        <v>1052972.8700000001</v>
      </c>
      <c r="J236">
        <v>626942.71</v>
      </c>
      <c r="K236">
        <v>0</v>
      </c>
      <c r="L236">
        <v>1141299.43</v>
      </c>
      <c r="M236">
        <v>0</v>
      </c>
      <c r="N236">
        <v>348246.36</v>
      </c>
      <c r="O236">
        <v>378907.12</v>
      </c>
      <c r="P236">
        <v>332088.40999999997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1106906.5900000001</v>
      </c>
      <c r="W236">
        <v>0</v>
      </c>
      <c r="X236">
        <v>0</v>
      </c>
      <c r="Y236">
        <v>0</v>
      </c>
      <c r="Z236">
        <v>43737.51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275264.99</v>
      </c>
      <c r="AH236">
        <v>0</v>
      </c>
      <c r="AI236">
        <v>0</v>
      </c>
      <c r="AJ236">
        <v>2950463892.0782199</v>
      </c>
    </row>
    <row r="237" spans="1:36" x14ac:dyDescent="0.25">
      <c r="A237" t="s">
        <v>554</v>
      </c>
      <c r="B237" t="s">
        <v>12</v>
      </c>
      <c r="C237">
        <v>1591.29</v>
      </c>
      <c r="D237">
        <v>4542.8599999999997</v>
      </c>
      <c r="G237">
        <v>2.3709999999999998E-2</v>
      </c>
      <c r="H237">
        <v>0</v>
      </c>
      <c r="I237">
        <v>151282.29</v>
      </c>
      <c r="J237">
        <v>94437.9</v>
      </c>
      <c r="K237">
        <v>0</v>
      </c>
      <c r="L237">
        <v>258328.15</v>
      </c>
      <c r="M237">
        <v>0</v>
      </c>
      <c r="N237">
        <v>344805.11</v>
      </c>
      <c r="O237">
        <v>19511.990000000002</v>
      </c>
      <c r="P237">
        <v>17574.79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203953.22</v>
      </c>
      <c r="W237">
        <v>0</v>
      </c>
      <c r="X237">
        <v>0</v>
      </c>
      <c r="Y237">
        <v>0</v>
      </c>
      <c r="Z237">
        <v>64094.3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232580.47</v>
      </c>
      <c r="AH237">
        <v>0</v>
      </c>
      <c r="AI237">
        <v>0</v>
      </c>
      <c r="AJ237">
        <v>776182098.41286302</v>
      </c>
    </row>
    <row r="238" spans="1:36" x14ac:dyDescent="0.25">
      <c r="A238" t="s">
        <v>555</v>
      </c>
      <c r="B238" t="s">
        <v>12</v>
      </c>
      <c r="D238">
        <v>28930.86</v>
      </c>
      <c r="E238">
        <v>10134.02</v>
      </c>
      <c r="G238">
        <v>0.15099399999999999</v>
      </c>
      <c r="H238">
        <v>0</v>
      </c>
      <c r="I238">
        <v>496190.62</v>
      </c>
      <c r="J238">
        <v>163686.57</v>
      </c>
      <c r="K238">
        <v>0</v>
      </c>
      <c r="L238">
        <v>936314.72</v>
      </c>
      <c r="M238">
        <v>0</v>
      </c>
      <c r="N238">
        <v>316314.98</v>
      </c>
      <c r="O238">
        <v>180663.95</v>
      </c>
      <c r="P238">
        <v>182085.89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506764.03</v>
      </c>
      <c r="W238">
        <v>0</v>
      </c>
      <c r="X238">
        <v>0</v>
      </c>
      <c r="Y238">
        <v>0</v>
      </c>
      <c r="Z238">
        <v>68627.600000000006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486294.54</v>
      </c>
      <c r="AH238">
        <v>0</v>
      </c>
      <c r="AI238">
        <v>0</v>
      </c>
      <c r="AJ238">
        <v>2181774764.4021301</v>
      </c>
    </row>
    <row r="239" spans="1:36" x14ac:dyDescent="0.25">
      <c r="A239" t="s">
        <v>556</v>
      </c>
      <c r="B239" t="s">
        <v>12</v>
      </c>
      <c r="C239">
        <v>20539.16</v>
      </c>
      <c r="D239">
        <v>58635.73</v>
      </c>
      <c r="G239">
        <v>0.30602800000000002</v>
      </c>
      <c r="H239">
        <v>0</v>
      </c>
      <c r="I239">
        <v>1400498.64</v>
      </c>
      <c r="J239">
        <v>643032.05000000005</v>
      </c>
      <c r="K239">
        <v>0</v>
      </c>
      <c r="L239">
        <v>3553012.2</v>
      </c>
      <c r="M239">
        <v>0</v>
      </c>
      <c r="N239">
        <v>945549.87</v>
      </c>
      <c r="O239">
        <v>240047.69</v>
      </c>
      <c r="P239">
        <v>213968.66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873962.53</v>
      </c>
      <c r="W239">
        <v>0</v>
      </c>
      <c r="X239">
        <v>0</v>
      </c>
      <c r="Y239">
        <v>0</v>
      </c>
      <c r="Z239">
        <v>127428.8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739364.89</v>
      </c>
      <c r="AH239">
        <v>0</v>
      </c>
      <c r="AI239">
        <v>0</v>
      </c>
      <c r="AJ239">
        <v>6174790744.6125097</v>
      </c>
    </row>
    <row r="240" spans="1:36" x14ac:dyDescent="0.25">
      <c r="A240" t="s">
        <v>557</v>
      </c>
      <c r="B240" t="s">
        <v>11</v>
      </c>
      <c r="D240">
        <v>12575.54</v>
      </c>
      <c r="E240">
        <v>4405.01</v>
      </c>
      <c r="G240">
        <v>6.5632999999999997E-2</v>
      </c>
      <c r="H240">
        <v>0</v>
      </c>
      <c r="I240">
        <v>29942.99</v>
      </c>
      <c r="J240">
        <v>394508.4</v>
      </c>
      <c r="K240">
        <v>0</v>
      </c>
      <c r="L240">
        <v>436518</v>
      </c>
      <c r="M240">
        <v>0</v>
      </c>
      <c r="N240">
        <v>108018.98</v>
      </c>
      <c r="O240">
        <v>11863.33</v>
      </c>
      <c r="P240">
        <v>11759.22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321744.62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192555.71</v>
      </c>
      <c r="AH240">
        <v>0</v>
      </c>
      <c r="AI240">
        <v>0</v>
      </c>
      <c r="AJ240">
        <v>932884955.36214995</v>
      </c>
    </row>
    <row r="241" spans="1:36" x14ac:dyDescent="0.25">
      <c r="A241" t="s">
        <v>558</v>
      </c>
      <c r="B241" t="s">
        <v>12</v>
      </c>
      <c r="D241">
        <v>58635.73</v>
      </c>
      <c r="E241">
        <v>20539.16</v>
      </c>
      <c r="G241">
        <v>0.30602800000000002</v>
      </c>
      <c r="H241">
        <v>0</v>
      </c>
      <c r="I241">
        <v>1233683.93</v>
      </c>
      <c r="J241">
        <v>643032.05000000005</v>
      </c>
      <c r="K241">
        <v>0</v>
      </c>
      <c r="L241">
        <v>3553012.2</v>
      </c>
      <c r="M241">
        <v>0</v>
      </c>
      <c r="N241">
        <v>945531.87</v>
      </c>
      <c r="O241">
        <v>209226.3</v>
      </c>
      <c r="P241">
        <v>212234.28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871874.94</v>
      </c>
      <c r="W241">
        <v>0</v>
      </c>
      <c r="X241">
        <v>0</v>
      </c>
      <c r="Y241">
        <v>0</v>
      </c>
      <c r="Z241">
        <v>127428.8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739253.75</v>
      </c>
      <c r="AH241">
        <v>0</v>
      </c>
      <c r="AI241">
        <v>0</v>
      </c>
      <c r="AJ241">
        <v>5821036823.9710302</v>
      </c>
    </row>
    <row r="242" spans="1:36" x14ac:dyDescent="0.25">
      <c r="A242" t="s">
        <v>559</v>
      </c>
      <c r="B242" t="s">
        <v>11</v>
      </c>
      <c r="C242">
        <v>4405.01</v>
      </c>
      <c r="D242">
        <v>12575.54</v>
      </c>
      <c r="G242">
        <v>6.5632999999999997E-2</v>
      </c>
      <c r="H242">
        <v>0</v>
      </c>
      <c r="I242">
        <v>34779.15</v>
      </c>
      <c r="J242">
        <v>394508.4</v>
      </c>
      <c r="K242">
        <v>0</v>
      </c>
      <c r="L242">
        <v>436518</v>
      </c>
      <c r="M242">
        <v>0</v>
      </c>
      <c r="N242">
        <v>108025.12</v>
      </c>
      <c r="O242">
        <v>14420.82</v>
      </c>
      <c r="P242">
        <v>12342.31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322221.96999999997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192558.61</v>
      </c>
      <c r="AH242">
        <v>0</v>
      </c>
      <c r="AI242">
        <v>0</v>
      </c>
      <c r="AJ242">
        <v>941340955.52650905</v>
      </c>
    </row>
    <row r="243" spans="1:36" x14ac:dyDescent="0.25">
      <c r="A243" t="s">
        <v>560</v>
      </c>
      <c r="B243" t="s">
        <v>11</v>
      </c>
      <c r="D243">
        <v>1035.1300000000001</v>
      </c>
      <c r="E243">
        <v>362.59</v>
      </c>
      <c r="G243">
        <v>5.4019999999999997E-3</v>
      </c>
      <c r="H243">
        <v>0</v>
      </c>
      <c r="I243">
        <v>499.83</v>
      </c>
      <c r="J243">
        <v>12134.67</v>
      </c>
      <c r="K243">
        <v>0</v>
      </c>
      <c r="L243">
        <v>29466.65</v>
      </c>
      <c r="M243">
        <v>0</v>
      </c>
      <c r="N243">
        <v>46813.13</v>
      </c>
      <c r="O243">
        <v>1245.73</v>
      </c>
      <c r="P243">
        <v>975.19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11409.76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5049.04</v>
      </c>
      <c r="AH243">
        <v>0</v>
      </c>
      <c r="AI243">
        <v>0</v>
      </c>
      <c r="AJ243">
        <v>42445846.723382503</v>
      </c>
    </row>
    <row r="244" spans="1:36" x14ac:dyDescent="0.25">
      <c r="A244" t="s">
        <v>561</v>
      </c>
      <c r="B244" t="s">
        <v>12</v>
      </c>
      <c r="C244">
        <v>10134.02</v>
      </c>
      <c r="D244">
        <v>28930.86</v>
      </c>
      <c r="G244">
        <v>0.15099399999999999</v>
      </c>
      <c r="H244">
        <v>0</v>
      </c>
      <c r="I244">
        <v>741941.88</v>
      </c>
      <c r="J244">
        <v>163686.57</v>
      </c>
      <c r="K244">
        <v>0</v>
      </c>
      <c r="L244">
        <v>936314.72</v>
      </c>
      <c r="M244">
        <v>0</v>
      </c>
      <c r="N244">
        <v>316365.01</v>
      </c>
      <c r="O244">
        <v>214378.9</v>
      </c>
      <c r="P244">
        <v>190602.58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510256.06</v>
      </c>
      <c r="W244">
        <v>0</v>
      </c>
      <c r="X244">
        <v>0</v>
      </c>
      <c r="Y244">
        <v>0</v>
      </c>
      <c r="Z244">
        <v>68627.600000000006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486274.66</v>
      </c>
      <c r="AH244">
        <v>0</v>
      </c>
      <c r="AI244">
        <v>0</v>
      </c>
      <c r="AJ244">
        <v>2264190347.3940802</v>
      </c>
    </row>
    <row r="245" spans="1:36" x14ac:dyDescent="0.25">
      <c r="A245" t="s">
        <v>562</v>
      </c>
      <c r="B245" t="s">
        <v>11</v>
      </c>
      <c r="C245">
        <v>362.59</v>
      </c>
      <c r="D245">
        <v>1035.1300000000001</v>
      </c>
      <c r="G245">
        <v>5.4019999999999997E-3</v>
      </c>
      <c r="H245">
        <v>0</v>
      </c>
      <c r="I245">
        <v>1002.49</v>
      </c>
      <c r="J245">
        <v>12134.67</v>
      </c>
      <c r="K245">
        <v>0</v>
      </c>
      <c r="L245">
        <v>29466.65</v>
      </c>
      <c r="M245">
        <v>0</v>
      </c>
      <c r="N245">
        <v>46813.13</v>
      </c>
      <c r="O245">
        <v>2449.0100000000002</v>
      </c>
      <c r="P245">
        <v>1676.22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11409.76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5049.04</v>
      </c>
      <c r="AH245">
        <v>0</v>
      </c>
      <c r="AI245">
        <v>0</v>
      </c>
      <c r="AJ245">
        <v>48563112.945520803</v>
      </c>
    </row>
    <row r="246" spans="1:36" x14ac:dyDescent="0.25">
      <c r="A246" t="s">
        <v>563</v>
      </c>
      <c r="B246" t="s">
        <v>11</v>
      </c>
      <c r="D246">
        <v>17290.43</v>
      </c>
      <c r="E246">
        <v>6056.56</v>
      </c>
      <c r="G246">
        <v>9.0241000000000002E-2</v>
      </c>
      <c r="H246">
        <v>0</v>
      </c>
      <c r="I246">
        <v>51990.12</v>
      </c>
      <c r="J246">
        <v>239542.44</v>
      </c>
      <c r="K246">
        <v>0</v>
      </c>
      <c r="L246">
        <v>831153.37</v>
      </c>
      <c r="M246">
        <v>0</v>
      </c>
      <c r="N246">
        <v>135704.76</v>
      </c>
      <c r="O246">
        <v>66615.7</v>
      </c>
      <c r="P246">
        <v>68045.67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324357.65000000002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125996.82</v>
      </c>
      <c r="AH246">
        <v>0</v>
      </c>
      <c r="AI246">
        <v>0</v>
      </c>
      <c r="AJ246">
        <v>1064082517.6688401</v>
      </c>
    </row>
    <row r="247" spans="1:36" x14ac:dyDescent="0.25">
      <c r="A247" t="s">
        <v>564</v>
      </c>
      <c r="B247" t="s">
        <v>11</v>
      </c>
      <c r="C247">
        <v>6056.56</v>
      </c>
      <c r="D247">
        <v>17290.43</v>
      </c>
      <c r="G247">
        <v>9.0241000000000002E-2</v>
      </c>
      <c r="H247">
        <v>0</v>
      </c>
      <c r="I247">
        <v>126585.04</v>
      </c>
      <c r="J247">
        <v>239542.44</v>
      </c>
      <c r="K247">
        <v>0</v>
      </c>
      <c r="L247">
        <v>831153.37</v>
      </c>
      <c r="M247">
        <v>0</v>
      </c>
      <c r="N247">
        <v>136081.10999999999</v>
      </c>
      <c r="O247">
        <v>98117.11</v>
      </c>
      <c r="P247">
        <v>87465.78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323988.64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125996.54</v>
      </c>
      <c r="AH247">
        <v>0</v>
      </c>
      <c r="AI247">
        <v>0</v>
      </c>
      <c r="AJ247">
        <v>1123169177.9403701</v>
      </c>
    </row>
    <row r="248" spans="1:36" x14ac:dyDescent="0.25">
      <c r="A248" t="s">
        <v>565</v>
      </c>
      <c r="B248" t="s">
        <v>11</v>
      </c>
      <c r="D248">
        <v>2932.99</v>
      </c>
      <c r="E248">
        <v>1027.3800000000001</v>
      </c>
      <c r="G248">
        <v>1.5308E-2</v>
      </c>
      <c r="H248">
        <v>0</v>
      </c>
      <c r="I248">
        <v>23444.14</v>
      </c>
      <c r="J248">
        <v>103288.37</v>
      </c>
      <c r="K248">
        <v>0</v>
      </c>
      <c r="L248">
        <v>282049.05</v>
      </c>
      <c r="M248">
        <v>0</v>
      </c>
      <c r="N248">
        <v>57382.26</v>
      </c>
      <c r="O248">
        <v>2950.43</v>
      </c>
      <c r="P248">
        <v>2949.16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137329.44</v>
      </c>
      <c r="W248">
        <v>0</v>
      </c>
      <c r="X248">
        <v>0</v>
      </c>
      <c r="Y248">
        <v>0</v>
      </c>
      <c r="Z248">
        <v>65854.75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137432.03</v>
      </c>
      <c r="AH248">
        <v>0</v>
      </c>
      <c r="AI248">
        <v>0</v>
      </c>
      <c r="AJ248">
        <v>252955568.96309799</v>
      </c>
    </row>
    <row r="249" spans="1:36" x14ac:dyDescent="0.25">
      <c r="A249" t="s">
        <v>566</v>
      </c>
      <c r="B249" t="s">
        <v>11</v>
      </c>
      <c r="C249">
        <v>1027.3800000000001</v>
      </c>
      <c r="D249">
        <v>2932.99</v>
      </c>
      <c r="G249">
        <v>1.5308E-2</v>
      </c>
      <c r="H249">
        <v>0</v>
      </c>
      <c r="I249">
        <v>24023.66</v>
      </c>
      <c r="J249">
        <v>103288.37</v>
      </c>
      <c r="K249">
        <v>0</v>
      </c>
      <c r="L249">
        <v>282049.05</v>
      </c>
      <c r="M249">
        <v>0</v>
      </c>
      <c r="N249">
        <v>57385.14</v>
      </c>
      <c r="O249">
        <v>3299.17</v>
      </c>
      <c r="P249">
        <v>2970.41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137329.1</v>
      </c>
      <c r="W249">
        <v>0</v>
      </c>
      <c r="X249">
        <v>0</v>
      </c>
      <c r="Y249">
        <v>0</v>
      </c>
      <c r="Z249">
        <v>65854.75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137432.10999999999</v>
      </c>
      <c r="AH249">
        <v>0</v>
      </c>
      <c r="AI249">
        <v>0</v>
      </c>
      <c r="AJ249">
        <v>259136210.48829001</v>
      </c>
    </row>
    <row r="250" spans="1:36" x14ac:dyDescent="0.25">
      <c r="A250" t="s">
        <v>567</v>
      </c>
      <c r="B250" t="s">
        <v>11</v>
      </c>
      <c r="D250">
        <v>27392.65</v>
      </c>
      <c r="E250">
        <v>9595.2099999999991</v>
      </c>
      <c r="G250">
        <v>0.14296600000000001</v>
      </c>
      <c r="H250">
        <v>0</v>
      </c>
      <c r="I250">
        <v>123525.88</v>
      </c>
      <c r="J250">
        <v>626942.71</v>
      </c>
      <c r="K250">
        <v>0</v>
      </c>
      <c r="L250">
        <v>1141299.43</v>
      </c>
      <c r="M250">
        <v>0</v>
      </c>
      <c r="N250">
        <v>177911.36</v>
      </c>
      <c r="O250">
        <v>221148.01</v>
      </c>
      <c r="P250">
        <v>241600.12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364745.25</v>
      </c>
      <c r="W250">
        <v>0</v>
      </c>
      <c r="X250">
        <v>0</v>
      </c>
      <c r="Y250">
        <v>0</v>
      </c>
      <c r="Z250">
        <v>43737.51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299628.45</v>
      </c>
      <c r="AH250">
        <v>0</v>
      </c>
      <c r="AI250">
        <v>0</v>
      </c>
      <c r="AJ250">
        <v>1504516782.4800301</v>
      </c>
    </row>
    <row r="251" spans="1:36" x14ac:dyDescent="0.25">
      <c r="A251" t="s">
        <v>568</v>
      </c>
      <c r="B251" t="s">
        <v>11</v>
      </c>
      <c r="C251">
        <v>9595.2099999999991</v>
      </c>
      <c r="D251">
        <v>27392.65</v>
      </c>
      <c r="G251">
        <v>0.14296600000000001</v>
      </c>
      <c r="H251">
        <v>0</v>
      </c>
      <c r="I251">
        <v>291153.12</v>
      </c>
      <c r="J251">
        <v>626942.71</v>
      </c>
      <c r="K251">
        <v>0</v>
      </c>
      <c r="L251">
        <v>1141299.43</v>
      </c>
      <c r="M251">
        <v>0</v>
      </c>
      <c r="N251">
        <v>178118.52</v>
      </c>
      <c r="O251">
        <v>279823.90999999997</v>
      </c>
      <c r="P251">
        <v>254744.95999999999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363245.55</v>
      </c>
      <c r="W251">
        <v>0</v>
      </c>
      <c r="X251">
        <v>0</v>
      </c>
      <c r="Y251">
        <v>0</v>
      </c>
      <c r="Z251">
        <v>43737.51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299611.58</v>
      </c>
      <c r="AH251">
        <v>0</v>
      </c>
      <c r="AI251">
        <v>0</v>
      </c>
      <c r="AJ251">
        <v>1563118196.7704101</v>
      </c>
    </row>
    <row r="252" spans="1:36" x14ac:dyDescent="0.25">
      <c r="A252" t="s">
        <v>569</v>
      </c>
      <c r="B252" t="s">
        <v>11</v>
      </c>
      <c r="C252">
        <v>1106.3599999999999</v>
      </c>
      <c r="D252">
        <v>3158.47</v>
      </c>
      <c r="G252">
        <v>1.6483999999999999E-2</v>
      </c>
      <c r="H252">
        <v>0</v>
      </c>
      <c r="I252">
        <v>22104.23</v>
      </c>
      <c r="J252">
        <v>94437.9</v>
      </c>
      <c r="K252">
        <v>0</v>
      </c>
      <c r="L252">
        <v>258328.15</v>
      </c>
      <c r="M252">
        <v>0</v>
      </c>
      <c r="N252">
        <v>247295.74</v>
      </c>
      <c r="O252">
        <v>3585.59</v>
      </c>
      <c r="P252">
        <v>3283.42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219799.82</v>
      </c>
      <c r="W252">
        <v>0</v>
      </c>
      <c r="X252">
        <v>0</v>
      </c>
      <c r="Y252">
        <v>0</v>
      </c>
      <c r="Z252">
        <v>64094.3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253174.34</v>
      </c>
      <c r="AH252">
        <v>0</v>
      </c>
      <c r="AI252">
        <v>0</v>
      </c>
      <c r="AJ252">
        <v>444027574.75345701</v>
      </c>
    </row>
    <row r="253" spans="1:36" x14ac:dyDescent="0.25">
      <c r="A253" t="s">
        <v>570</v>
      </c>
      <c r="B253" t="s">
        <v>11</v>
      </c>
      <c r="D253">
        <v>3158.47</v>
      </c>
      <c r="E253">
        <v>1106.3599999999999</v>
      </c>
      <c r="G253">
        <v>1.6483999999999999E-2</v>
      </c>
      <c r="H253">
        <v>0</v>
      </c>
      <c r="I253">
        <v>19896.04</v>
      </c>
      <c r="J253">
        <v>94437.9</v>
      </c>
      <c r="K253">
        <v>0</v>
      </c>
      <c r="L253">
        <v>258328.15</v>
      </c>
      <c r="M253">
        <v>0</v>
      </c>
      <c r="N253">
        <v>247293.96</v>
      </c>
      <c r="O253">
        <v>3094.12</v>
      </c>
      <c r="P253">
        <v>3281.21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219813.31</v>
      </c>
      <c r="W253">
        <v>0</v>
      </c>
      <c r="X253">
        <v>0</v>
      </c>
      <c r="Y253">
        <v>0</v>
      </c>
      <c r="Z253">
        <v>64094.3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253172</v>
      </c>
      <c r="AH253">
        <v>0</v>
      </c>
      <c r="AI253">
        <v>0</v>
      </c>
      <c r="AJ253">
        <v>436475026.65783399</v>
      </c>
    </row>
    <row r="254" spans="1:36" x14ac:dyDescent="0.25">
      <c r="A254" t="s">
        <v>571</v>
      </c>
      <c r="B254" t="s">
        <v>11</v>
      </c>
      <c r="D254">
        <v>20765.89</v>
      </c>
      <c r="E254">
        <v>7273.96</v>
      </c>
      <c r="G254">
        <v>0.10838</v>
      </c>
      <c r="H254">
        <v>0</v>
      </c>
      <c r="I254">
        <v>70737.570000000007</v>
      </c>
      <c r="J254">
        <v>163686.57</v>
      </c>
      <c r="K254">
        <v>0</v>
      </c>
      <c r="L254">
        <v>936314.72</v>
      </c>
      <c r="M254">
        <v>0</v>
      </c>
      <c r="N254">
        <v>225087.67</v>
      </c>
      <c r="O254">
        <v>139921.51999999999</v>
      </c>
      <c r="P254">
        <v>155678.21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362774.34</v>
      </c>
      <c r="W254">
        <v>0</v>
      </c>
      <c r="X254">
        <v>0</v>
      </c>
      <c r="Y254">
        <v>0</v>
      </c>
      <c r="Z254">
        <v>68627.600000000006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530179.21</v>
      </c>
      <c r="AH254">
        <v>0</v>
      </c>
      <c r="AI254">
        <v>0</v>
      </c>
      <c r="AJ254">
        <v>1194927377.3452899</v>
      </c>
    </row>
    <row r="255" spans="1:36" x14ac:dyDescent="0.25">
      <c r="A255" t="s">
        <v>572</v>
      </c>
      <c r="B255" t="s">
        <v>11</v>
      </c>
      <c r="D255">
        <v>48798.47</v>
      </c>
      <c r="E255">
        <v>17093.330000000002</v>
      </c>
      <c r="G255">
        <v>0.25468600000000002</v>
      </c>
      <c r="H255">
        <v>0</v>
      </c>
      <c r="I255">
        <v>145733.71</v>
      </c>
      <c r="J255">
        <v>643032.05000000005</v>
      </c>
      <c r="K255">
        <v>0</v>
      </c>
      <c r="L255">
        <v>3553012.2</v>
      </c>
      <c r="M255">
        <v>0</v>
      </c>
      <c r="N255">
        <v>804890.67</v>
      </c>
      <c r="O255">
        <v>38999.82</v>
      </c>
      <c r="P255">
        <v>37432.81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821667.01</v>
      </c>
      <c r="W255">
        <v>0</v>
      </c>
      <c r="X255">
        <v>0</v>
      </c>
      <c r="Y255">
        <v>0</v>
      </c>
      <c r="Z255">
        <v>127428.8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805384.81</v>
      </c>
      <c r="AH255">
        <v>0</v>
      </c>
      <c r="AI255">
        <v>0</v>
      </c>
      <c r="AJ255">
        <v>3984187500.46697</v>
      </c>
    </row>
    <row r="256" spans="1:36" x14ac:dyDescent="0.25">
      <c r="A256" t="s">
        <v>573</v>
      </c>
      <c r="B256" t="s">
        <v>11</v>
      </c>
      <c r="C256">
        <v>17093.330000000002</v>
      </c>
      <c r="D256">
        <v>48798.47</v>
      </c>
      <c r="G256">
        <v>0.25468600000000002</v>
      </c>
      <c r="H256">
        <v>0</v>
      </c>
      <c r="I256">
        <v>168078.04</v>
      </c>
      <c r="J256">
        <v>643032.05000000005</v>
      </c>
      <c r="K256">
        <v>0</v>
      </c>
      <c r="L256">
        <v>3553012.2</v>
      </c>
      <c r="M256">
        <v>0</v>
      </c>
      <c r="N256">
        <v>804898.12</v>
      </c>
      <c r="O256">
        <v>46795.23</v>
      </c>
      <c r="P256">
        <v>38287.629999999997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821560.86</v>
      </c>
      <c r="W256">
        <v>0</v>
      </c>
      <c r="X256">
        <v>0</v>
      </c>
      <c r="Y256">
        <v>0</v>
      </c>
      <c r="Z256">
        <v>127428.8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805384.81</v>
      </c>
      <c r="AH256">
        <v>0</v>
      </c>
      <c r="AI256">
        <v>0</v>
      </c>
      <c r="AJ256">
        <v>4106540016.0195298</v>
      </c>
    </row>
    <row r="257" spans="1:36" x14ac:dyDescent="0.25">
      <c r="A257" t="s">
        <v>574</v>
      </c>
      <c r="B257" t="s">
        <v>11</v>
      </c>
      <c r="C257">
        <v>7273.96</v>
      </c>
      <c r="D257">
        <v>20765.89</v>
      </c>
      <c r="G257">
        <v>0.10838</v>
      </c>
      <c r="H257">
        <v>0</v>
      </c>
      <c r="I257">
        <v>253085.13</v>
      </c>
      <c r="J257">
        <v>163686.57</v>
      </c>
      <c r="K257">
        <v>0</v>
      </c>
      <c r="L257">
        <v>936314.72</v>
      </c>
      <c r="M257">
        <v>0</v>
      </c>
      <c r="N257">
        <v>225586.6</v>
      </c>
      <c r="O257">
        <v>173720.03</v>
      </c>
      <c r="P257">
        <v>160771.15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362798.7</v>
      </c>
      <c r="W257">
        <v>0</v>
      </c>
      <c r="X257">
        <v>0</v>
      </c>
      <c r="Y257">
        <v>0</v>
      </c>
      <c r="Z257">
        <v>68627.600000000006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530225.93999999994</v>
      </c>
      <c r="AH257">
        <v>0</v>
      </c>
      <c r="AI257">
        <v>0</v>
      </c>
      <c r="AJ257">
        <v>1323484030.74508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931CC-E0A3-45B3-ABD2-7FE71D5A6D5D}">
  <dimension ref="A1:AJ33"/>
  <sheetViews>
    <sheetView workbookViewId="0"/>
  </sheetViews>
  <sheetFormatPr defaultRowHeight="15" x14ac:dyDescent="0.25"/>
  <sheetData>
    <row r="1" spans="1:3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</row>
    <row r="2" spans="1:36" x14ac:dyDescent="0.25">
      <c r="A2" t="s">
        <v>575</v>
      </c>
      <c r="B2" t="s">
        <v>26</v>
      </c>
      <c r="C2">
        <v>1556.83</v>
      </c>
      <c r="D2">
        <v>4444.49</v>
      </c>
      <c r="G2">
        <v>2.3196000000000001E-2</v>
      </c>
      <c r="H2">
        <v>0</v>
      </c>
      <c r="I2">
        <v>222981.8</v>
      </c>
      <c r="J2">
        <v>125722.95</v>
      </c>
      <c r="K2">
        <v>0</v>
      </c>
      <c r="L2">
        <v>179632.92</v>
      </c>
      <c r="M2">
        <v>0</v>
      </c>
      <c r="N2">
        <v>102731.31</v>
      </c>
      <c r="O2">
        <v>29039.31</v>
      </c>
      <c r="P2">
        <v>22029.72</v>
      </c>
      <c r="Q2">
        <v>0</v>
      </c>
      <c r="R2">
        <v>0</v>
      </c>
      <c r="S2">
        <v>0</v>
      </c>
      <c r="T2">
        <v>0</v>
      </c>
      <c r="U2">
        <v>0</v>
      </c>
      <c r="V2">
        <v>163901.23000000001</v>
      </c>
      <c r="W2">
        <v>0</v>
      </c>
      <c r="X2">
        <v>0</v>
      </c>
      <c r="Y2">
        <v>0</v>
      </c>
      <c r="Z2">
        <v>25988.9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11819.3</v>
      </c>
      <c r="AH2">
        <v>0</v>
      </c>
      <c r="AI2">
        <v>0</v>
      </c>
      <c r="AJ2">
        <v>627774788.17927301</v>
      </c>
    </row>
    <row r="3" spans="1:36" x14ac:dyDescent="0.25">
      <c r="A3" t="s">
        <v>576</v>
      </c>
      <c r="B3" t="s">
        <v>26</v>
      </c>
      <c r="D3">
        <v>4444.49</v>
      </c>
      <c r="E3">
        <v>1556.83</v>
      </c>
      <c r="G3">
        <v>2.3196000000000001E-2</v>
      </c>
      <c r="H3">
        <v>0</v>
      </c>
      <c r="I3">
        <v>206975.52</v>
      </c>
      <c r="J3">
        <v>125722.95</v>
      </c>
      <c r="K3">
        <v>0</v>
      </c>
      <c r="L3">
        <v>179632.92</v>
      </c>
      <c r="M3">
        <v>0</v>
      </c>
      <c r="N3">
        <v>102720.43</v>
      </c>
      <c r="O3">
        <v>25585.759999999998</v>
      </c>
      <c r="P3">
        <v>21760.25</v>
      </c>
      <c r="Q3">
        <v>0</v>
      </c>
      <c r="R3">
        <v>0</v>
      </c>
      <c r="S3">
        <v>0</v>
      </c>
      <c r="T3">
        <v>0</v>
      </c>
      <c r="U3">
        <v>0</v>
      </c>
      <c r="V3">
        <v>165339.12</v>
      </c>
      <c r="W3">
        <v>0</v>
      </c>
      <c r="X3">
        <v>0</v>
      </c>
      <c r="Y3">
        <v>0</v>
      </c>
      <c r="Z3">
        <v>25988.9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11788.24</v>
      </c>
      <c r="AH3">
        <v>0</v>
      </c>
      <c r="AI3">
        <v>0</v>
      </c>
      <c r="AJ3">
        <v>616209022.06596005</v>
      </c>
    </row>
    <row r="4" spans="1:36" x14ac:dyDescent="0.25">
      <c r="A4" t="s">
        <v>577</v>
      </c>
      <c r="B4" t="s">
        <v>25</v>
      </c>
      <c r="C4">
        <v>1847.44</v>
      </c>
      <c r="D4">
        <v>5274.1</v>
      </c>
      <c r="G4">
        <v>2.7525999999999998E-2</v>
      </c>
      <c r="H4">
        <v>0</v>
      </c>
      <c r="I4">
        <v>460163.45</v>
      </c>
      <c r="J4">
        <v>125722.95</v>
      </c>
      <c r="K4">
        <v>0</v>
      </c>
      <c r="L4">
        <v>179632.92</v>
      </c>
      <c r="M4">
        <v>0</v>
      </c>
      <c r="N4">
        <v>113955.08</v>
      </c>
      <c r="O4">
        <v>41259.96</v>
      </c>
      <c r="P4">
        <v>38463.839999999997</v>
      </c>
      <c r="Q4">
        <v>0</v>
      </c>
      <c r="R4">
        <v>0</v>
      </c>
      <c r="S4">
        <v>0</v>
      </c>
      <c r="T4">
        <v>0</v>
      </c>
      <c r="U4">
        <v>0</v>
      </c>
      <c r="V4">
        <v>131080.57999999999</v>
      </c>
      <c r="W4">
        <v>0</v>
      </c>
      <c r="X4">
        <v>0</v>
      </c>
      <c r="Y4">
        <v>0</v>
      </c>
      <c r="Z4">
        <v>25988.9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9051.49</v>
      </c>
      <c r="AH4">
        <v>0</v>
      </c>
      <c r="AI4">
        <v>0</v>
      </c>
      <c r="AJ4">
        <v>827114020.915869</v>
      </c>
    </row>
    <row r="5" spans="1:36" x14ac:dyDescent="0.25">
      <c r="A5" t="s">
        <v>578</v>
      </c>
      <c r="B5" t="s">
        <v>25</v>
      </c>
      <c r="D5">
        <v>5274.1</v>
      </c>
      <c r="E5">
        <v>1847.44</v>
      </c>
      <c r="G5">
        <v>2.7525999999999998E-2</v>
      </c>
      <c r="H5">
        <v>0</v>
      </c>
      <c r="I5">
        <v>372803.68</v>
      </c>
      <c r="J5">
        <v>125722.95</v>
      </c>
      <c r="K5">
        <v>0</v>
      </c>
      <c r="L5">
        <v>179632.92</v>
      </c>
      <c r="M5">
        <v>0</v>
      </c>
      <c r="N5">
        <v>113951.3</v>
      </c>
      <c r="O5">
        <v>35130.410000000003</v>
      </c>
      <c r="P5">
        <v>38249.57</v>
      </c>
      <c r="Q5">
        <v>0</v>
      </c>
      <c r="R5">
        <v>0</v>
      </c>
      <c r="S5">
        <v>0</v>
      </c>
      <c r="T5">
        <v>0</v>
      </c>
      <c r="U5">
        <v>0</v>
      </c>
      <c r="V5">
        <v>132021.42000000001</v>
      </c>
      <c r="W5">
        <v>0</v>
      </c>
      <c r="X5">
        <v>0</v>
      </c>
      <c r="Y5">
        <v>0</v>
      </c>
      <c r="Z5">
        <v>25988.9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9028.48</v>
      </c>
      <c r="AH5">
        <v>0</v>
      </c>
      <c r="AI5">
        <v>0</v>
      </c>
      <c r="AJ5">
        <v>790513946.93565297</v>
      </c>
    </row>
    <row r="6" spans="1:36" x14ac:dyDescent="0.25">
      <c r="A6" t="s">
        <v>579</v>
      </c>
      <c r="B6" t="s">
        <v>24</v>
      </c>
      <c r="C6">
        <v>1784.58</v>
      </c>
      <c r="D6">
        <v>5094.66</v>
      </c>
      <c r="G6">
        <v>2.6589999999999999E-2</v>
      </c>
      <c r="H6">
        <v>0</v>
      </c>
      <c r="I6">
        <v>327065.45</v>
      </c>
      <c r="J6">
        <v>125722.95</v>
      </c>
      <c r="K6">
        <v>0</v>
      </c>
      <c r="L6">
        <v>179632.92</v>
      </c>
      <c r="M6">
        <v>0</v>
      </c>
      <c r="N6">
        <v>102850.54</v>
      </c>
      <c r="O6">
        <v>34307.22</v>
      </c>
      <c r="P6">
        <v>31084.97</v>
      </c>
      <c r="Q6">
        <v>0</v>
      </c>
      <c r="R6">
        <v>0</v>
      </c>
      <c r="S6">
        <v>0</v>
      </c>
      <c r="T6">
        <v>0</v>
      </c>
      <c r="U6">
        <v>0</v>
      </c>
      <c r="V6">
        <v>111912.84</v>
      </c>
      <c r="W6">
        <v>0</v>
      </c>
      <c r="X6">
        <v>0</v>
      </c>
      <c r="Y6">
        <v>0</v>
      </c>
      <c r="Z6">
        <v>25988.9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10061.32</v>
      </c>
      <c r="AH6">
        <v>0</v>
      </c>
      <c r="AI6">
        <v>0</v>
      </c>
      <c r="AJ6">
        <v>814175516.42428899</v>
      </c>
    </row>
    <row r="7" spans="1:36" x14ac:dyDescent="0.25">
      <c r="A7" t="s">
        <v>580</v>
      </c>
      <c r="B7" t="s">
        <v>24</v>
      </c>
      <c r="D7">
        <v>5094.66</v>
      </c>
      <c r="E7">
        <v>1784.58</v>
      </c>
      <c r="G7">
        <v>2.6589999999999999E-2</v>
      </c>
      <c r="H7">
        <v>0</v>
      </c>
      <c r="I7">
        <v>299614.90999999997</v>
      </c>
      <c r="J7">
        <v>125722.95</v>
      </c>
      <c r="K7">
        <v>0</v>
      </c>
      <c r="L7">
        <v>179632.92</v>
      </c>
      <c r="M7">
        <v>0</v>
      </c>
      <c r="N7">
        <v>102820.75</v>
      </c>
      <c r="O7">
        <v>30463.86</v>
      </c>
      <c r="P7">
        <v>30826.62</v>
      </c>
      <c r="Q7">
        <v>0</v>
      </c>
      <c r="R7">
        <v>0</v>
      </c>
      <c r="S7">
        <v>0</v>
      </c>
      <c r="T7">
        <v>0</v>
      </c>
      <c r="U7">
        <v>0</v>
      </c>
      <c r="V7">
        <v>111852.1</v>
      </c>
      <c r="W7">
        <v>0</v>
      </c>
      <c r="X7">
        <v>0</v>
      </c>
      <c r="Y7">
        <v>0</v>
      </c>
      <c r="Z7">
        <v>25988.9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10025.379999999999</v>
      </c>
      <c r="AH7">
        <v>0</v>
      </c>
      <c r="AI7">
        <v>0</v>
      </c>
      <c r="AJ7">
        <v>821948522.28135097</v>
      </c>
    </row>
    <row r="8" spans="1:36" x14ac:dyDescent="0.25">
      <c r="A8" t="s">
        <v>581</v>
      </c>
      <c r="B8" t="s">
        <v>22</v>
      </c>
      <c r="C8">
        <v>1722.77</v>
      </c>
      <c r="D8">
        <v>4918.2</v>
      </c>
      <c r="G8">
        <v>2.5669000000000001E-2</v>
      </c>
      <c r="H8">
        <v>0</v>
      </c>
      <c r="I8">
        <v>252880.21</v>
      </c>
      <c r="J8">
        <v>125722.95</v>
      </c>
      <c r="K8">
        <v>0</v>
      </c>
      <c r="L8">
        <v>179632.92</v>
      </c>
      <c r="M8">
        <v>0</v>
      </c>
      <c r="N8">
        <v>76392.56</v>
      </c>
      <c r="O8">
        <v>28810.17</v>
      </c>
      <c r="P8">
        <v>25933.119999999999</v>
      </c>
      <c r="Q8">
        <v>0</v>
      </c>
      <c r="R8">
        <v>0</v>
      </c>
      <c r="S8">
        <v>0</v>
      </c>
      <c r="T8">
        <v>0</v>
      </c>
      <c r="U8">
        <v>0</v>
      </c>
      <c r="V8">
        <v>126633.28</v>
      </c>
      <c r="W8">
        <v>0</v>
      </c>
      <c r="X8">
        <v>0</v>
      </c>
      <c r="Y8">
        <v>0</v>
      </c>
      <c r="Z8">
        <v>25988.9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11104.25</v>
      </c>
      <c r="AH8">
        <v>0</v>
      </c>
      <c r="AI8">
        <v>0</v>
      </c>
      <c r="AJ8">
        <v>737120590.280532</v>
      </c>
    </row>
    <row r="9" spans="1:36" x14ac:dyDescent="0.25">
      <c r="A9" t="s">
        <v>582</v>
      </c>
      <c r="B9" t="s">
        <v>23</v>
      </c>
      <c r="D9">
        <v>5150.04</v>
      </c>
      <c r="E9">
        <v>1803.98</v>
      </c>
      <c r="G9">
        <v>2.6879E-2</v>
      </c>
      <c r="H9">
        <v>0</v>
      </c>
      <c r="I9">
        <v>246553.97</v>
      </c>
      <c r="J9">
        <v>125722.95</v>
      </c>
      <c r="K9">
        <v>0</v>
      </c>
      <c r="L9">
        <v>179632.92</v>
      </c>
      <c r="M9">
        <v>0</v>
      </c>
      <c r="N9">
        <v>89902.25</v>
      </c>
      <c r="O9">
        <v>27404.74</v>
      </c>
      <c r="P9">
        <v>28954.85</v>
      </c>
      <c r="Q9">
        <v>0</v>
      </c>
      <c r="R9">
        <v>0</v>
      </c>
      <c r="S9">
        <v>0</v>
      </c>
      <c r="T9">
        <v>0</v>
      </c>
      <c r="U9">
        <v>0</v>
      </c>
      <c r="V9">
        <v>128378.19</v>
      </c>
      <c r="W9">
        <v>0</v>
      </c>
      <c r="X9">
        <v>0</v>
      </c>
      <c r="Y9">
        <v>0</v>
      </c>
      <c r="Z9">
        <v>25988.9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10573.56</v>
      </c>
      <c r="AH9">
        <v>0</v>
      </c>
      <c r="AI9">
        <v>0</v>
      </c>
      <c r="AJ9">
        <v>732573305.16424406</v>
      </c>
    </row>
    <row r="10" spans="1:36" x14ac:dyDescent="0.25">
      <c r="A10" t="s">
        <v>583</v>
      </c>
      <c r="B10" t="s">
        <v>22</v>
      </c>
      <c r="D10">
        <v>4918.2</v>
      </c>
      <c r="E10">
        <v>1722.77</v>
      </c>
      <c r="G10">
        <v>2.5669000000000001E-2</v>
      </c>
      <c r="H10">
        <v>0</v>
      </c>
      <c r="I10">
        <v>194155.98</v>
      </c>
      <c r="J10">
        <v>125722.95</v>
      </c>
      <c r="K10">
        <v>0</v>
      </c>
      <c r="L10">
        <v>179632.92</v>
      </c>
      <c r="M10">
        <v>0</v>
      </c>
      <c r="N10">
        <v>76436.92</v>
      </c>
      <c r="O10">
        <v>24463.27</v>
      </c>
      <c r="P10">
        <v>25535.33</v>
      </c>
      <c r="Q10">
        <v>0</v>
      </c>
      <c r="R10">
        <v>0</v>
      </c>
      <c r="S10">
        <v>0</v>
      </c>
      <c r="T10">
        <v>0</v>
      </c>
      <c r="U10">
        <v>0</v>
      </c>
      <c r="V10">
        <v>127239.53</v>
      </c>
      <c r="W10">
        <v>0</v>
      </c>
      <c r="X10">
        <v>0</v>
      </c>
      <c r="Y10">
        <v>0</v>
      </c>
      <c r="Z10">
        <v>25988.9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11150.86</v>
      </c>
      <c r="AH10">
        <v>0</v>
      </c>
      <c r="AI10">
        <v>0</v>
      </c>
      <c r="AJ10">
        <v>646106244.947914</v>
      </c>
    </row>
    <row r="11" spans="1:36" x14ac:dyDescent="0.25">
      <c r="A11" t="s">
        <v>584</v>
      </c>
      <c r="B11" t="s">
        <v>23</v>
      </c>
      <c r="C11">
        <v>1803.98</v>
      </c>
      <c r="D11">
        <v>5150.04</v>
      </c>
      <c r="G11">
        <v>2.6879E-2</v>
      </c>
      <c r="H11">
        <v>0</v>
      </c>
      <c r="I11">
        <v>314839.34000000003</v>
      </c>
      <c r="J11">
        <v>125722.95</v>
      </c>
      <c r="K11">
        <v>0</v>
      </c>
      <c r="L11">
        <v>179632.92</v>
      </c>
      <c r="M11">
        <v>0</v>
      </c>
      <c r="N11">
        <v>89854.13</v>
      </c>
      <c r="O11">
        <v>32055.55</v>
      </c>
      <c r="P11">
        <v>29266.5</v>
      </c>
      <c r="Q11">
        <v>0</v>
      </c>
      <c r="R11">
        <v>0</v>
      </c>
      <c r="S11">
        <v>0</v>
      </c>
      <c r="T11">
        <v>0</v>
      </c>
      <c r="U11">
        <v>0</v>
      </c>
      <c r="V11">
        <v>127567.56</v>
      </c>
      <c r="W11">
        <v>0</v>
      </c>
      <c r="X11">
        <v>0</v>
      </c>
      <c r="Y11">
        <v>0</v>
      </c>
      <c r="Z11">
        <v>25988.9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10568.12</v>
      </c>
      <c r="AH11">
        <v>0</v>
      </c>
      <c r="AI11">
        <v>0</v>
      </c>
      <c r="AJ11">
        <v>795306813.98017395</v>
      </c>
    </row>
    <row r="12" spans="1:36" x14ac:dyDescent="0.25">
      <c r="A12" t="s">
        <v>585</v>
      </c>
      <c r="B12" t="s">
        <v>21</v>
      </c>
      <c r="D12">
        <v>5085.88</v>
      </c>
      <c r="E12">
        <v>1781.5</v>
      </c>
      <c r="G12">
        <v>2.6544000000000002E-2</v>
      </c>
      <c r="H12">
        <v>0</v>
      </c>
      <c r="I12">
        <v>222030.1</v>
      </c>
      <c r="J12">
        <v>125722.95</v>
      </c>
      <c r="K12">
        <v>0</v>
      </c>
      <c r="L12">
        <v>179632.92</v>
      </c>
      <c r="M12">
        <v>0</v>
      </c>
      <c r="N12">
        <v>88119.679999999993</v>
      </c>
      <c r="O12">
        <v>25564.04</v>
      </c>
      <c r="P12">
        <v>26757.599999999999</v>
      </c>
      <c r="Q12">
        <v>0</v>
      </c>
      <c r="R12">
        <v>0</v>
      </c>
      <c r="S12">
        <v>0</v>
      </c>
      <c r="T12">
        <v>0</v>
      </c>
      <c r="U12">
        <v>0</v>
      </c>
      <c r="V12">
        <v>151728.78</v>
      </c>
      <c r="W12">
        <v>0</v>
      </c>
      <c r="X12">
        <v>0</v>
      </c>
      <c r="Y12">
        <v>0</v>
      </c>
      <c r="Z12">
        <v>25988.9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10785.6</v>
      </c>
      <c r="AH12">
        <v>0</v>
      </c>
      <c r="AI12">
        <v>0</v>
      </c>
      <c r="AJ12">
        <v>698695229.995</v>
      </c>
    </row>
    <row r="13" spans="1:36" x14ac:dyDescent="0.25">
      <c r="A13" t="s">
        <v>586</v>
      </c>
      <c r="B13" t="s">
        <v>21</v>
      </c>
      <c r="C13">
        <v>1781.5</v>
      </c>
      <c r="D13">
        <v>5085.88</v>
      </c>
      <c r="G13">
        <v>2.6544000000000002E-2</v>
      </c>
      <c r="H13">
        <v>0</v>
      </c>
      <c r="I13">
        <v>280072.07</v>
      </c>
      <c r="J13">
        <v>125722.95</v>
      </c>
      <c r="K13">
        <v>0</v>
      </c>
      <c r="L13">
        <v>179632.92</v>
      </c>
      <c r="M13">
        <v>0</v>
      </c>
      <c r="N13">
        <v>88090.44</v>
      </c>
      <c r="O13">
        <v>29906.95</v>
      </c>
      <c r="P13">
        <v>27044.3</v>
      </c>
      <c r="Q13">
        <v>0</v>
      </c>
      <c r="R13">
        <v>0</v>
      </c>
      <c r="S13">
        <v>0</v>
      </c>
      <c r="T13">
        <v>0</v>
      </c>
      <c r="U13">
        <v>0</v>
      </c>
      <c r="V13">
        <v>150379.35999999999</v>
      </c>
      <c r="W13">
        <v>0</v>
      </c>
      <c r="X13">
        <v>0</v>
      </c>
      <c r="Y13">
        <v>0</v>
      </c>
      <c r="Z13">
        <v>25988.9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10784.19</v>
      </c>
      <c r="AH13">
        <v>0</v>
      </c>
      <c r="AI13">
        <v>0</v>
      </c>
      <c r="AJ13">
        <v>770329904.16336501</v>
      </c>
    </row>
    <row r="14" spans="1:36" x14ac:dyDescent="0.25">
      <c r="A14" t="s">
        <v>587</v>
      </c>
      <c r="B14" t="s">
        <v>20</v>
      </c>
      <c r="C14">
        <v>1720.44</v>
      </c>
      <c r="D14">
        <v>4911.5600000000004</v>
      </c>
      <c r="G14">
        <v>2.5634000000000001E-2</v>
      </c>
      <c r="H14">
        <v>0</v>
      </c>
      <c r="I14">
        <v>297674.76</v>
      </c>
      <c r="J14">
        <v>125722.95</v>
      </c>
      <c r="K14">
        <v>0</v>
      </c>
      <c r="L14">
        <v>179632.92</v>
      </c>
      <c r="M14">
        <v>0</v>
      </c>
      <c r="N14">
        <v>85893.14</v>
      </c>
      <c r="O14">
        <v>33206.83</v>
      </c>
      <c r="P14">
        <v>30666.22</v>
      </c>
      <c r="Q14">
        <v>0</v>
      </c>
      <c r="R14">
        <v>0</v>
      </c>
      <c r="S14">
        <v>0</v>
      </c>
      <c r="T14">
        <v>0</v>
      </c>
      <c r="U14">
        <v>0</v>
      </c>
      <c r="V14">
        <v>98561.16</v>
      </c>
      <c r="W14">
        <v>0</v>
      </c>
      <c r="X14">
        <v>0</v>
      </c>
      <c r="Y14">
        <v>0</v>
      </c>
      <c r="Z14">
        <v>25988.9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10585.48</v>
      </c>
      <c r="AH14">
        <v>0</v>
      </c>
      <c r="AI14">
        <v>0</v>
      </c>
      <c r="AJ14">
        <v>710491158.02423203</v>
      </c>
    </row>
    <row r="15" spans="1:36" x14ac:dyDescent="0.25">
      <c r="A15" t="s">
        <v>588</v>
      </c>
      <c r="B15" t="s">
        <v>19</v>
      </c>
      <c r="D15">
        <v>4507.54</v>
      </c>
      <c r="E15">
        <v>1578.92</v>
      </c>
      <c r="G15">
        <v>2.3525000000000001E-2</v>
      </c>
      <c r="H15">
        <v>0</v>
      </c>
      <c r="I15">
        <v>260926.97</v>
      </c>
      <c r="J15">
        <v>125722.95</v>
      </c>
      <c r="K15">
        <v>0</v>
      </c>
      <c r="L15">
        <v>179632.92</v>
      </c>
      <c r="M15">
        <v>0</v>
      </c>
      <c r="N15">
        <v>78313.98</v>
      </c>
      <c r="O15">
        <v>29134.82</v>
      </c>
      <c r="P15">
        <v>30435.93</v>
      </c>
      <c r="Q15">
        <v>0</v>
      </c>
      <c r="R15">
        <v>0</v>
      </c>
      <c r="S15">
        <v>0</v>
      </c>
      <c r="T15">
        <v>0</v>
      </c>
      <c r="U15">
        <v>0</v>
      </c>
      <c r="V15">
        <v>64643.95</v>
      </c>
      <c r="W15">
        <v>0</v>
      </c>
      <c r="X15">
        <v>0</v>
      </c>
      <c r="Y15">
        <v>0</v>
      </c>
      <c r="Z15">
        <v>25988.9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10727.66</v>
      </c>
      <c r="AH15">
        <v>0</v>
      </c>
      <c r="AI15">
        <v>0</v>
      </c>
      <c r="AJ15">
        <v>585631595.65516305</v>
      </c>
    </row>
    <row r="16" spans="1:36" x14ac:dyDescent="0.25">
      <c r="A16" t="s">
        <v>589</v>
      </c>
      <c r="B16" t="s">
        <v>20</v>
      </c>
      <c r="D16">
        <v>4911.5600000000004</v>
      </c>
      <c r="E16">
        <v>1720.44</v>
      </c>
      <c r="G16">
        <v>2.5634000000000001E-2</v>
      </c>
      <c r="H16">
        <v>0</v>
      </c>
      <c r="I16">
        <v>224995.29</v>
      </c>
      <c r="J16">
        <v>125722.95</v>
      </c>
      <c r="K16">
        <v>0</v>
      </c>
      <c r="L16">
        <v>179632.92</v>
      </c>
      <c r="M16">
        <v>0</v>
      </c>
      <c r="N16">
        <v>85986.74</v>
      </c>
      <c r="O16">
        <v>28300.81</v>
      </c>
      <c r="P16">
        <v>30369.200000000001</v>
      </c>
      <c r="Q16">
        <v>0</v>
      </c>
      <c r="R16">
        <v>0</v>
      </c>
      <c r="S16">
        <v>0</v>
      </c>
      <c r="T16">
        <v>0</v>
      </c>
      <c r="U16">
        <v>0</v>
      </c>
      <c r="V16">
        <v>99582.21</v>
      </c>
      <c r="W16">
        <v>0</v>
      </c>
      <c r="X16">
        <v>0</v>
      </c>
      <c r="Y16">
        <v>0</v>
      </c>
      <c r="Z16">
        <v>25988.9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10564.6</v>
      </c>
      <c r="AH16">
        <v>0</v>
      </c>
      <c r="AI16">
        <v>0</v>
      </c>
      <c r="AJ16">
        <v>611048479.00726604</v>
      </c>
    </row>
    <row r="17" spans="1:36" x14ac:dyDescent="0.25">
      <c r="A17" t="s">
        <v>590</v>
      </c>
      <c r="B17" t="s">
        <v>19</v>
      </c>
      <c r="C17">
        <v>1578.92</v>
      </c>
      <c r="D17">
        <v>4507.54</v>
      </c>
      <c r="G17">
        <v>2.3525000000000001E-2</v>
      </c>
      <c r="H17">
        <v>0</v>
      </c>
      <c r="I17">
        <v>276899.93</v>
      </c>
      <c r="J17">
        <v>125722.95</v>
      </c>
      <c r="K17">
        <v>0</v>
      </c>
      <c r="L17">
        <v>179632.92</v>
      </c>
      <c r="M17">
        <v>0</v>
      </c>
      <c r="N17">
        <v>78307.3</v>
      </c>
      <c r="O17">
        <v>32544.58</v>
      </c>
      <c r="P17">
        <v>30543.32</v>
      </c>
      <c r="Q17">
        <v>0</v>
      </c>
      <c r="R17">
        <v>0</v>
      </c>
      <c r="S17">
        <v>0</v>
      </c>
      <c r="T17">
        <v>0</v>
      </c>
      <c r="U17">
        <v>0</v>
      </c>
      <c r="V17">
        <v>65004.959999999999</v>
      </c>
      <c r="W17">
        <v>0</v>
      </c>
      <c r="X17">
        <v>0</v>
      </c>
      <c r="Y17">
        <v>0</v>
      </c>
      <c r="Z17">
        <v>25988.9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10793.7</v>
      </c>
      <c r="AH17">
        <v>0</v>
      </c>
      <c r="AI17">
        <v>0</v>
      </c>
      <c r="AJ17">
        <v>615974957.18231797</v>
      </c>
    </row>
    <row r="18" spans="1:36" x14ac:dyDescent="0.25">
      <c r="A18" t="s">
        <v>591</v>
      </c>
      <c r="B18" t="s">
        <v>18</v>
      </c>
      <c r="D18">
        <v>4498.1400000000003</v>
      </c>
      <c r="E18">
        <v>1575.63</v>
      </c>
      <c r="G18">
        <v>2.3476E-2</v>
      </c>
      <c r="H18">
        <v>0</v>
      </c>
      <c r="I18">
        <v>198907.4</v>
      </c>
      <c r="J18">
        <v>125722.95</v>
      </c>
      <c r="K18">
        <v>0</v>
      </c>
      <c r="L18">
        <v>179632.92</v>
      </c>
      <c r="M18">
        <v>0</v>
      </c>
      <c r="N18">
        <v>71448.89</v>
      </c>
      <c r="O18">
        <v>27360.7</v>
      </c>
      <c r="P18">
        <v>29705.89</v>
      </c>
      <c r="Q18">
        <v>0</v>
      </c>
      <c r="R18">
        <v>0</v>
      </c>
      <c r="S18">
        <v>0</v>
      </c>
      <c r="T18">
        <v>0</v>
      </c>
      <c r="U18">
        <v>0</v>
      </c>
      <c r="V18">
        <v>60055.3</v>
      </c>
      <c r="W18">
        <v>0</v>
      </c>
      <c r="X18">
        <v>0</v>
      </c>
      <c r="Y18">
        <v>0</v>
      </c>
      <c r="Z18">
        <v>25988.9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10836.58</v>
      </c>
      <c r="AH18">
        <v>0</v>
      </c>
      <c r="AI18">
        <v>0</v>
      </c>
      <c r="AJ18">
        <v>499455111.43771797</v>
      </c>
    </row>
    <row r="19" spans="1:36" x14ac:dyDescent="0.25">
      <c r="A19" t="s">
        <v>592</v>
      </c>
      <c r="B19" t="s">
        <v>17</v>
      </c>
      <c r="D19">
        <v>4099.97</v>
      </c>
      <c r="E19">
        <v>1436.16</v>
      </c>
      <c r="G19">
        <v>2.1398E-2</v>
      </c>
      <c r="H19">
        <v>0</v>
      </c>
      <c r="I19">
        <v>222306.07</v>
      </c>
      <c r="J19">
        <v>125722.95</v>
      </c>
      <c r="K19">
        <v>0</v>
      </c>
      <c r="L19">
        <v>179632.92</v>
      </c>
      <c r="M19">
        <v>0</v>
      </c>
      <c r="N19">
        <v>69676.28</v>
      </c>
      <c r="O19">
        <v>27155.73</v>
      </c>
      <c r="P19">
        <v>28349.66</v>
      </c>
      <c r="Q19">
        <v>0</v>
      </c>
      <c r="R19">
        <v>0</v>
      </c>
      <c r="S19">
        <v>0</v>
      </c>
      <c r="T19">
        <v>0</v>
      </c>
      <c r="U19">
        <v>0</v>
      </c>
      <c r="V19">
        <v>46536.7</v>
      </c>
      <c r="W19">
        <v>0</v>
      </c>
      <c r="X19">
        <v>0</v>
      </c>
      <c r="Y19">
        <v>0</v>
      </c>
      <c r="Z19">
        <v>25988.9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10842.76</v>
      </c>
      <c r="AH19">
        <v>0</v>
      </c>
      <c r="AI19">
        <v>0</v>
      </c>
      <c r="AJ19">
        <v>588197497.18910396</v>
      </c>
    </row>
    <row r="20" spans="1:36" x14ac:dyDescent="0.25">
      <c r="A20" t="s">
        <v>593</v>
      </c>
      <c r="B20" t="s">
        <v>17</v>
      </c>
      <c r="C20">
        <v>1436.16</v>
      </c>
      <c r="D20">
        <v>4099.97</v>
      </c>
      <c r="G20">
        <v>2.1398E-2</v>
      </c>
      <c r="H20">
        <v>0</v>
      </c>
      <c r="I20">
        <v>238147.61</v>
      </c>
      <c r="J20">
        <v>125722.95</v>
      </c>
      <c r="K20">
        <v>0</v>
      </c>
      <c r="L20">
        <v>179632.92</v>
      </c>
      <c r="M20">
        <v>0</v>
      </c>
      <c r="N20">
        <v>69666.73</v>
      </c>
      <c r="O20">
        <v>30266.560000000001</v>
      </c>
      <c r="P20">
        <v>28431.94</v>
      </c>
      <c r="Q20">
        <v>0</v>
      </c>
      <c r="R20">
        <v>0</v>
      </c>
      <c r="S20">
        <v>0</v>
      </c>
      <c r="T20">
        <v>0</v>
      </c>
      <c r="U20">
        <v>0</v>
      </c>
      <c r="V20">
        <v>46965.01</v>
      </c>
      <c r="W20">
        <v>0</v>
      </c>
      <c r="X20">
        <v>0</v>
      </c>
      <c r="Y20">
        <v>0</v>
      </c>
      <c r="Z20">
        <v>25988.9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10849.82</v>
      </c>
      <c r="AH20">
        <v>0</v>
      </c>
      <c r="AI20">
        <v>0</v>
      </c>
      <c r="AJ20">
        <v>592590655.75157905</v>
      </c>
    </row>
    <row r="21" spans="1:36" x14ac:dyDescent="0.25">
      <c r="A21" t="s">
        <v>594</v>
      </c>
      <c r="B21" t="s">
        <v>18</v>
      </c>
      <c r="C21">
        <v>1575.63</v>
      </c>
      <c r="D21">
        <v>4498.1400000000003</v>
      </c>
      <c r="G21">
        <v>2.3476E-2</v>
      </c>
      <c r="H21">
        <v>0</v>
      </c>
      <c r="I21">
        <v>258576.06</v>
      </c>
      <c r="J21">
        <v>125722.95</v>
      </c>
      <c r="K21">
        <v>0</v>
      </c>
      <c r="L21">
        <v>179632.92</v>
      </c>
      <c r="M21">
        <v>0</v>
      </c>
      <c r="N21">
        <v>71389.61</v>
      </c>
      <c r="O21">
        <v>31853.08</v>
      </c>
      <c r="P21">
        <v>29827.67</v>
      </c>
      <c r="Q21">
        <v>0</v>
      </c>
      <c r="R21">
        <v>0</v>
      </c>
      <c r="S21">
        <v>0</v>
      </c>
      <c r="T21">
        <v>0</v>
      </c>
      <c r="U21">
        <v>0</v>
      </c>
      <c r="V21">
        <v>59860.47</v>
      </c>
      <c r="W21">
        <v>0</v>
      </c>
      <c r="X21">
        <v>0</v>
      </c>
      <c r="Y21">
        <v>0</v>
      </c>
      <c r="Z21">
        <v>25988.9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10790.14</v>
      </c>
      <c r="AH21">
        <v>0</v>
      </c>
      <c r="AI21">
        <v>0</v>
      </c>
      <c r="AJ21">
        <v>594888085.65891802</v>
      </c>
    </row>
    <row r="22" spans="1:36" x14ac:dyDescent="0.25">
      <c r="A22" t="s">
        <v>595</v>
      </c>
      <c r="B22" t="s">
        <v>16</v>
      </c>
      <c r="C22">
        <v>1408.3</v>
      </c>
      <c r="D22">
        <v>4020.46</v>
      </c>
      <c r="G22">
        <v>2.0983000000000002E-2</v>
      </c>
      <c r="H22">
        <v>0</v>
      </c>
      <c r="I22">
        <v>210983.17</v>
      </c>
      <c r="J22">
        <v>125722.95</v>
      </c>
      <c r="K22">
        <v>0</v>
      </c>
      <c r="L22">
        <v>179632.92</v>
      </c>
      <c r="M22">
        <v>0</v>
      </c>
      <c r="N22">
        <v>59483.27</v>
      </c>
      <c r="O22">
        <v>28529.22</v>
      </c>
      <c r="P22">
        <v>26795.11</v>
      </c>
      <c r="Q22">
        <v>0</v>
      </c>
      <c r="R22">
        <v>0</v>
      </c>
      <c r="S22">
        <v>0</v>
      </c>
      <c r="T22">
        <v>0</v>
      </c>
      <c r="U22">
        <v>0</v>
      </c>
      <c r="V22">
        <v>26211.74</v>
      </c>
      <c r="W22">
        <v>0</v>
      </c>
      <c r="X22">
        <v>0</v>
      </c>
      <c r="Y22">
        <v>0</v>
      </c>
      <c r="Z22">
        <v>25988.9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11000.94</v>
      </c>
      <c r="AH22">
        <v>0</v>
      </c>
      <c r="AI22">
        <v>0</v>
      </c>
      <c r="AJ22">
        <v>516843729.81154799</v>
      </c>
    </row>
    <row r="23" spans="1:36" x14ac:dyDescent="0.25">
      <c r="A23" t="s">
        <v>596</v>
      </c>
      <c r="B23" t="s">
        <v>16</v>
      </c>
      <c r="D23">
        <v>4020.46</v>
      </c>
      <c r="E23">
        <v>1408.3</v>
      </c>
      <c r="G23">
        <v>2.0983000000000002E-2</v>
      </c>
      <c r="H23">
        <v>0</v>
      </c>
      <c r="I23">
        <v>197292.42</v>
      </c>
      <c r="J23">
        <v>125722.95</v>
      </c>
      <c r="K23">
        <v>0</v>
      </c>
      <c r="L23">
        <v>179632.92</v>
      </c>
      <c r="M23">
        <v>0</v>
      </c>
      <c r="N23">
        <v>59483.54</v>
      </c>
      <c r="O23">
        <v>25211.31</v>
      </c>
      <c r="P23">
        <v>26715.58</v>
      </c>
      <c r="Q23">
        <v>0</v>
      </c>
      <c r="R23">
        <v>0</v>
      </c>
      <c r="S23">
        <v>0</v>
      </c>
      <c r="T23">
        <v>0</v>
      </c>
      <c r="U23">
        <v>0</v>
      </c>
      <c r="V23">
        <v>25902.26</v>
      </c>
      <c r="W23">
        <v>0</v>
      </c>
      <c r="X23">
        <v>0</v>
      </c>
      <c r="Y23">
        <v>0</v>
      </c>
      <c r="Z23">
        <v>25988.9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10994.82</v>
      </c>
      <c r="AH23">
        <v>0</v>
      </c>
      <c r="AI23">
        <v>0</v>
      </c>
      <c r="AJ23">
        <v>492493199.71034998</v>
      </c>
    </row>
    <row r="24" spans="1:36" x14ac:dyDescent="0.25">
      <c r="A24" t="s">
        <v>597</v>
      </c>
      <c r="B24" t="s">
        <v>15</v>
      </c>
      <c r="D24">
        <v>3810.92</v>
      </c>
      <c r="E24">
        <v>1334.91</v>
      </c>
      <c r="G24">
        <v>1.9890000000000001E-2</v>
      </c>
      <c r="H24">
        <v>0</v>
      </c>
      <c r="I24">
        <v>114224.86</v>
      </c>
      <c r="J24">
        <v>125722.95</v>
      </c>
      <c r="K24">
        <v>0</v>
      </c>
      <c r="L24">
        <v>179632.92</v>
      </c>
      <c r="M24">
        <v>0</v>
      </c>
      <c r="N24">
        <v>48142.32</v>
      </c>
      <c r="O24">
        <v>15877.19</v>
      </c>
      <c r="P24">
        <v>16397.75</v>
      </c>
      <c r="Q24">
        <v>0</v>
      </c>
      <c r="R24">
        <v>0</v>
      </c>
      <c r="S24">
        <v>0</v>
      </c>
      <c r="T24">
        <v>0</v>
      </c>
      <c r="U24">
        <v>0</v>
      </c>
      <c r="V24">
        <v>43643.69</v>
      </c>
      <c r="W24">
        <v>0</v>
      </c>
      <c r="X24">
        <v>0</v>
      </c>
      <c r="Y24">
        <v>0</v>
      </c>
      <c r="Z24">
        <v>25988.9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11806.95</v>
      </c>
      <c r="AH24">
        <v>0</v>
      </c>
      <c r="AI24">
        <v>0</v>
      </c>
      <c r="AJ24">
        <v>433798728.78504598</v>
      </c>
    </row>
    <row r="25" spans="1:36" x14ac:dyDescent="0.25">
      <c r="A25" t="s">
        <v>598</v>
      </c>
      <c r="B25" t="s">
        <v>15</v>
      </c>
      <c r="C25">
        <v>1334.91</v>
      </c>
      <c r="D25">
        <v>3810.92</v>
      </c>
      <c r="G25">
        <v>1.9890000000000001E-2</v>
      </c>
      <c r="H25">
        <v>0</v>
      </c>
      <c r="I25">
        <v>120782.06</v>
      </c>
      <c r="J25">
        <v>125722.95</v>
      </c>
      <c r="K25">
        <v>0</v>
      </c>
      <c r="L25">
        <v>179632.92</v>
      </c>
      <c r="M25">
        <v>0</v>
      </c>
      <c r="N25">
        <v>48160.81</v>
      </c>
      <c r="O25">
        <v>18263.02</v>
      </c>
      <c r="P25">
        <v>16566.400000000001</v>
      </c>
      <c r="Q25">
        <v>0</v>
      </c>
      <c r="R25">
        <v>0</v>
      </c>
      <c r="S25">
        <v>0</v>
      </c>
      <c r="T25">
        <v>0</v>
      </c>
      <c r="U25">
        <v>0</v>
      </c>
      <c r="V25">
        <v>43669.37</v>
      </c>
      <c r="W25">
        <v>0</v>
      </c>
      <c r="X25">
        <v>0</v>
      </c>
      <c r="Y25">
        <v>0</v>
      </c>
      <c r="Z25">
        <v>25988.9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11835.46</v>
      </c>
      <c r="AH25">
        <v>0</v>
      </c>
      <c r="AI25">
        <v>0</v>
      </c>
      <c r="AJ25">
        <v>446995482.96724701</v>
      </c>
    </row>
    <row r="26" spans="1:36" x14ac:dyDescent="0.25">
      <c r="A26" t="s">
        <v>599</v>
      </c>
      <c r="B26" t="s">
        <v>14</v>
      </c>
      <c r="D26">
        <v>4451.8500000000004</v>
      </c>
      <c r="E26">
        <v>1559.41</v>
      </c>
      <c r="G26">
        <v>2.3234999999999999E-2</v>
      </c>
      <c r="H26">
        <v>0</v>
      </c>
      <c r="I26">
        <v>141555.17000000001</v>
      </c>
      <c r="J26">
        <v>125722.95</v>
      </c>
      <c r="K26">
        <v>0</v>
      </c>
      <c r="L26">
        <v>179632.92</v>
      </c>
      <c r="M26">
        <v>0</v>
      </c>
      <c r="N26">
        <v>59874.77</v>
      </c>
      <c r="O26">
        <v>20301.12</v>
      </c>
      <c r="P26">
        <v>21801.67</v>
      </c>
      <c r="Q26">
        <v>0</v>
      </c>
      <c r="R26">
        <v>0</v>
      </c>
      <c r="S26">
        <v>0</v>
      </c>
      <c r="T26">
        <v>0</v>
      </c>
      <c r="U26">
        <v>0</v>
      </c>
      <c r="V26">
        <v>67205.600000000006</v>
      </c>
      <c r="W26">
        <v>0</v>
      </c>
      <c r="X26">
        <v>0</v>
      </c>
      <c r="Y26">
        <v>0</v>
      </c>
      <c r="Z26">
        <v>25988.9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11507.79</v>
      </c>
      <c r="AH26">
        <v>0</v>
      </c>
      <c r="AI26">
        <v>0</v>
      </c>
      <c r="AJ26">
        <v>587980146.00947201</v>
      </c>
    </row>
    <row r="27" spans="1:36" x14ac:dyDescent="0.25">
      <c r="A27" t="s">
        <v>600</v>
      </c>
      <c r="B27" t="s">
        <v>13</v>
      </c>
      <c r="C27">
        <v>1447.91</v>
      </c>
      <c r="D27">
        <v>4133.54</v>
      </c>
      <c r="G27">
        <v>2.1573999999999999E-2</v>
      </c>
      <c r="H27">
        <v>0</v>
      </c>
      <c r="I27">
        <v>111421.12</v>
      </c>
      <c r="J27">
        <v>125722.95</v>
      </c>
      <c r="K27">
        <v>0</v>
      </c>
      <c r="L27">
        <v>179632.92</v>
      </c>
      <c r="M27">
        <v>0</v>
      </c>
      <c r="N27">
        <v>44489.53</v>
      </c>
      <c r="O27">
        <v>18747.13</v>
      </c>
      <c r="P27">
        <v>17259.12</v>
      </c>
      <c r="Q27">
        <v>0</v>
      </c>
      <c r="R27">
        <v>0</v>
      </c>
      <c r="S27">
        <v>0</v>
      </c>
      <c r="T27">
        <v>0</v>
      </c>
      <c r="U27">
        <v>0</v>
      </c>
      <c r="V27">
        <v>46222.73</v>
      </c>
      <c r="W27">
        <v>0</v>
      </c>
      <c r="X27">
        <v>0</v>
      </c>
      <c r="Y27">
        <v>0</v>
      </c>
      <c r="Z27">
        <v>25988.9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11862.67</v>
      </c>
      <c r="AH27">
        <v>0</v>
      </c>
      <c r="AI27">
        <v>0</v>
      </c>
      <c r="AJ27">
        <v>548153278.18091297</v>
      </c>
    </row>
    <row r="28" spans="1:36" x14ac:dyDescent="0.25">
      <c r="A28" t="s">
        <v>601</v>
      </c>
      <c r="B28" t="s">
        <v>14</v>
      </c>
      <c r="C28">
        <v>1559.41</v>
      </c>
      <c r="D28">
        <v>4451.8500000000004</v>
      </c>
      <c r="G28">
        <v>2.3234999999999999E-2</v>
      </c>
      <c r="H28">
        <v>0</v>
      </c>
      <c r="I28">
        <v>177414.1</v>
      </c>
      <c r="J28">
        <v>125722.95</v>
      </c>
      <c r="K28">
        <v>0</v>
      </c>
      <c r="L28">
        <v>179632.92</v>
      </c>
      <c r="M28">
        <v>0</v>
      </c>
      <c r="N28">
        <v>59851.85</v>
      </c>
      <c r="O28">
        <v>23876.27</v>
      </c>
      <c r="P28">
        <v>21998.080000000002</v>
      </c>
      <c r="Q28">
        <v>0</v>
      </c>
      <c r="R28">
        <v>0</v>
      </c>
      <c r="S28">
        <v>0</v>
      </c>
      <c r="T28">
        <v>0</v>
      </c>
      <c r="U28">
        <v>0</v>
      </c>
      <c r="V28">
        <v>67037.39</v>
      </c>
      <c r="W28">
        <v>0</v>
      </c>
      <c r="X28">
        <v>0</v>
      </c>
      <c r="Y28">
        <v>0</v>
      </c>
      <c r="Z28">
        <v>25988.9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11475.45</v>
      </c>
      <c r="AH28">
        <v>0</v>
      </c>
      <c r="AI28">
        <v>0</v>
      </c>
      <c r="AJ28">
        <v>641026242.99811697</v>
      </c>
    </row>
    <row r="29" spans="1:36" x14ac:dyDescent="0.25">
      <c r="A29" t="s">
        <v>602</v>
      </c>
      <c r="B29" t="s">
        <v>13</v>
      </c>
      <c r="D29">
        <v>4133.54</v>
      </c>
      <c r="E29">
        <v>1447.91</v>
      </c>
      <c r="G29">
        <v>2.1573999999999999E-2</v>
      </c>
      <c r="H29">
        <v>0</v>
      </c>
      <c r="I29">
        <v>103144.33</v>
      </c>
      <c r="J29">
        <v>125722.95</v>
      </c>
      <c r="K29">
        <v>0</v>
      </c>
      <c r="L29">
        <v>179632.92</v>
      </c>
      <c r="M29">
        <v>0</v>
      </c>
      <c r="N29">
        <v>44480.73</v>
      </c>
      <c r="O29">
        <v>16056.21</v>
      </c>
      <c r="P29">
        <v>17110.04</v>
      </c>
      <c r="Q29">
        <v>0</v>
      </c>
      <c r="R29">
        <v>0</v>
      </c>
      <c r="S29">
        <v>0</v>
      </c>
      <c r="T29">
        <v>0</v>
      </c>
      <c r="U29">
        <v>0</v>
      </c>
      <c r="V29">
        <v>46215.92</v>
      </c>
      <c r="W29">
        <v>0</v>
      </c>
      <c r="X29">
        <v>0</v>
      </c>
      <c r="Y29">
        <v>0</v>
      </c>
      <c r="Z29">
        <v>25988.9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11866.86</v>
      </c>
      <c r="AH29">
        <v>0</v>
      </c>
      <c r="AI29">
        <v>0</v>
      </c>
      <c r="AJ29">
        <v>531150202.15147698</v>
      </c>
    </row>
    <row r="30" spans="1:36" x14ac:dyDescent="0.25">
      <c r="A30" t="s">
        <v>603</v>
      </c>
      <c r="B30" t="s">
        <v>12</v>
      </c>
      <c r="D30">
        <v>4390.62</v>
      </c>
      <c r="E30">
        <v>1537.96</v>
      </c>
      <c r="G30">
        <v>2.2915000000000001E-2</v>
      </c>
      <c r="H30">
        <v>0</v>
      </c>
      <c r="I30">
        <v>122303.96</v>
      </c>
      <c r="J30">
        <v>125722.95</v>
      </c>
      <c r="K30">
        <v>0</v>
      </c>
      <c r="L30">
        <v>179632.92</v>
      </c>
      <c r="M30">
        <v>0</v>
      </c>
      <c r="N30">
        <v>57227.08</v>
      </c>
      <c r="O30">
        <v>17913.810000000001</v>
      </c>
      <c r="P30">
        <v>18389.04</v>
      </c>
      <c r="Q30">
        <v>0</v>
      </c>
      <c r="R30">
        <v>0</v>
      </c>
      <c r="S30">
        <v>0</v>
      </c>
      <c r="T30">
        <v>0</v>
      </c>
      <c r="U30">
        <v>0</v>
      </c>
      <c r="V30">
        <v>96024.44</v>
      </c>
      <c r="W30">
        <v>0</v>
      </c>
      <c r="X30">
        <v>0</v>
      </c>
      <c r="Y30">
        <v>0</v>
      </c>
      <c r="Z30">
        <v>25988.9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11934.79</v>
      </c>
      <c r="AH30">
        <v>0</v>
      </c>
      <c r="AI30">
        <v>0</v>
      </c>
      <c r="AJ30">
        <v>542117003.11676598</v>
      </c>
    </row>
    <row r="31" spans="1:36" x14ac:dyDescent="0.25">
      <c r="A31" t="s">
        <v>604</v>
      </c>
      <c r="B31" t="s">
        <v>12</v>
      </c>
      <c r="C31">
        <v>1537.96</v>
      </c>
      <c r="D31">
        <v>4390.62</v>
      </c>
      <c r="G31">
        <v>2.2915000000000001E-2</v>
      </c>
      <c r="H31">
        <v>0</v>
      </c>
      <c r="I31">
        <v>150260.64000000001</v>
      </c>
      <c r="J31">
        <v>125722.95</v>
      </c>
      <c r="K31">
        <v>0</v>
      </c>
      <c r="L31">
        <v>179632.92</v>
      </c>
      <c r="M31">
        <v>0</v>
      </c>
      <c r="N31">
        <v>57206.96</v>
      </c>
      <c r="O31">
        <v>21005.91</v>
      </c>
      <c r="P31">
        <v>18623.27</v>
      </c>
      <c r="Q31">
        <v>0</v>
      </c>
      <c r="R31">
        <v>0</v>
      </c>
      <c r="S31">
        <v>0</v>
      </c>
      <c r="T31">
        <v>0</v>
      </c>
      <c r="U31">
        <v>0</v>
      </c>
      <c r="V31">
        <v>95468.55</v>
      </c>
      <c r="W31">
        <v>0</v>
      </c>
      <c r="X31">
        <v>0</v>
      </c>
      <c r="Y31">
        <v>0</v>
      </c>
      <c r="Z31">
        <v>25988.9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11913.4</v>
      </c>
      <c r="AH31">
        <v>0</v>
      </c>
      <c r="AI31">
        <v>0</v>
      </c>
      <c r="AJ31">
        <v>621713699.906299</v>
      </c>
    </row>
    <row r="32" spans="1:36" x14ac:dyDescent="0.25">
      <c r="A32" t="s">
        <v>605</v>
      </c>
      <c r="B32" t="s">
        <v>11</v>
      </c>
      <c r="D32">
        <v>3285.83</v>
      </c>
      <c r="E32">
        <v>1150.97</v>
      </c>
      <c r="G32">
        <v>1.7149000000000001E-2</v>
      </c>
      <c r="H32">
        <v>0</v>
      </c>
      <c r="I32">
        <v>26206.43</v>
      </c>
      <c r="J32">
        <v>125722.95</v>
      </c>
      <c r="K32">
        <v>0</v>
      </c>
      <c r="L32">
        <v>179632.92</v>
      </c>
      <c r="M32">
        <v>0</v>
      </c>
      <c r="N32">
        <v>39907.85</v>
      </c>
      <c r="O32">
        <v>3207.07</v>
      </c>
      <c r="P32">
        <v>3108.51</v>
      </c>
      <c r="Q32">
        <v>0</v>
      </c>
      <c r="R32">
        <v>0</v>
      </c>
      <c r="S32">
        <v>0</v>
      </c>
      <c r="T32">
        <v>0</v>
      </c>
      <c r="U32">
        <v>0</v>
      </c>
      <c r="V32">
        <v>101686.59</v>
      </c>
      <c r="W32">
        <v>0</v>
      </c>
      <c r="X32">
        <v>0</v>
      </c>
      <c r="Y32">
        <v>0</v>
      </c>
      <c r="Z32">
        <v>25988.9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12884.56</v>
      </c>
      <c r="AH32">
        <v>0</v>
      </c>
      <c r="AI32">
        <v>0</v>
      </c>
      <c r="AJ32">
        <v>362453458.743792</v>
      </c>
    </row>
    <row r="33" spans="1:36" x14ac:dyDescent="0.25">
      <c r="A33" t="s">
        <v>606</v>
      </c>
      <c r="B33" t="s">
        <v>11</v>
      </c>
      <c r="C33">
        <v>1150.97</v>
      </c>
      <c r="D33">
        <v>3285.83</v>
      </c>
      <c r="G33">
        <v>1.7149000000000001E-2</v>
      </c>
      <c r="H33">
        <v>0</v>
      </c>
      <c r="I33">
        <v>27895.759999999998</v>
      </c>
      <c r="J33">
        <v>125722.95</v>
      </c>
      <c r="K33">
        <v>0</v>
      </c>
      <c r="L33">
        <v>179632.92</v>
      </c>
      <c r="M33">
        <v>0</v>
      </c>
      <c r="N33">
        <v>39907.97</v>
      </c>
      <c r="O33">
        <v>3844.21</v>
      </c>
      <c r="P33">
        <v>3199.63</v>
      </c>
      <c r="Q33">
        <v>0</v>
      </c>
      <c r="R33">
        <v>0</v>
      </c>
      <c r="S33">
        <v>0</v>
      </c>
      <c r="T33">
        <v>0</v>
      </c>
      <c r="U33">
        <v>0</v>
      </c>
      <c r="V33">
        <v>101536.01</v>
      </c>
      <c r="W33">
        <v>0</v>
      </c>
      <c r="X33">
        <v>0</v>
      </c>
      <c r="Y33">
        <v>0</v>
      </c>
      <c r="Z33">
        <v>25988.9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12829.71</v>
      </c>
      <c r="AH33">
        <v>0</v>
      </c>
      <c r="AI33">
        <v>0</v>
      </c>
      <c r="AJ33">
        <v>366231263.71515799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5A3F-B80E-4020-9B05-4BB9F55E2479}">
  <dimension ref="A1:AJ33"/>
  <sheetViews>
    <sheetView workbookViewId="0"/>
  </sheetViews>
  <sheetFormatPr defaultRowHeight="15" x14ac:dyDescent="0.25"/>
  <sheetData>
    <row r="1" spans="1:3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</row>
    <row r="2" spans="1:36" x14ac:dyDescent="0.25">
      <c r="A2" t="s">
        <v>607</v>
      </c>
      <c r="B2" t="s">
        <v>26</v>
      </c>
      <c r="D2">
        <v>3872.59</v>
      </c>
      <c r="E2">
        <v>1356.51</v>
      </c>
      <c r="G2">
        <v>2.0212000000000001E-2</v>
      </c>
      <c r="H2">
        <v>0</v>
      </c>
      <c r="I2">
        <v>167101.57999999999</v>
      </c>
      <c r="J2">
        <v>125722.95</v>
      </c>
      <c r="K2">
        <v>0</v>
      </c>
      <c r="L2">
        <v>179632.92</v>
      </c>
      <c r="M2">
        <v>0</v>
      </c>
      <c r="N2">
        <v>85529.46</v>
      </c>
      <c r="O2">
        <v>21958.82</v>
      </c>
      <c r="P2">
        <v>18679.89</v>
      </c>
      <c r="Q2">
        <v>0</v>
      </c>
      <c r="R2">
        <v>0</v>
      </c>
      <c r="S2">
        <v>0</v>
      </c>
      <c r="T2">
        <v>0</v>
      </c>
      <c r="U2">
        <v>0</v>
      </c>
      <c r="V2">
        <v>140507.20000000001</v>
      </c>
      <c r="W2">
        <v>0</v>
      </c>
      <c r="X2">
        <v>0</v>
      </c>
      <c r="Y2">
        <v>0</v>
      </c>
      <c r="Z2">
        <v>25988.9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11672.67</v>
      </c>
      <c r="AH2">
        <v>0</v>
      </c>
      <c r="AI2">
        <v>0</v>
      </c>
      <c r="AJ2">
        <v>547967956.29374802</v>
      </c>
    </row>
    <row r="3" spans="1:36" x14ac:dyDescent="0.25">
      <c r="A3" t="s">
        <v>608</v>
      </c>
      <c r="B3" t="s">
        <v>26</v>
      </c>
      <c r="C3">
        <v>1356.51</v>
      </c>
      <c r="D3">
        <v>3872.59</v>
      </c>
      <c r="G3">
        <v>2.0212000000000001E-2</v>
      </c>
      <c r="H3">
        <v>0</v>
      </c>
      <c r="I3">
        <v>177328.57</v>
      </c>
      <c r="J3">
        <v>125722.95</v>
      </c>
      <c r="K3">
        <v>0</v>
      </c>
      <c r="L3">
        <v>179632.92</v>
      </c>
      <c r="M3">
        <v>0</v>
      </c>
      <c r="N3">
        <v>85533.759999999995</v>
      </c>
      <c r="O3">
        <v>25002.35</v>
      </c>
      <c r="P3">
        <v>18981.189999999999</v>
      </c>
      <c r="Q3">
        <v>0</v>
      </c>
      <c r="R3">
        <v>0</v>
      </c>
      <c r="S3">
        <v>0</v>
      </c>
      <c r="T3">
        <v>0</v>
      </c>
      <c r="U3">
        <v>0</v>
      </c>
      <c r="V3">
        <v>139043.31</v>
      </c>
      <c r="W3">
        <v>0</v>
      </c>
      <c r="X3">
        <v>0</v>
      </c>
      <c r="Y3">
        <v>0</v>
      </c>
      <c r="Z3">
        <v>25988.9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11733.56</v>
      </c>
      <c r="AH3">
        <v>0</v>
      </c>
      <c r="AI3">
        <v>0</v>
      </c>
      <c r="AJ3">
        <v>545895568.74265599</v>
      </c>
    </row>
    <row r="4" spans="1:36" x14ac:dyDescent="0.25">
      <c r="A4" t="s">
        <v>609</v>
      </c>
      <c r="B4" t="s">
        <v>25</v>
      </c>
      <c r="D4">
        <v>4678.63</v>
      </c>
      <c r="E4">
        <v>1638.85</v>
      </c>
      <c r="G4">
        <v>2.4417999999999999E-2</v>
      </c>
      <c r="H4">
        <v>0</v>
      </c>
      <c r="I4">
        <v>308378.55</v>
      </c>
      <c r="J4">
        <v>125722.95</v>
      </c>
      <c r="K4">
        <v>0</v>
      </c>
      <c r="L4">
        <v>179632.92</v>
      </c>
      <c r="M4">
        <v>0</v>
      </c>
      <c r="N4">
        <v>94833.34</v>
      </c>
      <c r="O4">
        <v>30956.82</v>
      </c>
      <c r="P4">
        <v>33884.9</v>
      </c>
      <c r="Q4">
        <v>0</v>
      </c>
      <c r="R4">
        <v>0</v>
      </c>
      <c r="S4">
        <v>0</v>
      </c>
      <c r="T4">
        <v>0</v>
      </c>
      <c r="U4">
        <v>0</v>
      </c>
      <c r="V4">
        <v>126384.18</v>
      </c>
      <c r="W4">
        <v>0</v>
      </c>
      <c r="X4">
        <v>0</v>
      </c>
      <c r="Y4">
        <v>0</v>
      </c>
      <c r="Z4">
        <v>25988.9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9025.39</v>
      </c>
      <c r="AH4">
        <v>0</v>
      </c>
      <c r="AI4">
        <v>0</v>
      </c>
      <c r="AJ4">
        <v>683402726.19143498</v>
      </c>
    </row>
    <row r="5" spans="1:36" x14ac:dyDescent="0.25">
      <c r="A5" t="s">
        <v>610</v>
      </c>
      <c r="B5" t="s">
        <v>25</v>
      </c>
      <c r="C5">
        <v>1638.85</v>
      </c>
      <c r="D5">
        <v>4678.63</v>
      </c>
      <c r="G5">
        <v>2.4417999999999999E-2</v>
      </c>
      <c r="H5">
        <v>0</v>
      </c>
      <c r="I5">
        <v>382912.15</v>
      </c>
      <c r="J5">
        <v>125722.95</v>
      </c>
      <c r="K5">
        <v>0</v>
      </c>
      <c r="L5">
        <v>179632.92</v>
      </c>
      <c r="M5">
        <v>0</v>
      </c>
      <c r="N5">
        <v>94837.84</v>
      </c>
      <c r="O5">
        <v>36593.43</v>
      </c>
      <c r="P5">
        <v>34096.11</v>
      </c>
      <c r="Q5">
        <v>0</v>
      </c>
      <c r="R5">
        <v>0</v>
      </c>
      <c r="S5">
        <v>0</v>
      </c>
      <c r="T5">
        <v>0</v>
      </c>
      <c r="U5">
        <v>0</v>
      </c>
      <c r="V5">
        <v>126345.02</v>
      </c>
      <c r="W5">
        <v>0</v>
      </c>
      <c r="X5">
        <v>0</v>
      </c>
      <c r="Y5">
        <v>0</v>
      </c>
      <c r="Z5">
        <v>25988.9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9031.5499999999993</v>
      </c>
      <c r="AH5">
        <v>0</v>
      </c>
      <c r="AI5">
        <v>0</v>
      </c>
      <c r="AJ5">
        <v>712673989.05169106</v>
      </c>
    </row>
    <row r="6" spans="1:36" x14ac:dyDescent="0.25">
      <c r="A6" t="s">
        <v>611</v>
      </c>
      <c r="B6" t="s">
        <v>24</v>
      </c>
      <c r="D6">
        <v>4541.03</v>
      </c>
      <c r="E6">
        <v>1590.65</v>
      </c>
      <c r="G6">
        <v>2.3699999999999999E-2</v>
      </c>
      <c r="H6">
        <v>0</v>
      </c>
      <c r="I6">
        <v>247032.05</v>
      </c>
      <c r="J6">
        <v>125722.95</v>
      </c>
      <c r="K6">
        <v>0</v>
      </c>
      <c r="L6">
        <v>179632.92</v>
      </c>
      <c r="M6">
        <v>0</v>
      </c>
      <c r="N6">
        <v>86266.02</v>
      </c>
      <c r="O6">
        <v>27124.01</v>
      </c>
      <c r="P6">
        <v>27417.41</v>
      </c>
      <c r="Q6">
        <v>0</v>
      </c>
      <c r="R6">
        <v>0</v>
      </c>
      <c r="S6">
        <v>0</v>
      </c>
      <c r="T6">
        <v>0</v>
      </c>
      <c r="U6">
        <v>0</v>
      </c>
      <c r="V6">
        <v>106898.38</v>
      </c>
      <c r="W6">
        <v>0</v>
      </c>
      <c r="X6">
        <v>0</v>
      </c>
      <c r="Y6">
        <v>0</v>
      </c>
      <c r="Z6">
        <v>25988.9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10040.52</v>
      </c>
      <c r="AH6">
        <v>0</v>
      </c>
      <c r="AI6">
        <v>0</v>
      </c>
      <c r="AJ6">
        <v>705188573.83920205</v>
      </c>
    </row>
    <row r="7" spans="1:36" x14ac:dyDescent="0.25">
      <c r="A7" t="s">
        <v>612</v>
      </c>
      <c r="B7" t="s">
        <v>23</v>
      </c>
      <c r="D7">
        <v>4521.82</v>
      </c>
      <c r="E7">
        <v>1583.92</v>
      </c>
      <c r="G7">
        <v>2.3599999999999999E-2</v>
      </c>
      <c r="H7">
        <v>0</v>
      </c>
      <c r="I7">
        <v>195080.51</v>
      </c>
      <c r="J7">
        <v>125722.95</v>
      </c>
      <c r="K7">
        <v>0</v>
      </c>
      <c r="L7">
        <v>179632.92</v>
      </c>
      <c r="M7">
        <v>0</v>
      </c>
      <c r="N7">
        <v>74775.539999999994</v>
      </c>
      <c r="O7">
        <v>23804.46</v>
      </c>
      <c r="P7">
        <v>25296.84</v>
      </c>
      <c r="Q7">
        <v>0</v>
      </c>
      <c r="R7">
        <v>0</v>
      </c>
      <c r="S7">
        <v>0</v>
      </c>
      <c r="T7">
        <v>0</v>
      </c>
      <c r="U7">
        <v>0</v>
      </c>
      <c r="V7">
        <v>112889.15</v>
      </c>
      <c r="W7">
        <v>0</v>
      </c>
      <c r="X7">
        <v>0</v>
      </c>
      <c r="Y7">
        <v>0</v>
      </c>
      <c r="Z7">
        <v>25988.9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10563.33</v>
      </c>
      <c r="AH7">
        <v>0</v>
      </c>
      <c r="AI7">
        <v>0</v>
      </c>
      <c r="AJ7">
        <v>613110395.49066806</v>
      </c>
    </row>
    <row r="8" spans="1:36" x14ac:dyDescent="0.25">
      <c r="A8" t="s">
        <v>613</v>
      </c>
      <c r="B8" t="s">
        <v>24</v>
      </c>
      <c r="C8">
        <v>1590.65</v>
      </c>
      <c r="D8">
        <v>4541.03</v>
      </c>
      <c r="G8">
        <v>2.3699999999999999E-2</v>
      </c>
      <c r="H8">
        <v>0</v>
      </c>
      <c r="I8">
        <v>270749.40999999997</v>
      </c>
      <c r="J8">
        <v>125722.95</v>
      </c>
      <c r="K8">
        <v>0</v>
      </c>
      <c r="L8">
        <v>179632.92</v>
      </c>
      <c r="M8">
        <v>0</v>
      </c>
      <c r="N8">
        <v>86274.32</v>
      </c>
      <c r="O8">
        <v>30550.37</v>
      </c>
      <c r="P8">
        <v>27678.25</v>
      </c>
      <c r="Q8">
        <v>0</v>
      </c>
      <c r="R8">
        <v>0</v>
      </c>
      <c r="S8">
        <v>0</v>
      </c>
      <c r="T8">
        <v>0</v>
      </c>
      <c r="U8">
        <v>0</v>
      </c>
      <c r="V8">
        <v>106881.05</v>
      </c>
      <c r="W8">
        <v>0</v>
      </c>
      <c r="X8">
        <v>0</v>
      </c>
      <c r="Y8">
        <v>0</v>
      </c>
      <c r="Z8">
        <v>25988.9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10008.469999999999</v>
      </c>
      <c r="AH8">
        <v>0</v>
      </c>
      <c r="AI8">
        <v>0</v>
      </c>
      <c r="AJ8">
        <v>696725166.22914195</v>
      </c>
    </row>
    <row r="9" spans="1:36" x14ac:dyDescent="0.25">
      <c r="A9" t="s">
        <v>614</v>
      </c>
      <c r="B9" t="s">
        <v>23</v>
      </c>
      <c r="C9">
        <v>1583.92</v>
      </c>
      <c r="D9">
        <v>4521.82</v>
      </c>
      <c r="G9">
        <v>2.3599999999999999E-2</v>
      </c>
      <c r="H9">
        <v>0</v>
      </c>
      <c r="I9">
        <v>257903.84</v>
      </c>
      <c r="J9">
        <v>125722.95</v>
      </c>
      <c r="K9">
        <v>0</v>
      </c>
      <c r="L9">
        <v>179632.92</v>
      </c>
      <c r="M9">
        <v>0</v>
      </c>
      <c r="N9">
        <v>74757.41</v>
      </c>
      <c r="O9">
        <v>28081.25</v>
      </c>
      <c r="P9">
        <v>25624.14</v>
      </c>
      <c r="Q9">
        <v>0</v>
      </c>
      <c r="R9">
        <v>0</v>
      </c>
      <c r="S9">
        <v>0</v>
      </c>
      <c r="T9">
        <v>0</v>
      </c>
      <c r="U9">
        <v>0</v>
      </c>
      <c r="V9">
        <v>112613.94</v>
      </c>
      <c r="W9">
        <v>0</v>
      </c>
      <c r="X9">
        <v>0</v>
      </c>
      <c r="Y9">
        <v>0</v>
      </c>
      <c r="Z9">
        <v>25988.9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10534.92</v>
      </c>
      <c r="AH9">
        <v>0</v>
      </c>
      <c r="AI9">
        <v>0</v>
      </c>
      <c r="AJ9">
        <v>676485940.14308596</v>
      </c>
    </row>
    <row r="10" spans="1:36" x14ac:dyDescent="0.25">
      <c r="A10" t="s">
        <v>615</v>
      </c>
      <c r="B10" t="s">
        <v>22</v>
      </c>
      <c r="D10">
        <v>4334.04</v>
      </c>
      <c r="E10">
        <v>1518.14</v>
      </c>
      <c r="G10">
        <v>2.2620000000000001E-2</v>
      </c>
      <c r="H10">
        <v>0</v>
      </c>
      <c r="I10">
        <v>157860.14000000001</v>
      </c>
      <c r="J10">
        <v>125722.95</v>
      </c>
      <c r="K10">
        <v>0</v>
      </c>
      <c r="L10">
        <v>179632.92</v>
      </c>
      <c r="M10">
        <v>0</v>
      </c>
      <c r="N10">
        <v>65352.47</v>
      </c>
      <c r="O10">
        <v>21370.7</v>
      </c>
      <c r="P10">
        <v>22367.98</v>
      </c>
      <c r="Q10">
        <v>0</v>
      </c>
      <c r="R10">
        <v>0</v>
      </c>
      <c r="S10">
        <v>0</v>
      </c>
      <c r="T10">
        <v>0</v>
      </c>
      <c r="U10">
        <v>0</v>
      </c>
      <c r="V10">
        <v>105830.31</v>
      </c>
      <c r="W10">
        <v>0</v>
      </c>
      <c r="X10">
        <v>0</v>
      </c>
      <c r="Y10">
        <v>0</v>
      </c>
      <c r="Z10">
        <v>25988.9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11107.26</v>
      </c>
      <c r="AH10">
        <v>0</v>
      </c>
      <c r="AI10">
        <v>0</v>
      </c>
      <c r="AJ10">
        <v>549629082.63043201</v>
      </c>
    </row>
    <row r="11" spans="1:36" x14ac:dyDescent="0.25">
      <c r="A11" t="s">
        <v>616</v>
      </c>
      <c r="B11" t="s">
        <v>21</v>
      </c>
      <c r="D11">
        <v>4396.07</v>
      </c>
      <c r="E11">
        <v>1539.87</v>
      </c>
      <c r="G11">
        <v>2.2943999999999999E-2</v>
      </c>
      <c r="H11">
        <v>0</v>
      </c>
      <c r="I11">
        <v>175161.43</v>
      </c>
      <c r="J11">
        <v>125722.95</v>
      </c>
      <c r="K11">
        <v>0</v>
      </c>
      <c r="L11">
        <v>179632.92</v>
      </c>
      <c r="M11">
        <v>0</v>
      </c>
      <c r="N11">
        <v>72999.17</v>
      </c>
      <c r="O11">
        <v>21853.93</v>
      </c>
      <c r="P11">
        <v>22994.54</v>
      </c>
      <c r="Q11">
        <v>0</v>
      </c>
      <c r="R11">
        <v>0</v>
      </c>
      <c r="S11">
        <v>0</v>
      </c>
      <c r="T11">
        <v>0</v>
      </c>
      <c r="U11">
        <v>0</v>
      </c>
      <c r="V11">
        <v>122213.14</v>
      </c>
      <c r="W11">
        <v>0</v>
      </c>
      <c r="X11">
        <v>0</v>
      </c>
      <c r="Y11">
        <v>0</v>
      </c>
      <c r="Z11">
        <v>25988.9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10772.89</v>
      </c>
      <c r="AH11">
        <v>0</v>
      </c>
      <c r="AI11">
        <v>0</v>
      </c>
      <c r="AJ11">
        <v>586560541.95787597</v>
      </c>
    </row>
    <row r="12" spans="1:36" x14ac:dyDescent="0.25">
      <c r="A12" t="s">
        <v>617</v>
      </c>
      <c r="B12" t="s">
        <v>22</v>
      </c>
      <c r="C12">
        <v>1518.14</v>
      </c>
      <c r="D12">
        <v>4334.04</v>
      </c>
      <c r="G12">
        <v>2.2620000000000001E-2</v>
      </c>
      <c r="H12">
        <v>0</v>
      </c>
      <c r="I12">
        <v>211539.83</v>
      </c>
      <c r="J12">
        <v>125722.95</v>
      </c>
      <c r="K12">
        <v>0</v>
      </c>
      <c r="L12">
        <v>179632.92</v>
      </c>
      <c r="M12">
        <v>0</v>
      </c>
      <c r="N12">
        <v>65351.18</v>
      </c>
      <c r="O12">
        <v>25366.03</v>
      </c>
      <c r="P12">
        <v>22778.06</v>
      </c>
      <c r="Q12">
        <v>0</v>
      </c>
      <c r="R12">
        <v>0</v>
      </c>
      <c r="S12">
        <v>0</v>
      </c>
      <c r="T12">
        <v>0</v>
      </c>
      <c r="U12">
        <v>0</v>
      </c>
      <c r="V12">
        <v>105754</v>
      </c>
      <c r="W12">
        <v>0</v>
      </c>
      <c r="X12">
        <v>0</v>
      </c>
      <c r="Y12">
        <v>0</v>
      </c>
      <c r="Z12">
        <v>25988.9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11096.96</v>
      </c>
      <c r="AH12">
        <v>0</v>
      </c>
      <c r="AI12">
        <v>0</v>
      </c>
      <c r="AJ12">
        <v>636203404.38372898</v>
      </c>
    </row>
    <row r="13" spans="1:36" x14ac:dyDescent="0.25">
      <c r="A13" t="s">
        <v>618</v>
      </c>
      <c r="B13" t="s">
        <v>21</v>
      </c>
      <c r="C13">
        <v>1539.87</v>
      </c>
      <c r="D13">
        <v>4396.07</v>
      </c>
      <c r="G13">
        <v>2.2943999999999999E-2</v>
      </c>
      <c r="H13">
        <v>0</v>
      </c>
      <c r="I13">
        <v>226967.71</v>
      </c>
      <c r="J13">
        <v>125722.95</v>
      </c>
      <c r="K13">
        <v>0</v>
      </c>
      <c r="L13">
        <v>179632.92</v>
      </c>
      <c r="M13">
        <v>0</v>
      </c>
      <c r="N13">
        <v>72990.399999999994</v>
      </c>
      <c r="O13">
        <v>25815.360000000001</v>
      </c>
      <c r="P13">
        <v>23303.4</v>
      </c>
      <c r="Q13">
        <v>0</v>
      </c>
      <c r="R13">
        <v>0</v>
      </c>
      <c r="S13">
        <v>0</v>
      </c>
      <c r="T13">
        <v>0</v>
      </c>
      <c r="U13">
        <v>0</v>
      </c>
      <c r="V13">
        <v>121791.8</v>
      </c>
      <c r="W13">
        <v>0</v>
      </c>
      <c r="X13">
        <v>0</v>
      </c>
      <c r="Y13">
        <v>0</v>
      </c>
      <c r="Z13">
        <v>25988.9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10763.43</v>
      </c>
      <c r="AH13">
        <v>0</v>
      </c>
      <c r="AI13">
        <v>0</v>
      </c>
      <c r="AJ13">
        <v>647966531.08955801</v>
      </c>
    </row>
    <row r="14" spans="1:36" x14ac:dyDescent="0.25">
      <c r="A14" t="s">
        <v>619</v>
      </c>
      <c r="B14" t="s">
        <v>20</v>
      </c>
      <c r="D14">
        <v>4342.93</v>
      </c>
      <c r="E14">
        <v>1521.26</v>
      </c>
      <c r="G14">
        <v>2.2665999999999999E-2</v>
      </c>
      <c r="H14">
        <v>0</v>
      </c>
      <c r="I14">
        <v>185199.94</v>
      </c>
      <c r="J14">
        <v>125722.95</v>
      </c>
      <c r="K14">
        <v>0</v>
      </c>
      <c r="L14">
        <v>179632.92</v>
      </c>
      <c r="M14">
        <v>0</v>
      </c>
      <c r="N14">
        <v>72472.08</v>
      </c>
      <c r="O14">
        <v>24964.76</v>
      </c>
      <c r="P14">
        <v>26772.52</v>
      </c>
      <c r="Q14">
        <v>0</v>
      </c>
      <c r="R14">
        <v>0</v>
      </c>
      <c r="S14">
        <v>0</v>
      </c>
      <c r="T14">
        <v>0</v>
      </c>
      <c r="U14">
        <v>0</v>
      </c>
      <c r="V14">
        <v>92058.240000000005</v>
      </c>
      <c r="W14">
        <v>0</v>
      </c>
      <c r="X14">
        <v>0</v>
      </c>
      <c r="Y14">
        <v>0</v>
      </c>
      <c r="Z14">
        <v>25988.9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10618.45</v>
      </c>
      <c r="AH14">
        <v>0</v>
      </c>
      <c r="AI14">
        <v>0</v>
      </c>
      <c r="AJ14">
        <v>535981187.22831798</v>
      </c>
    </row>
    <row r="15" spans="1:36" x14ac:dyDescent="0.25">
      <c r="A15" t="s">
        <v>620</v>
      </c>
      <c r="B15" t="s">
        <v>20</v>
      </c>
      <c r="C15">
        <v>1521.26</v>
      </c>
      <c r="D15">
        <v>4342.93</v>
      </c>
      <c r="G15">
        <v>2.2665999999999999E-2</v>
      </c>
      <c r="H15">
        <v>0</v>
      </c>
      <c r="I15">
        <v>249178.1</v>
      </c>
      <c r="J15">
        <v>125722.95</v>
      </c>
      <c r="K15">
        <v>0</v>
      </c>
      <c r="L15">
        <v>179632.92</v>
      </c>
      <c r="M15">
        <v>0</v>
      </c>
      <c r="N15">
        <v>72376.240000000005</v>
      </c>
      <c r="O15">
        <v>29348.240000000002</v>
      </c>
      <c r="P15">
        <v>27052.41</v>
      </c>
      <c r="Q15">
        <v>0</v>
      </c>
      <c r="R15">
        <v>0</v>
      </c>
      <c r="S15">
        <v>0</v>
      </c>
      <c r="T15">
        <v>0</v>
      </c>
      <c r="U15">
        <v>0</v>
      </c>
      <c r="V15">
        <v>91607.8</v>
      </c>
      <c r="W15">
        <v>0</v>
      </c>
      <c r="X15">
        <v>0</v>
      </c>
      <c r="Y15">
        <v>0</v>
      </c>
      <c r="Z15">
        <v>25988.9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10589.37</v>
      </c>
      <c r="AH15">
        <v>0</v>
      </c>
      <c r="AI15">
        <v>0</v>
      </c>
      <c r="AJ15">
        <v>622785635.65801597</v>
      </c>
    </row>
    <row r="16" spans="1:36" x14ac:dyDescent="0.25">
      <c r="A16" t="s">
        <v>621</v>
      </c>
      <c r="B16" t="s">
        <v>19</v>
      </c>
      <c r="D16">
        <v>3872.42</v>
      </c>
      <c r="E16">
        <v>1356.45</v>
      </c>
      <c r="G16">
        <v>2.0211E-2</v>
      </c>
      <c r="H16">
        <v>0</v>
      </c>
      <c r="I16">
        <v>171983.59</v>
      </c>
      <c r="J16">
        <v>125722.95</v>
      </c>
      <c r="K16">
        <v>0</v>
      </c>
      <c r="L16">
        <v>179632.92</v>
      </c>
      <c r="M16">
        <v>0</v>
      </c>
      <c r="N16">
        <v>63567.32</v>
      </c>
      <c r="O16">
        <v>24019.24</v>
      </c>
      <c r="P16">
        <v>26095.18</v>
      </c>
      <c r="Q16">
        <v>0</v>
      </c>
      <c r="R16">
        <v>0</v>
      </c>
      <c r="S16">
        <v>0</v>
      </c>
      <c r="T16">
        <v>0</v>
      </c>
      <c r="U16">
        <v>0</v>
      </c>
      <c r="V16">
        <v>65582.649999999994</v>
      </c>
      <c r="W16">
        <v>0</v>
      </c>
      <c r="X16">
        <v>0</v>
      </c>
      <c r="Y16">
        <v>0</v>
      </c>
      <c r="Z16">
        <v>25988.9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10690.75</v>
      </c>
      <c r="AH16">
        <v>0</v>
      </c>
      <c r="AI16">
        <v>0</v>
      </c>
      <c r="AJ16">
        <v>449551053.58283901</v>
      </c>
    </row>
    <row r="17" spans="1:36" x14ac:dyDescent="0.25">
      <c r="A17" t="s">
        <v>622</v>
      </c>
      <c r="B17" t="s">
        <v>19</v>
      </c>
      <c r="C17">
        <v>1356.45</v>
      </c>
      <c r="D17">
        <v>3872.42</v>
      </c>
      <c r="G17">
        <v>2.0211E-2</v>
      </c>
      <c r="H17">
        <v>0</v>
      </c>
      <c r="I17">
        <v>225211.53</v>
      </c>
      <c r="J17">
        <v>125722.95</v>
      </c>
      <c r="K17">
        <v>0</v>
      </c>
      <c r="L17">
        <v>179632.92</v>
      </c>
      <c r="M17">
        <v>0</v>
      </c>
      <c r="N17">
        <v>63533.01</v>
      </c>
      <c r="O17">
        <v>27920.73</v>
      </c>
      <c r="P17">
        <v>26194.51</v>
      </c>
      <c r="Q17">
        <v>0</v>
      </c>
      <c r="R17">
        <v>0</v>
      </c>
      <c r="S17">
        <v>0</v>
      </c>
      <c r="T17">
        <v>0</v>
      </c>
      <c r="U17">
        <v>0</v>
      </c>
      <c r="V17">
        <v>65489.85</v>
      </c>
      <c r="W17">
        <v>0</v>
      </c>
      <c r="X17">
        <v>0</v>
      </c>
      <c r="Y17">
        <v>0</v>
      </c>
      <c r="Z17">
        <v>25988.9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10687.59</v>
      </c>
      <c r="AH17">
        <v>0</v>
      </c>
      <c r="AI17">
        <v>0</v>
      </c>
      <c r="AJ17">
        <v>535089192.52543998</v>
      </c>
    </row>
    <row r="18" spans="1:36" x14ac:dyDescent="0.25">
      <c r="A18" t="s">
        <v>623</v>
      </c>
      <c r="B18" t="s">
        <v>18</v>
      </c>
      <c r="D18">
        <v>3901.66</v>
      </c>
      <c r="E18">
        <v>1366.69</v>
      </c>
      <c r="G18">
        <v>2.0362999999999999E-2</v>
      </c>
      <c r="H18">
        <v>0</v>
      </c>
      <c r="I18">
        <v>160500.51999999999</v>
      </c>
      <c r="J18">
        <v>125722.95</v>
      </c>
      <c r="K18">
        <v>0</v>
      </c>
      <c r="L18">
        <v>179632.92</v>
      </c>
      <c r="M18">
        <v>0</v>
      </c>
      <c r="N18">
        <v>58715.74</v>
      </c>
      <c r="O18">
        <v>23654.22</v>
      </c>
      <c r="P18">
        <v>25693.51</v>
      </c>
      <c r="Q18">
        <v>0</v>
      </c>
      <c r="R18">
        <v>0</v>
      </c>
      <c r="S18">
        <v>0</v>
      </c>
      <c r="T18">
        <v>0</v>
      </c>
      <c r="U18">
        <v>0</v>
      </c>
      <c r="V18">
        <v>58945.85</v>
      </c>
      <c r="W18">
        <v>0</v>
      </c>
      <c r="X18">
        <v>0</v>
      </c>
      <c r="Y18">
        <v>0</v>
      </c>
      <c r="Z18">
        <v>25988.9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10835.57</v>
      </c>
      <c r="AH18">
        <v>0</v>
      </c>
      <c r="AI18">
        <v>0</v>
      </c>
      <c r="AJ18">
        <v>438847636.80552202</v>
      </c>
    </row>
    <row r="19" spans="1:36" x14ac:dyDescent="0.25">
      <c r="A19" t="s">
        <v>624</v>
      </c>
      <c r="B19" t="s">
        <v>18</v>
      </c>
      <c r="C19">
        <v>1366.69</v>
      </c>
      <c r="D19">
        <v>3901.66</v>
      </c>
      <c r="G19">
        <v>2.0362999999999999E-2</v>
      </c>
      <c r="H19">
        <v>0</v>
      </c>
      <c r="I19">
        <v>211188.9</v>
      </c>
      <c r="J19">
        <v>125722.95</v>
      </c>
      <c r="K19">
        <v>0</v>
      </c>
      <c r="L19">
        <v>179632.92</v>
      </c>
      <c r="M19">
        <v>0</v>
      </c>
      <c r="N19">
        <v>58675.46</v>
      </c>
      <c r="O19">
        <v>27571.17</v>
      </c>
      <c r="P19">
        <v>25808.42</v>
      </c>
      <c r="Q19">
        <v>0</v>
      </c>
      <c r="R19">
        <v>0</v>
      </c>
      <c r="S19">
        <v>0</v>
      </c>
      <c r="T19">
        <v>0</v>
      </c>
      <c r="U19">
        <v>0</v>
      </c>
      <c r="V19">
        <v>58901.65</v>
      </c>
      <c r="W19">
        <v>0</v>
      </c>
      <c r="X19">
        <v>0</v>
      </c>
      <c r="Y19">
        <v>0</v>
      </c>
      <c r="Z19">
        <v>25988.9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10794.59</v>
      </c>
      <c r="AH19">
        <v>0</v>
      </c>
      <c r="AI19">
        <v>0</v>
      </c>
      <c r="AJ19">
        <v>521502247.82627898</v>
      </c>
    </row>
    <row r="20" spans="1:36" x14ac:dyDescent="0.25">
      <c r="A20" t="s">
        <v>625</v>
      </c>
      <c r="B20" t="s">
        <v>17</v>
      </c>
      <c r="D20">
        <v>3686.5</v>
      </c>
      <c r="E20">
        <v>1291.32</v>
      </c>
      <c r="G20">
        <v>1.924E-2</v>
      </c>
      <c r="H20">
        <v>0</v>
      </c>
      <c r="I20">
        <v>187715.78</v>
      </c>
      <c r="J20">
        <v>125722.95</v>
      </c>
      <c r="K20">
        <v>0</v>
      </c>
      <c r="L20">
        <v>179632.92</v>
      </c>
      <c r="M20">
        <v>0</v>
      </c>
      <c r="N20">
        <v>59379.11</v>
      </c>
      <c r="O20">
        <v>24385.93</v>
      </c>
      <c r="P20">
        <v>25449.14</v>
      </c>
      <c r="Q20">
        <v>0</v>
      </c>
      <c r="R20">
        <v>0</v>
      </c>
      <c r="S20">
        <v>0</v>
      </c>
      <c r="T20">
        <v>0</v>
      </c>
      <c r="U20">
        <v>0</v>
      </c>
      <c r="V20">
        <v>49679.86</v>
      </c>
      <c r="W20">
        <v>0</v>
      </c>
      <c r="X20">
        <v>0</v>
      </c>
      <c r="Y20">
        <v>0</v>
      </c>
      <c r="Z20">
        <v>25988.9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10925.34</v>
      </c>
      <c r="AH20">
        <v>0</v>
      </c>
      <c r="AI20">
        <v>0</v>
      </c>
      <c r="AJ20">
        <v>537187993.65304506</v>
      </c>
    </row>
    <row r="21" spans="1:36" x14ac:dyDescent="0.25">
      <c r="A21" t="s">
        <v>626</v>
      </c>
      <c r="B21" t="s">
        <v>17</v>
      </c>
      <c r="C21">
        <v>1291.32</v>
      </c>
      <c r="D21">
        <v>3686.5</v>
      </c>
      <c r="G21">
        <v>1.924E-2</v>
      </c>
      <c r="H21">
        <v>0</v>
      </c>
      <c r="I21">
        <v>201694.49</v>
      </c>
      <c r="J21">
        <v>125722.95</v>
      </c>
      <c r="K21">
        <v>0</v>
      </c>
      <c r="L21">
        <v>179632.92</v>
      </c>
      <c r="M21">
        <v>0</v>
      </c>
      <c r="N21">
        <v>59367.33</v>
      </c>
      <c r="O21">
        <v>27188.35</v>
      </c>
      <c r="P21">
        <v>25533.75</v>
      </c>
      <c r="Q21">
        <v>0</v>
      </c>
      <c r="R21">
        <v>0</v>
      </c>
      <c r="S21">
        <v>0</v>
      </c>
      <c r="T21">
        <v>0</v>
      </c>
      <c r="U21">
        <v>0</v>
      </c>
      <c r="V21">
        <v>50064.89</v>
      </c>
      <c r="W21">
        <v>0</v>
      </c>
      <c r="X21">
        <v>0</v>
      </c>
      <c r="Y21">
        <v>0</v>
      </c>
      <c r="Z21">
        <v>25988.9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10840.41</v>
      </c>
      <c r="AH21">
        <v>0</v>
      </c>
      <c r="AI21">
        <v>0</v>
      </c>
      <c r="AJ21">
        <v>538471669.48312902</v>
      </c>
    </row>
    <row r="22" spans="1:36" x14ac:dyDescent="0.25">
      <c r="A22" t="s">
        <v>627</v>
      </c>
      <c r="B22" t="s">
        <v>16</v>
      </c>
      <c r="D22">
        <v>3508.11</v>
      </c>
      <c r="E22">
        <v>1228.83</v>
      </c>
      <c r="G22">
        <v>1.8308999999999999E-2</v>
      </c>
      <c r="H22">
        <v>0</v>
      </c>
      <c r="I22">
        <v>161701.9</v>
      </c>
      <c r="J22">
        <v>125722.95</v>
      </c>
      <c r="K22">
        <v>0</v>
      </c>
      <c r="L22">
        <v>179632.92</v>
      </c>
      <c r="M22">
        <v>0</v>
      </c>
      <c r="N22">
        <v>49154.93</v>
      </c>
      <c r="O22">
        <v>21924.240000000002</v>
      </c>
      <c r="P22">
        <v>23209.18</v>
      </c>
      <c r="Q22">
        <v>0</v>
      </c>
      <c r="R22">
        <v>0</v>
      </c>
      <c r="S22">
        <v>0</v>
      </c>
      <c r="T22">
        <v>0</v>
      </c>
      <c r="U22">
        <v>0</v>
      </c>
      <c r="V22">
        <v>27445.06</v>
      </c>
      <c r="W22">
        <v>0</v>
      </c>
      <c r="X22">
        <v>0</v>
      </c>
      <c r="Y22">
        <v>0</v>
      </c>
      <c r="Z22">
        <v>25988.9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10970.72</v>
      </c>
      <c r="AH22">
        <v>0</v>
      </c>
      <c r="AI22">
        <v>0</v>
      </c>
      <c r="AJ22">
        <v>443121999.10603303</v>
      </c>
    </row>
    <row r="23" spans="1:36" x14ac:dyDescent="0.25">
      <c r="A23" t="s">
        <v>628</v>
      </c>
      <c r="B23" t="s">
        <v>15</v>
      </c>
      <c r="D23">
        <v>3309.58</v>
      </c>
      <c r="E23">
        <v>1159.29</v>
      </c>
      <c r="G23">
        <v>1.7273E-2</v>
      </c>
      <c r="H23">
        <v>0</v>
      </c>
      <c r="I23">
        <v>92667.87</v>
      </c>
      <c r="J23">
        <v>125722.95</v>
      </c>
      <c r="K23">
        <v>0</v>
      </c>
      <c r="L23">
        <v>179632.92</v>
      </c>
      <c r="M23">
        <v>0</v>
      </c>
      <c r="N23">
        <v>41583.21</v>
      </c>
      <c r="O23">
        <v>13746.97</v>
      </c>
      <c r="P23">
        <v>14169.02</v>
      </c>
      <c r="Q23">
        <v>0</v>
      </c>
      <c r="R23">
        <v>0</v>
      </c>
      <c r="S23">
        <v>0</v>
      </c>
      <c r="T23">
        <v>0</v>
      </c>
      <c r="U23">
        <v>0</v>
      </c>
      <c r="V23">
        <v>43288.74</v>
      </c>
      <c r="W23">
        <v>0</v>
      </c>
      <c r="X23">
        <v>0</v>
      </c>
      <c r="Y23">
        <v>0</v>
      </c>
      <c r="Z23">
        <v>25988.9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11782.85</v>
      </c>
      <c r="AH23">
        <v>0</v>
      </c>
      <c r="AI23">
        <v>0</v>
      </c>
      <c r="AJ23">
        <v>388712520.00018901</v>
      </c>
    </row>
    <row r="24" spans="1:36" x14ac:dyDescent="0.25">
      <c r="A24" t="s">
        <v>629</v>
      </c>
      <c r="B24" t="s">
        <v>16</v>
      </c>
      <c r="C24">
        <v>1228.83</v>
      </c>
      <c r="D24">
        <v>3508.11</v>
      </c>
      <c r="G24">
        <v>1.8308999999999999E-2</v>
      </c>
      <c r="H24">
        <v>0</v>
      </c>
      <c r="I24">
        <v>173183.75</v>
      </c>
      <c r="J24">
        <v>125722.95</v>
      </c>
      <c r="K24">
        <v>0</v>
      </c>
      <c r="L24">
        <v>179632.92</v>
      </c>
      <c r="M24">
        <v>0</v>
      </c>
      <c r="N24">
        <v>49156.69</v>
      </c>
      <c r="O24">
        <v>24801.75</v>
      </c>
      <c r="P24">
        <v>23284.27</v>
      </c>
      <c r="Q24">
        <v>0</v>
      </c>
      <c r="R24">
        <v>0</v>
      </c>
      <c r="S24">
        <v>0</v>
      </c>
      <c r="T24">
        <v>0</v>
      </c>
      <c r="U24">
        <v>0</v>
      </c>
      <c r="V24">
        <v>27627.14</v>
      </c>
      <c r="W24">
        <v>0</v>
      </c>
      <c r="X24">
        <v>0</v>
      </c>
      <c r="Y24">
        <v>0</v>
      </c>
      <c r="Z24">
        <v>25988.9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10966.54</v>
      </c>
      <c r="AH24">
        <v>0</v>
      </c>
      <c r="AI24">
        <v>0</v>
      </c>
      <c r="AJ24">
        <v>462171163.30797303</v>
      </c>
    </row>
    <row r="25" spans="1:36" x14ac:dyDescent="0.25">
      <c r="A25" t="s">
        <v>630</v>
      </c>
      <c r="B25" t="s">
        <v>15</v>
      </c>
      <c r="C25">
        <v>1159.29</v>
      </c>
      <c r="D25">
        <v>3309.58</v>
      </c>
      <c r="G25">
        <v>1.7273E-2</v>
      </c>
      <c r="H25">
        <v>0</v>
      </c>
      <c r="I25">
        <v>98000.93</v>
      </c>
      <c r="J25">
        <v>125722.95</v>
      </c>
      <c r="K25">
        <v>0</v>
      </c>
      <c r="L25">
        <v>179632.92</v>
      </c>
      <c r="M25">
        <v>0</v>
      </c>
      <c r="N25">
        <v>41582.080000000002</v>
      </c>
      <c r="O25">
        <v>15770.53</v>
      </c>
      <c r="P25">
        <v>14307.86</v>
      </c>
      <c r="Q25">
        <v>0</v>
      </c>
      <c r="R25">
        <v>0</v>
      </c>
      <c r="S25">
        <v>0</v>
      </c>
      <c r="T25">
        <v>0</v>
      </c>
      <c r="U25">
        <v>0</v>
      </c>
      <c r="V25">
        <v>43477.22</v>
      </c>
      <c r="W25">
        <v>0</v>
      </c>
      <c r="X25">
        <v>0</v>
      </c>
      <c r="Y25">
        <v>0</v>
      </c>
      <c r="Z25">
        <v>25988.9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11807.17</v>
      </c>
      <c r="AH25">
        <v>0</v>
      </c>
      <c r="AI25">
        <v>0</v>
      </c>
      <c r="AJ25">
        <v>400161779.14640301</v>
      </c>
    </row>
    <row r="26" spans="1:36" x14ac:dyDescent="0.25">
      <c r="A26" t="s">
        <v>631</v>
      </c>
      <c r="B26" t="s">
        <v>14</v>
      </c>
      <c r="D26">
        <v>3836.12</v>
      </c>
      <c r="E26">
        <v>1343.73</v>
      </c>
      <c r="G26">
        <v>2.0021000000000001E-2</v>
      </c>
      <c r="H26">
        <v>0</v>
      </c>
      <c r="I26">
        <v>114010.17</v>
      </c>
      <c r="J26">
        <v>125722.95</v>
      </c>
      <c r="K26">
        <v>0</v>
      </c>
      <c r="L26">
        <v>179632.92</v>
      </c>
      <c r="M26">
        <v>0</v>
      </c>
      <c r="N26">
        <v>50331.89</v>
      </c>
      <c r="O26">
        <v>17439.07</v>
      </c>
      <c r="P26">
        <v>18719.830000000002</v>
      </c>
      <c r="Q26">
        <v>0</v>
      </c>
      <c r="R26">
        <v>0</v>
      </c>
      <c r="S26">
        <v>0</v>
      </c>
      <c r="T26">
        <v>0</v>
      </c>
      <c r="U26">
        <v>0</v>
      </c>
      <c r="V26">
        <v>59981.93</v>
      </c>
      <c r="W26">
        <v>0</v>
      </c>
      <c r="X26">
        <v>0</v>
      </c>
      <c r="Y26">
        <v>0</v>
      </c>
      <c r="Z26">
        <v>25988.9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11512.23</v>
      </c>
      <c r="AH26">
        <v>0</v>
      </c>
      <c r="AI26">
        <v>0</v>
      </c>
      <c r="AJ26">
        <v>508962401.733042</v>
      </c>
    </row>
    <row r="27" spans="1:36" x14ac:dyDescent="0.25">
      <c r="A27" t="s">
        <v>632</v>
      </c>
      <c r="B27" t="s">
        <v>14</v>
      </c>
      <c r="C27">
        <v>1343.73</v>
      </c>
      <c r="D27">
        <v>3836.12</v>
      </c>
      <c r="G27">
        <v>2.0021000000000001E-2</v>
      </c>
      <c r="H27">
        <v>0</v>
      </c>
      <c r="I27">
        <v>144273.88</v>
      </c>
      <c r="J27">
        <v>125722.95</v>
      </c>
      <c r="K27">
        <v>0</v>
      </c>
      <c r="L27">
        <v>179632.92</v>
      </c>
      <c r="M27">
        <v>0</v>
      </c>
      <c r="N27">
        <v>50318.29</v>
      </c>
      <c r="O27">
        <v>20536.580000000002</v>
      </c>
      <c r="P27">
        <v>18905.22</v>
      </c>
      <c r="Q27">
        <v>0</v>
      </c>
      <c r="R27">
        <v>0</v>
      </c>
      <c r="S27">
        <v>0</v>
      </c>
      <c r="T27">
        <v>0</v>
      </c>
      <c r="U27">
        <v>0</v>
      </c>
      <c r="V27">
        <v>59922.33</v>
      </c>
      <c r="W27">
        <v>0</v>
      </c>
      <c r="X27">
        <v>0</v>
      </c>
      <c r="Y27">
        <v>0</v>
      </c>
      <c r="Z27">
        <v>25988.9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11484.59</v>
      </c>
      <c r="AH27">
        <v>0</v>
      </c>
      <c r="AI27">
        <v>0</v>
      </c>
      <c r="AJ27">
        <v>552095033.56440401</v>
      </c>
    </row>
    <row r="28" spans="1:36" x14ac:dyDescent="0.25">
      <c r="A28" t="s">
        <v>633</v>
      </c>
      <c r="B28" t="s">
        <v>13</v>
      </c>
      <c r="D28">
        <v>3567.31</v>
      </c>
      <c r="E28">
        <v>1249.57</v>
      </c>
      <c r="G28">
        <v>1.8617999999999999E-2</v>
      </c>
      <c r="H28">
        <v>0</v>
      </c>
      <c r="I28">
        <v>83588.33</v>
      </c>
      <c r="J28">
        <v>125722.95</v>
      </c>
      <c r="K28">
        <v>0</v>
      </c>
      <c r="L28">
        <v>179632.92</v>
      </c>
      <c r="M28">
        <v>0</v>
      </c>
      <c r="N28">
        <v>38092.68</v>
      </c>
      <c r="O28">
        <v>13797.3</v>
      </c>
      <c r="P28">
        <v>14680.47</v>
      </c>
      <c r="Q28">
        <v>0</v>
      </c>
      <c r="R28">
        <v>0</v>
      </c>
      <c r="S28">
        <v>0</v>
      </c>
      <c r="T28">
        <v>0</v>
      </c>
      <c r="U28">
        <v>0</v>
      </c>
      <c r="V28">
        <v>39558.03</v>
      </c>
      <c r="W28">
        <v>0</v>
      </c>
      <c r="X28">
        <v>0</v>
      </c>
      <c r="Y28">
        <v>0</v>
      </c>
      <c r="Z28">
        <v>25988.9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11857.17</v>
      </c>
      <c r="AH28">
        <v>0</v>
      </c>
      <c r="AI28">
        <v>0</v>
      </c>
      <c r="AJ28">
        <v>467593367.75358599</v>
      </c>
    </row>
    <row r="29" spans="1:36" x14ac:dyDescent="0.25">
      <c r="A29" t="s">
        <v>634</v>
      </c>
      <c r="B29" t="s">
        <v>13</v>
      </c>
      <c r="C29">
        <v>1249.57</v>
      </c>
      <c r="D29">
        <v>3567.31</v>
      </c>
      <c r="G29">
        <v>1.8617999999999999E-2</v>
      </c>
      <c r="H29">
        <v>0</v>
      </c>
      <c r="I29">
        <v>90354.16</v>
      </c>
      <c r="J29">
        <v>125722.95</v>
      </c>
      <c r="K29">
        <v>0</v>
      </c>
      <c r="L29">
        <v>179632.92</v>
      </c>
      <c r="M29">
        <v>0</v>
      </c>
      <c r="N29">
        <v>38096.21</v>
      </c>
      <c r="O29">
        <v>16090.93</v>
      </c>
      <c r="P29">
        <v>14811.85</v>
      </c>
      <c r="Q29">
        <v>0</v>
      </c>
      <c r="R29">
        <v>0</v>
      </c>
      <c r="S29">
        <v>0</v>
      </c>
      <c r="T29">
        <v>0</v>
      </c>
      <c r="U29">
        <v>0</v>
      </c>
      <c r="V29">
        <v>39621.19</v>
      </c>
      <c r="W29">
        <v>0</v>
      </c>
      <c r="X29">
        <v>0</v>
      </c>
      <c r="Y29">
        <v>0</v>
      </c>
      <c r="Z29">
        <v>25988.9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11781.22</v>
      </c>
      <c r="AH29">
        <v>0</v>
      </c>
      <c r="AI29">
        <v>0</v>
      </c>
      <c r="AJ29">
        <v>481338408.37987399</v>
      </c>
    </row>
    <row r="30" spans="1:36" x14ac:dyDescent="0.25">
      <c r="A30" t="s">
        <v>635</v>
      </c>
      <c r="B30" t="s">
        <v>12</v>
      </c>
      <c r="D30">
        <v>3783.79</v>
      </c>
      <c r="E30">
        <v>1325.4</v>
      </c>
      <c r="G30">
        <v>1.9748000000000002E-2</v>
      </c>
      <c r="H30">
        <v>0</v>
      </c>
      <c r="I30">
        <v>99435.6</v>
      </c>
      <c r="J30">
        <v>125722.95</v>
      </c>
      <c r="K30">
        <v>0</v>
      </c>
      <c r="L30">
        <v>179632.92</v>
      </c>
      <c r="M30">
        <v>0</v>
      </c>
      <c r="N30">
        <v>48995.6</v>
      </c>
      <c r="O30">
        <v>15332.69</v>
      </c>
      <c r="P30">
        <v>15712.94</v>
      </c>
      <c r="Q30">
        <v>0</v>
      </c>
      <c r="R30">
        <v>0</v>
      </c>
      <c r="S30">
        <v>0</v>
      </c>
      <c r="T30">
        <v>0</v>
      </c>
      <c r="U30">
        <v>0</v>
      </c>
      <c r="V30">
        <v>75972.73</v>
      </c>
      <c r="W30">
        <v>0</v>
      </c>
      <c r="X30">
        <v>0</v>
      </c>
      <c r="Y30">
        <v>0</v>
      </c>
      <c r="Z30">
        <v>25988.9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11862.59</v>
      </c>
      <c r="AH30">
        <v>0</v>
      </c>
      <c r="AI30">
        <v>0</v>
      </c>
      <c r="AJ30">
        <v>471315139.834957</v>
      </c>
    </row>
    <row r="31" spans="1:36" x14ac:dyDescent="0.25">
      <c r="A31" t="s">
        <v>636</v>
      </c>
      <c r="B31" t="s">
        <v>12</v>
      </c>
      <c r="C31">
        <v>1325.4</v>
      </c>
      <c r="D31">
        <v>3783.79</v>
      </c>
      <c r="G31">
        <v>1.9748000000000002E-2</v>
      </c>
      <c r="H31">
        <v>0</v>
      </c>
      <c r="I31">
        <v>122942.73</v>
      </c>
      <c r="J31">
        <v>125722.95</v>
      </c>
      <c r="K31">
        <v>0</v>
      </c>
      <c r="L31">
        <v>179632.92</v>
      </c>
      <c r="M31">
        <v>0</v>
      </c>
      <c r="N31">
        <v>48978.1</v>
      </c>
      <c r="O31">
        <v>17993.41</v>
      </c>
      <c r="P31">
        <v>15933.01</v>
      </c>
      <c r="Q31">
        <v>0</v>
      </c>
      <c r="R31">
        <v>0</v>
      </c>
      <c r="S31">
        <v>0</v>
      </c>
      <c r="T31">
        <v>0</v>
      </c>
      <c r="U31">
        <v>0</v>
      </c>
      <c r="V31">
        <v>75658.149999999994</v>
      </c>
      <c r="W31">
        <v>0</v>
      </c>
      <c r="X31">
        <v>0</v>
      </c>
      <c r="Y31">
        <v>0</v>
      </c>
      <c r="Z31">
        <v>25988.9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11832.92</v>
      </c>
      <c r="AH31">
        <v>0</v>
      </c>
      <c r="AI31">
        <v>0</v>
      </c>
      <c r="AJ31">
        <v>539537028.85584199</v>
      </c>
    </row>
    <row r="32" spans="1:36" x14ac:dyDescent="0.25">
      <c r="A32" t="s">
        <v>637</v>
      </c>
      <c r="B32" t="s">
        <v>11</v>
      </c>
      <c r="C32">
        <v>1015.09</v>
      </c>
      <c r="D32">
        <v>2897.91</v>
      </c>
      <c r="G32">
        <v>1.5125E-2</v>
      </c>
      <c r="H32">
        <v>0</v>
      </c>
      <c r="I32">
        <v>21744.45</v>
      </c>
      <c r="J32">
        <v>125722.95</v>
      </c>
      <c r="K32">
        <v>0</v>
      </c>
      <c r="L32">
        <v>179632.92</v>
      </c>
      <c r="M32">
        <v>0</v>
      </c>
      <c r="N32">
        <v>37639.49</v>
      </c>
      <c r="O32">
        <v>3347.89</v>
      </c>
      <c r="P32">
        <v>2769.64</v>
      </c>
      <c r="Q32">
        <v>0</v>
      </c>
      <c r="R32">
        <v>0</v>
      </c>
      <c r="S32">
        <v>0</v>
      </c>
      <c r="T32">
        <v>0</v>
      </c>
      <c r="U32">
        <v>0</v>
      </c>
      <c r="V32">
        <v>82492.23</v>
      </c>
      <c r="W32">
        <v>0</v>
      </c>
      <c r="X32">
        <v>0</v>
      </c>
      <c r="Y32">
        <v>0</v>
      </c>
      <c r="Z32">
        <v>25988.9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12885.23</v>
      </c>
      <c r="AH32">
        <v>0</v>
      </c>
      <c r="AI32">
        <v>0</v>
      </c>
      <c r="AJ32">
        <v>335013837.44376498</v>
      </c>
    </row>
    <row r="33" spans="1:36" x14ac:dyDescent="0.25">
      <c r="A33" t="s">
        <v>638</v>
      </c>
      <c r="B33" t="s">
        <v>11</v>
      </c>
      <c r="D33">
        <v>2897.91</v>
      </c>
      <c r="E33">
        <v>1015.09</v>
      </c>
      <c r="G33">
        <v>1.5125E-2</v>
      </c>
      <c r="H33">
        <v>0</v>
      </c>
      <c r="I33">
        <v>20274.689999999999</v>
      </c>
      <c r="J33">
        <v>125722.95</v>
      </c>
      <c r="K33">
        <v>0</v>
      </c>
      <c r="L33">
        <v>179632.92</v>
      </c>
      <c r="M33">
        <v>0</v>
      </c>
      <c r="N33">
        <v>37639.300000000003</v>
      </c>
      <c r="O33">
        <v>2783.3</v>
      </c>
      <c r="P33">
        <v>2673.61</v>
      </c>
      <c r="Q33">
        <v>0</v>
      </c>
      <c r="R33">
        <v>0</v>
      </c>
      <c r="S33">
        <v>0</v>
      </c>
      <c r="T33">
        <v>0</v>
      </c>
      <c r="U33">
        <v>0</v>
      </c>
      <c r="V33">
        <v>82545.789999999994</v>
      </c>
      <c r="W33">
        <v>0</v>
      </c>
      <c r="X33">
        <v>0</v>
      </c>
      <c r="Y33">
        <v>0</v>
      </c>
      <c r="Z33">
        <v>25988.9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12862.43</v>
      </c>
      <c r="AH33">
        <v>0</v>
      </c>
      <c r="AI33">
        <v>0</v>
      </c>
      <c r="AJ33">
        <v>331924549.52334797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7ed3b4-dc53-4ccd-91b7-93b67a0eba97">
      <Terms xmlns="http://schemas.microsoft.com/office/infopath/2007/PartnerControls"/>
    </lcf76f155ced4ddcb4097134ff3c332f>
    <TaxCatchAll xmlns="63e8c1f7-1787-49b1-80e5-dcc3ae9ab6e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A9EB7EB4E4F489A4515111482199D" ma:contentTypeVersion="17" ma:contentTypeDescription="Create a new document." ma:contentTypeScope="" ma:versionID="4741c410b77d531f721fb7b90932bdeb">
  <xsd:schema xmlns:xsd="http://www.w3.org/2001/XMLSchema" xmlns:xs="http://www.w3.org/2001/XMLSchema" xmlns:p="http://schemas.microsoft.com/office/2006/metadata/properties" xmlns:ns2="977ed3b4-dc53-4ccd-91b7-93b67a0eba97" xmlns:ns3="63e8c1f7-1787-49b1-80e5-dcc3ae9ab6e9" targetNamespace="http://schemas.microsoft.com/office/2006/metadata/properties" ma:root="true" ma:fieldsID="0252bddf945198c778e7fd3f872e9b39" ns2:_="" ns3:_="">
    <xsd:import namespace="977ed3b4-dc53-4ccd-91b7-93b67a0eba97"/>
    <xsd:import namespace="63e8c1f7-1787-49b1-80e5-dcc3ae9ab6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ed3b4-dc53-4ccd-91b7-93b67a0eb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95426fa-e547-4e42-90d0-e39dca5083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8c1f7-1787-49b1-80e5-dcc3ae9ab6e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74a4609-41f4-4e06-875c-5b66bd3cec7e}" ma:internalName="TaxCatchAll" ma:showField="CatchAllData" ma:web="63e8c1f7-1787-49b1-80e5-dcc3ae9ab6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689094-C9F2-43D7-826F-1E867600988F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63e8c1f7-1787-49b1-80e5-dcc3ae9ab6e9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977ed3b4-dc53-4ccd-91b7-93b67a0eba9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5BD64CB-30EA-4415-8C1A-4DBBA498C2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7ed3b4-dc53-4ccd-91b7-93b67a0eba97"/>
    <ds:schemaRef ds:uri="63e8c1f7-1787-49b1-80e5-dcc3ae9ab6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9C53BD-3F1B-47FF-8FF6-4A0B771541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Design flow rate</vt:lpstr>
      <vt:lpstr>Min flow rate</vt:lpstr>
      <vt:lpstr>Combined Runs</vt:lpstr>
      <vt:lpstr>Central Plant_Ex</vt:lpstr>
      <vt:lpstr>Central Plant_New</vt:lpstr>
      <vt:lpstr>Central Plant_Htl_Ex</vt:lpstr>
      <vt:lpstr>Central Plant_Htl_New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Janik Somaiya</dc:creator>
  <cp:lastModifiedBy>Nicholas Fette</cp:lastModifiedBy>
  <dcterms:created xsi:type="dcterms:W3CDTF">2025-11-17T18:11:04Z</dcterms:created>
  <dcterms:modified xsi:type="dcterms:W3CDTF">2025-12-30T17:51:31Z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0x010100366A9EB7EB4E4F489A4515111482199D</vt:lpwstr>
  </property>
  <property fmtid="{D5CDD505-2E9C-101B-9397-08002B2CF9AE}" pid="3" name="MediaServiceImageTags">
    <vt:lpwstr/>
  </property>
</Properties>
</file>