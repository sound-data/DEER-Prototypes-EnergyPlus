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5\DEER-Prototypes-EnergyPlus\scripts\data transformation\"/>
    </mc:Choice>
  </mc:AlternateContent>
  <xr:revisionPtr revIDLastSave="0" documentId="13_ncr:1_{4A8A683C-34EE-49A9-AB45-B7225442C2D0}" xr6:coauthVersionLast="47" xr6:coauthVersionMax="47" xr10:uidLastSave="{00000000-0000-0000-0000-000000000000}"/>
  <bookViews>
    <workbookView xWindow="-28920" yWindow="-120" windowWidth="29040" windowHeight="15720" activeTab="2" xr2:uid="{527A75FC-5BC9-4372-9120-09678A46B600}"/>
  </bookViews>
  <sheets>
    <sheet name="DMo" sheetId="1" r:id="rId1"/>
    <sheet name="MFm" sheetId="2" r:id="rId2"/>
    <sheet name="SFm" sheetId="3" r:id="rId3"/>
    <sheet name="Com" sheetId="4" r:id="rId4"/>
  </sheets>
  <definedNames>
    <definedName name="_xlnm._FilterDatabase" localSheetId="2" hidden="1">SFm!$A$1:$F$99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4" l="1"/>
  <c r="F30" i="4"/>
  <c r="F29" i="4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7" i="2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<sst xmlns="http://schemas.openxmlformats.org/spreadsheetml/2006/main" count="708" uniqueCount="73">
  <si>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</si>
  <si>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</si>
  <si>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</si>
  <si>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</si>
  <si>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</si>
  <si>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</si>
  <si>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</si>
  <si>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</si>
  <si>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</si>
  <si>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</si>
  <si>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</si>
  <si>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</si>
  <si>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</si>
  <si>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</si>
  <si>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</si>
  <si>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</si>
  <si>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</si>
  <si>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</si>
  <si>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</si>
  <si>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</si>
  <si>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</si>
  <si>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</si>
  <si>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</si>
  <si>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</si>
  <si>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</si>
  <si>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</si>
  <si>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</si>
  <si>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</si>
  <si>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</si>
  <si>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</si>
  <si>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</si>
  <si>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</si>
  <si>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</si>
  <si>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</si>
  <si>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</si>
  <si>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</si>
  <si>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</si>
  <si>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</si>
  <si>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</si>
  <si>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</si>
  <si>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</si>
  <si>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</si>
  <si>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</si>
  <si>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</si>
  <si>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</si>
  <si>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</si>
  <si>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</si>
  <si>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</si>
  <si>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</si>
  <si>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</si>
  <si>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</si>
  <si>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</si>
  <si>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</si>
  <si>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</si>
  <si>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</si>
  <si>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</si>
  <si>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</si>
  <si>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</si>
  <si>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</si>
  <si>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</si>
  <si>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</si>
  <si>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</si>
  <si>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</si>
  <si>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</si>
  <si>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</si>
  <si>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area value in ft2</t>
  </si>
  <si>
    <t>conditioned area is 0</t>
  </si>
  <si>
    <t>Each</t>
  </si>
  <si>
    <t>added 7/18/2024 to accommodate Normunit = Each</t>
  </si>
  <si>
    <t>Cap-Ton</t>
  </si>
  <si>
    <t>Com Cap-Ton units for SEER rated AC measures from each com bldg type pre prototype</t>
  </si>
  <si>
    <t>Com Cap-Ton units for SEER rated AC measures from each com bldg type pre prototype need to be updated</t>
  </si>
  <si>
    <t>SWXX111-00 Example_SEER_AC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</si>
</sst>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6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32</v>
      </c>
      <c r="C1" t="s">
        <v>2</v>
      </c>
      <c r="D1" t="s">
        <v>21</v>
      </c>
      <c r="E1" t="s">
        <v>55</v>
      </c>
    </row>
    <row r="2" spans="1:5" x14ac:dyDescent="0.3">
      <c r="A2" t="s">
        <v>1</v>
      </c>
      <c r="B2" t="s">
        <v>3</v>
      </c>
      <c r="C2">
        <v>2480</v>
      </c>
    </row>
    <row r="3" spans="1:5" x14ac:dyDescent="0.3">
      <c r="A3" t="s">
        <v>20</v>
      </c>
      <c r="B3" t="s">
        <v>3</v>
      </c>
      <c r="C3">
        <v>2174.56</v>
      </c>
      <c r="D3" t="s">
        <v>26</v>
      </c>
    </row>
    <row r="4" spans="1:5" x14ac:dyDescent="0.3">
      <c r="A4" t="s">
        <v>20</v>
      </c>
      <c r="B4" t="s">
        <v>3</v>
      </c>
      <c r="C4">
        <v>2480</v>
      </c>
      <c r="D4" t="s">
        <v>27</v>
      </c>
    </row>
    <row r="5" spans="1:5" x14ac:dyDescent="0.3">
      <c r="A5" t="s">
        <v>30</v>
      </c>
      <c r="B5" t="s">
        <v>3</v>
      </c>
      <c r="C5">
        <f>400*2</f>
        <v>800</v>
      </c>
      <c r="D5" t="s">
        <v>31</v>
      </c>
    </row>
    <row r="6" spans="1:5" x14ac:dyDescent="0.3">
      <c r="A6" t="s">
        <v>69</v>
      </c>
      <c r="B6" t="s">
        <v>3</v>
      </c>
      <c r="C6">
        <v>3.5</v>
      </c>
      <c r="D6" t="s">
        <v>56</v>
      </c>
      <c r="E6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3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69</v>
      </c>
      <c r="B5" t="s">
        <v>4</v>
      </c>
      <c r="C5">
        <v>19.45</v>
      </c>
      <c r="D5" t="s">
        <v>24</v>
      </c>
      <c r="E5" t="s">
        <v>23</v>
      </c>
    </row>
    <row r="6" spans="1:6" x14ac:dyDescent="0.3">
      <c r="A6" t="s">
        <v>69</v>
      </c>
      <c r="B6" t="s">
        <v>5</v>
      </c>
      <c r="C6">
        <v>22.32</v>
      </c>
      <c r="D6" t="s">
        <v>24</v>
      </c>
      <c r="E6" t="s">
        <v>23</v>
      </c>
    </row>
    <row r="7" spans="1:6" x14ac:dyDescent="0.3">
      <c r="A7" t="s">
        <v>69</v>
      </c>
      <c r="B7" t="s">
        <v>6</v>
      </c>
      <c r="C7">
        <v>24.49</v>
      </c>
      <c r="D7" t="s">
        <v>24</v>
      </c>
      <c r="E7" t="s">
        <v>23</v>
      </c>
    </row>
    <row r="8" spans="1:6" x14ac:dyDescent="0.3">
      <c r="A8" t="s">
        <v>69</v>
      </c>
      <c r="B8" t="s">
        <v>7</v>
      </c>
      <c r="C8">
        <v>23.49</v>
      </c>
      <c r="D8" t="s">
        <v>24</v>
      </c>
      <c r="E8" t="s">
        <v>23</v>
      </c>
    </row>
    <row r="9" spans="1:6" x14ac:dyDescent="0.3">
      <c r="A9" t="s">
        <v>69</v>
      </c>
      <c r="B9" t="s">
        <v>8</v>
      </c>
      <c r="C9">
        <v>23.88</v>
      </c>
      <c r="D9" t="s">
        <v>24</v>
      </c>
      <c r="E9" t="s">
        <v>23</v>
      </c>
    </row>
    <row r="10" spans="1:6" x14ac:dyDescent="0.3">
      <c r="A10" t="s">
        <v>69</v>
      </c>
      <c r="B10" t="s">
        <v>9</v>
      </c>
      <c r="C10">
        <v>23.79</v>
      </c>
      <c r="D10" t="s">
        <v>24</v>
      </c>
      <c r="E10" t="s">
        <v>23</v>
      </c>
    </row>
    <row r="11" spans="1:6" x14ac:dyDescent="0.3">
      <c r="A11" t="s">
        <v>69</v>
      </c>
      <c r="B11" t="s">
        <v>10</v>
      </c>
      <c r="C11">
        <v>22.48</v>
      </c>
      <c r="D11" t="s">
        <v>24</v>
      </c>
      <c r="E11" t="s">
        <v>23</v>
      </c>
    </row>
    <row r="12" spans="1:6" x14ac:dyDescent="0.3">
      <c r="A12" t="s">
        <v>69</v>
      </c>
      <c r="B12" t="s">
        <v>11</v>
      </c>
      <c r="C12">
        <v>27.59</v>
      </c>
      <c r="D12" t="s">
        <v>24</v>
      </c>
      <c r="E12" t="s">
        <v>23</v>
      </c>
    </row>
    <row r="13" spans="1:6" x14ac:dyDescent="0.3">
      <c r="A13" t="s">
        <v>69</v>
      </c>
      <c r="B13" t="s">
        <v>12</v>
      </c>
      <c r="C13">
        <v>35.33</v>
      </c>
      <c r="D13" t="s">
        <v>24</v>
      </c>
      <c r="E13" t="s">
        <v>23</v>
      </c>
    </row>
    <row r="14" spans="1:6" x14ac:dyDescent="0.3">
      <c r="A14" t="s">
        <v>69</v>
      </c>
      <c r="B14" t="s">
        <v>13</v>
      </c>
      <c r="C14">
        <v>31.18</v>
      </c>
      <c r="D14" t="s">
        <v>24</v>
      </c>
      <c r="E14" t="s">
        <v>23</v>
      </c>
    </row>
    <row r="15" spans="1:6" x14ac:dyDescent="0.3">
      <c r="A15" t="s">
        <v>69</v>
      </c>
      <c r="B15" t="s">
        <v>14</v>
      </c>
      <c r="C15">
        <v>36.97</v>
      </c>
      <c r="D15" t="s">
        <v>24</v>
      </c>
      <c r="E15" t="s">
        <v>23</v>
      </c>
    </row>
    <row r="16" spans="1:6" x14ac:dyDescent="0.3">
      <c r="A16" t="s">
        <v>69</v>
      </c>
      <c r="B16" t="s">
        <v>15</v>
      </c>
      <c r="C16">
        <v>29.91</v>
      </c>
      <c r="D16" t="s">
        <v>24</v>
      </c>
      <c r="E16" t="s">
        <v>23</v>
      </c>
    </row>
    <row r="17" spans="1:5" x14ac:dyDescent="0.3">
      <c r="A17" t="s">
        <v>69</v>
      </c>
      <c r="B17" t="s">
        <v>16</v>
      </c>
      <c r="C17">
        <v>44.48</v>
      </c>
      <c r="D17" t="s">
        <v>24</v>
      </c>
      <c r="E17" t="s">
        <v>23</v>
      </c>
    </row>
    <row r="18" spans="1:5" x14ac:dyDescent="0.3">
      <c r="A18" t="s">
        <v>69</v>
      </c>
      <c r="B18" t="s">
        <v>17</v>
      </c>
      <c r="C18">
        <v>36.1</v>
      </c>
      <c r="D18" t="s">
        <v>24</v>
      </c>
      <c r="E18" t="s">
        <v>23</v>
      </c>
    </row>
    <row r="19" spans="1:5" x14ac:dyDescent="0.3">
      <c r="A19" t="s">
        <v>69</v>
      </c>
      <c r="B19" t="s">
        <v>18</v>
      </c>
      <c r="C19">
        <v>46.7</v>
      </c>
      <c r="D19" t="s">
        <v>24</v>
      </c>
      <c r="E19" t="s">
        <v>23</v>
      </c>
    </row>
    <row r="20" spans="1:5" x14ac:dyDescent="0.3">
      <c r="A20" t="s">
        <v>69</v>
      </c>
      <c r="B20" t="s">
        <v>19</v>
      </c>
      <c r="C20">
        <v>37.619999999999997</v>
      </c>
      <c r="D20" t="s">
        <v>24</v>
      </c>
      <c r="E20" t="s">
        <v>23</v>
      </c>
    </row>
    <row r="21" spans="1:5" x14ac:dyDescent="0.3">
      <c r="A21" t="s">
        <v>69</v>
      </c>
      <c r="B21" t="s">
        <v>4</v>
      </c>
      <c r="C21">
        <v>19.43</v>
      </c>
      <c r="D21" t="s">
        <v>24</v>
      </c>
      <c r="E21" t="s">
        <v>25</v>
      </c>
    </row>
    <row r="22" spans="1:5" x14ac:dyDescent="0.3">
      <c r="A22" t="s">
        <v>69</v>
      </c>
      <c r="B22" t="s">
        <v>5</v>
      </c>
      <c r="C22">
        <v>13.44</v>
      </c>
      <c r="D22" t="s">
        <v>24</v>
      </c>
      <c r="E22" t="s">
        <v>25</v>
      </c>
    </row>
    <row r="23" spans="1:5" x14ac:dyDescent="0.3">
      <c r="A23" t="s">
        <v>69</v>
      </c>
      <c r="B23" t="s">
        <v>6</v>
      </c>
      <c r="C23">
        <v>22.69</v>
      </c>
      <c r="D23" t="s">
        <v>24</v>
      </c>
      <c r="E23" t="s">
        <v>25</v>
      </c>
    </row>
    <row r="24" spans="1:5" x14ac:dyDescent="0.3">
      <c r="A24" t="s">
        <v>69</v>
      </c>
      <c r="B24" t="s">
        <v>7</v>
      </c>
      <c r="C24">
        <v>13.62</v>
      </c>
      <c r="D24" t="s">
        <v>24</v>
      </c>
      <c r="E24" t="s">
        <v>25</v>
      </c>
    </row>
    <row r="25" spans="1:5" x14ac:dyDescent="0.3">
      <c r="A25" t="s">
        <v>69</v>
      </c>
      <c r="B25" t="s">
        <v>8</v>
      </c>
      <c r="C25">
        <v>20.22</v>
      </c>
      <c r="D25" t="s">
        <v>24</v>
      </c>
      <c r="E25" t="s">
        <v>25</v>
      </c>
    </row>
    <row r="26" spans="1:5" x14ac:dyDescent="0.3">
      <c r="A26" t="s">
        <v>69</v>
      </c>
      <c r="B26" t="s">
        <v>9</v>
      </c>
      <c r="C26">
        <v>13.48</v>
      </c>
      <c r="D26" t="s">
        <v>24</v>
      </c>
      <c r="E26" t="s">
        <v>25</v>
      </c>
    </row>
    <row r="27" spans="1:5" x14ac:dyDescent="0.3">
      <c r="A27" t="s">
        <v>69</v>
      </c>
      <c r="B27" t="s">
        <v>10</v>
      </c>
      <c r="C27">
        <v>15.22</v>
      </c>
      <c r="D27" t="s">
        <v>24</v>
      </c>
      <c r="E27" t="s">
        <v>25</v>
      </c>
    </row>
    <row r="28" spans="1:5" x14ac:dyDescent="0.3">
      <c r="A28" t="s">
        <v>69</v>
      </c>
      <c r="B28" t="s">
        <v>11</v>
      </c>
      <c r="C28">
        <v>15.68</v>
      </c>
      <c r="D28" t="s">
        <v>24</v>
      </c>
      <c r="E28" t="s">
        <v>25</v>
      </c>
    </row>
    <row r="29" spans="1:5" x14ac:dyDescent="0.3">
      <c r="A29" t="s">
        <v>69</v>
      </c>
      <c r="B29" t="s">
        <v>12</v>
      </c>
      <c r="C29">
        <v>18.98</v>
      </c>
      <c r="D29" t="s">
        <v>24</v>
      </c>
      <c r="E29" t="s">
        <v>25</v>
      </c>
    </row>
    <row r="30" spans="1:5" x14ac:dyDescent="0.3">
      <c r="A30" t="s">
        <v>69</v>
      </c>
      <c r="B30" t="s">
        <v>13</v>
      </c>
      <c r="C30">
        <v>17.149999999999999</v>
      </c>
      <c r="D30" t="s">
        <v>24</v>
      </c>
      <c r="E30" t="s">
        <v>25</v>
      </c>
    </row>
    <row r="31" spans="1:5" x14ac:dyDescent="0.3">
      <c r="A31" t="s">
        <v>69</v>
      </c>
      <c r="B31" t="s">
        <v>14</v>
      </c>
      <c r="C31">
        <v>22.04</v>
      </c>
      <c r="D31" t="s">
        <v>24</v>
      </c>
      <c r="E31" t="s">
        <v>25</v>
      </c>
    </row>
    <row r="32" spans="1:5" x14ac:dyDescent="0.3">
      <c r="A32" t="s">
        <v>69</v>
      </c>
      <c r="B32" t="s">
        <v>15</v>
      </c>
      <c r="C32">
        <v>16.989999999999998</v>
      </c>
      <c r="D32" t="s">
        <v>24</v>
      </c>
      <c r="E32" t="s">
        <v>25</v>
      </c>
    </row>
    <row r="33" spans="1:6" x14ac:dyDescent="0.3">
      <c r="A33" t="s">
        <v>69</v>
      </c>
      <c r="B33" t="s">
        <v>16</v>
      </c>
      <c r="C33">
        <v>24.01</v>
      </c>
      <c r="D33" t="s">
        <v>24</v>
      </c>
      <c r="E33" t="s">
        <v>25</v>
      </c>
    </row>
    <row r="34" spans="1:6" x14ac:dyDescent="0.3">
      <c r="A34" t="s">
        <v>69</v>
      </c>
      <c r="B34" t="s">
        <v>17</v>
      </c>
      <c r="C34">
        <v>18.54</v>
      </c>
      <c r="D34" t="s">
        <v>24</v>
      </c>
      <c r="E34" t="s">
        <v>25</v>
      </c>
    </row>
    <row r="35" spans="1:6" x14ac:dyDescent="0.3">
      <c r="A35" t="s">
        <v>69</v>
      </c>
      <c r="B35" t="s">
        <v>18</v>
      </c>
      <c r="C35">
        <v>31.11</v>
      </c>
      <c r="D35" t="s">
        <v>24</v>
      </c>
      <c r="E35" t="s">
        <v>25</v>
      </c>
    </row>
    <row r="36" spans="1:6" x14ac:dyDescent="0.3">
      <c r="A36" t="s">
        <v>69</v>
      </c>
      <c r="B36" t="s">
        <v>19</v>
      </c>
      <c r="C36">
        <v>32.06</v>
      </c>
      <c r="D36" t="s">
        <v>24</v>
      </c>
      <c r="E36" t="s">
        <v>25</v>
      </c>
    </row>
    <row r="37" spans="1:6" x14ac:dyDescent="0.3">
      <c r="A37" t="s">
        <v>30</v>
      </c>
      <c r="B37" t="s">
        <v>3</v>
      </c>
      <c r="C37">
        <f>400*24</f>
        <v>9600</v>
      </c>
      <c r="D37" t="s">
        <v>31</v>
      </c>
    </row>
    <row r="38" spans="1:6" x14ac:dyDescent="0.3">
      <c r="A38" t="s">
        <v>69</v>
      </c>
      <c r="B38" t="s">
        <v>4</v>
      </c>
      <c r="C38" s="1">
        <v>2.5</v>
      </c>
      <c r="D38" t="s">
        <v>56</v>
      </c>
      <c r="F38" t="s">
        <v>54</v>
      </c>
    </row>
    <row r="39" spans="1:6" x14ac:dyDescent="0.3">
      <c r="A39" t="s">
        <v>69</v>
      </c>
      <c r="B39" t="s">
        <v>5</v>
      </c>
      <c r="C39" s="1">
        <v>2.5</v>
      </c>
      <c r="D39" t="s">
        <v>56</v>
      </c>
      <c r="F39" t="s">
        <v>54</v>
      </c>
    </row>
    <row r="40" spans="1:6" x14ac:dyDescent="0.3">
      <c r="A40" t="s">
        <v>69</v>
      </c>
      <c r="B40" t="s">
        <v>6</v>
      </c>
      <c r="C40" s="1">
        <v>2.5</v>
      </c>
      <c r="D40" t="s">
        <v>56</v>
      </c>
      <c r="F40" t="s">
        <v>54</v>
      </c>
    </row>
    <row r="41" spans="1:6" x14ac:dyDescent="0.3">
      <c r="A41" t="s">
        <v>69</v>
      </c>
      <c r="B41" t="s">
        <v>7</v>
      </c>
      <c r="C41" s="1">
        <v>2.5</v>
      </c>
      <c r="D41" t="s">
        <v>56</v>
      </c>
      <c r="F41" t="s">
        <v>54</v>
      </c>
    </row>
    <row r="42" spans="1:6" x14ac:dyDescent="0.3">
      <c r="A42" t="s">
        <v>69</v>
      </c>
      <c r="B42" t="s">
        <v>8</v>
      </c>
      <c r="C42" s="1">
        <v>2.5</v>
      </c>
      <c r="D42" t="s">
        <v>56</v>
      </c>
      <c r="F42" t="s">
        <v>54</v>
      </c>
    </row>
    <row r="43" spans="1:6" x14ac:dyDescent="0.3">
      <c r="A43" t="s">
        <v>69</v>
      </c>
      <c r="B43" t="s">
        <v>9</v>
      </c>
      <c r="C43" s="1">
        <v>2.5</v>
      </c>
      <c r="D43" t="s">
        <v>56</v>
      </c>
      <c r="F43" t="s">
        <v>54</v>
      </c>
    </row>
    <row r="44" spans="1:6" x14ac:dyDescent="0.3">
      <c r="A44" t="s">
        <v>69</v>
      </c>
      <c r="B44" t="s">
        <v>10</v>
      </c>
      <c r="C44" s="1">
        <v>2.5</v>
      </c>
      <c r="D44" t="s">
        <v>56</v>
      </c>
      <c r="F44" t="s">
        <v>54</v>
      </c>
    </row>
    <row r="45" spans="1:6" x14ac:dyDescent="0.3">
      <c r="A45" t="s">
        <v>69</v>
      </c>
      <c r="B45" t="s">
        <v>11</v>
      </c>
      <c r="C45" s="1">
        <v>2.5</v>
      </c>
      <c r="D45" t="s">
        <v>56</v>
      </c>
      <c r="F45" t="s">
        <v>54</v>
      </c>
    </row>
    <row r="46" spans="1:6" x14ac:dyDescent="0.3">
      <c r="A46" t="s">
        <v>69</v>
      </c>
      <c r="B46" t="s">
        <v>12</v>
      </c>
      <c r="C46" s="1">
        <v>2.5</v>
      </c>
      <c r="D46" t="s">
        <v>56</v>
      </c>
      <c r="F46" t="s">
        <v>54</v>
      </c>
    </row>
    <row r="47" spans="1:6" x14ac:dyDescent="0.3">
      <c r="A47" t="s">
        <v>69</v>
      </c>
      <c r="B47" t="s">
        <v>13</v>
      </c>
      <c r="C47" s="1">
        <v>3</v>
      </c>
      <c r="D47" t="s">
        <v>56</v>
      </c>
      <c r="F47" t="s">
        <v>54</v>
      </c>
    </row>
    <row r="48" spans="1:6" x14ac:dyDescent="0.3">
      <c r="A48" t="s">
        <v>69</v>
      </c>
      <c r="B48" t="s">
        <v>14</v>
      </c>
      <c r="C48" s="1">
        <v>3</v>
      </c>
      <c r="D48" t="s">
        <v>56</v>
      </c>
      <c r="F48" t="s">
        <v>54</v>
      </c>
    </row>
    <row r="49" spans="1:6" x14ac:dyDescent="0.3">
      <c r="A49" t="s">
        <v>69</v>
      </c>
      <c r="B49" t="s">
        <v>15</v>
      </c>
      <c r="C49" s="1">
        <v>3</v>
      </c>
      <c r="D49" t="s">
        <v>56</v>
      </c>
      <c r="F49" t="s">
        <v>54</v>
      </c>
    </row>
    <row r="50" spans="1:6" x14ac:dyDescent="0.3">
      <c r="A50" t="s">
        <v>69</v>
      </c>
      <c r="B50" t="s">
        <v>16</v>
      </c>
      <c r="C50" s="1">
        <v>3</v>
      </c>
      <c r="D50" t="s">
        <v>56</v>
      </c>
      <c r="F50" t="s">
        <v>54</v>
      </c>
    </row>
    <row r="51" spans="1:6" x14ac:dyDescent="0.3">
      <c r="A51" t="s">
        <v>69</v>
      </c>
      <c r="B51" t="s">
        <v>17</v>
      </c>
      <c r="C51" s="1">
        <v>3</v>
      </c>
      <c r="D51" t="s">
        <v>56</v>
      </c>
      <c r="F51" t="s">
        <v>54</v>
      </c>
    </row>
    <row r="52" spans="1:6" x14ac:dyDescent="0.3">
      <c r="A52" t="s">
        <v>69</v>
      </c>
      <c r="B52" t="s">
        <v>18</v>
      </c>
      <c r="C52" s="1">
        <v>3</v>
      </c>
      <c r="D52" t="s">
        <v>56</v>
      </c>
      <c r="F52" t="s">
        <v>54</v>
      </c>
    </row>
    <row r="53" spans="1:6" x14ac:dyDescent="0.3">
      <c r="A53" t="s">
        <v>69</v>
      </c>
      <c r="B53" t="s">
        <v>19</v>
      </c>
      <c r="C53" s="1">
        <v>3</v>
      </c>
      <c r="D53" t="s">
        <v>56</v>
      </c>
      <c r="F53" t="s">
        <v>54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99"/>
  <sheetViews>
    <sheetView tabSelected="1" workbookViewId="0">
      <selection activeCell="B1" sqref="B1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69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69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69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69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69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69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69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69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69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69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69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69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69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69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69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69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69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69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69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69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69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69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69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69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69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69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69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69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69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69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69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69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69</v>
      </c>
      <c r="B84" t="s">
        <v>4</v>
      </c>
      <c r="C84" s="1">
        <v>4</v>
      </c>
      <c r="D84" t="s">
        <v>56</v>
      </c>
      <c r="F84" t="s">
        <v>54</v>
      </c>
    </row>
    <row r="85" spans="1:6" x14ac:dyDescent="0.3">
      <c r="A85" t="s">
        <v>69</v>
      </c>
      <c r="B85" t="s">
        <v>5</v>
      </c>
      <c r="C85" s="1">
        <v>4</v>
      </c>
      <c r="D85" t="s">
        <v>56</v>
      </c>
      <c r="F85" t="s">
        <v>54</v>
      </c>
    </row>
    <row r="86" spans="1:6" x14ac:dyDescent="0.3">
      <c r="A86" t="s">
        <v>69</v>
      </c>
      <c r="B86" t="s">
        <v>6</v>
      </c>
      <c r="C86" s="1">
        <v>4</v>
      </c>
      <c r="D86" t="s">
        <v>56</v>
      </c>
      <c r="F86" t="s">
        <v>54</v>
      </c>
    </row>
    <row r="87" spans="1:6" x14ac:dyDescent="0.3">
      <c r="A87" t="s">
        <v>69</v>
      </c>
      <c r="B87" t="s">
        <v>7</v>
      </c>
      <c r="C87" s="1">
        <v>4</v>
      </c>
      <c r="D87" t="s">
        <v>56</v>
      </c>
      <c r="F87" t="s">
        <v>54</v>
      </c>
    </row>
    <row r="88" spans="1:6" x14ac:dyDescent="0.3">
      <c r="A88" t="s">
        <v>69</v>
      </c>
      <c r="B88" t="s">
        <v>8</v>
      </c>
      <c r="C88" s="1">
        <v>4</v>
      </c>
      <c r="D88" t="s">
        <v>56</v>
      </c>
      <c r="F88" t="s">
        <v>54</v>
      </c>
    </row>
    <row r="89" spans="1:6" x14ac:dyDescent="0.3">
      <c r="A89" t="s">
        <v>69</v>
      </c>
      <c r="B89" t="s">
        <v>9</v>
      </c>
      <c r="C89" s="1">
        <v>4</v>
      </c>
      <c r="D89" t="s">
        <v>56</v>
      </c>
      <c r="F89" t="s">
        <v>54</v>
      </c>
    </row>
    <row r="90" spans="1:6" x14ac:dyDescent="0.3">
      <c r="A90" t="s">
        <v>69</v>
      </c>
      <c r="B90" t="s">
        <v>10</v>
      </c>
      <c r="C90" s="1">
        <v>4</v>
      </c>
      <c r="D90" t="s">
        <v>56</v>
      </c>
      <c r="F90" t="s">
        <v>54</v>
      </c>
    </row>
    <row r="91" spans="1:6" x14ac:dyDescent="0.3">
      <c r="A91" t="s">
        <v>69</v>
      </c>
      <c r="B91" t="s">
        <v>11</v>
      </c>
      <c r="C91" s="1">
        <v>4</v>
      </c>
      <c r="D91" t="s">
        <v>56</v>
      </c>
      <c r="F91" t="s">
        <v>54</v>
      </c>
    </row>
    <row r="92" spans="1:6" x14ac:dyDescent="0.3">
      <c r="A92" t="s">
        <v>69</v>
      </c>
      <c r="B92" t="s">
        <v>12</v>
      </c>
      <c r="C92" s="1">
        <v>4</v>
      </c>
      <c r="D92" t="s">
        <v>56</v>
      </c>
      <c r="F92" t="s">
        <v>54</v>
      </c>
    </row>
    <row r="93" spans="1:6" x14ac:dyDescent="0.3">
      <c r="A93" t="s">
        <v>69</v>
      </c>
      <c r="B93" t="s">
        <v>13</v>
      </c>
      <c r="C93" s="1">
        <v>5</v>
      </c>
      <c r="D93" t="s">
        <v>56</v>
      </c>
      <c r="F93" t="s">
        <v>54</v>
      </c>
    </row>
    <row r="94" spans="1:6" x14ac:dyDescent="0.3">
      <c r="A94" t="s">
        <v>69</v>
      </c>
      <c r="B94" t="s">
        <v>14</v>
      </c>
      <c r="C94" s="1">
        <v>5</v>
      </c>
      <c r="D94" t="s">
        <v>56</v>
      </c>
      <c r="F94" t="s">
        <v>54</v>
      </c>
    </row>
    <row r="95" spans="1:6" x14ac:dyDescent="0.3">
      <c r="A95" t="s">
        <v>69</v>
      </c>
      <c r="B95" t="s">
        <v>15</v>
      </c>
      <c r="C95" s="1">
        <v>5</v>
      </c>
      <c r="D95" t="s">
        <v>56</v>
      </c>
      <c r="F95" t="s">
        <v>54</v>
      </c>
    </row>
    <row r="96" spans="1:6" x14ac:dyDescent="0.3">
      <c r="A96" t="s">
        <v>69</v>
      </c>
      <c r="B96" t="s">
        <v>16</v>
      </c>
      <c r="C96" s="1">
        <v>5</v>
      </c>
      <c r="D96" t="s">
        <v>56</v>
      </c>
      <c r="F96" t="s">
        <v>54</v>
      </c>
    </row>
    <row r="97" spans="1:6" x14ac:dyDescent="0.3">
      <c r="A97" t="s">
        <v>69</v>
      </c>
      <c r="B97" t="s">
        <v>17</v>
      </c>
      <c r="C97" s="1">
        <v>5</v>
      </c>
      <c r="D97" t="s">
        <v>56</v>
      </c>
      <c r="F97" t="s">
        <v>54</v>
      </c>
    </row>
    <row r="98" spans="1:6" x14ac:dyDescent="0.3">
      <c r="A98" t="s">
        <v>69</v>
      </c>
      <c r="B98" t="s">
        <v>18</v>
      </c>
      <c r="C98" s="1">
        <v>5</v>
      </c>
      <c r="D98" t="s">
        <v>56</v>
      </c>
      <c r="F98" t="s">
        <v>54</v>
      </c>
    </row>
    <row r="99" spans="1:6" x14ac:dyDescent="0.3">
      <c r="A99" t="s">
        <v>69</v>
      </c>
      <c r="B99" t="s">
        <v>19</v>
      </c>
      <c r="C99" s="1">
        <v>5</v>
      </c>
      <c r="D99" t="s">
        <v>56</v>
      </c>
      <c r="F99" t="s">
        <v>54</v>
      </c>
    </row>
  </sheetData>
  <autoFilter ref="A1:F99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54"/>
  <sheetViews>
    <sheetView topLeftCell="A19" workbookViewId="0">
      <selection activeCell="B3" sqref="B3"/>
    </sheetView>
  </sheetViews>
  <sheetFormatPr defaultRowHeight="14.4" x14ac:dyDescent="0.3"/>
  <cols>
    <col min="3" max="3" width="12.6640625" customWidth="1"/>
    <col min="4" max="4" width="14.33203125" customWidth="1"/>
    <col min="5" max="5" width="20.44140625" customWidth="1"/>
    <col min="6" max="6" width="11.21875" customWidth="1"/>
    <col min="7" max="7" width="28.7773437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65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66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</row>
    <row r="28" spans="1:9" x14ac:dyDescent="0.3">
      <c r="A28" t="s">
        <v>3</v>
      </c>
      <c r="C28" t="s">
        <v>67</v>
      </c>
      <c r="F28">
        <v>1</v>
      </c>
      <c r="I28" t="s">
        <v>68</v>
      </c>
    </row>
    <row r="29" spans="1:9" x14ac:dyDescent="0.3">
      <c r="A29" s="3" t="s">
        <v>34</v>
      </c>
      <c r="C29" t="s">
        <v>69</v>
      </c>
      <c r="F29">
        <f>1000512.63*0.000284345</f>
        <v>284.49076377734997</v>
      </c>
      <c r="G29" t="s">
        <v>72</v>
      </c>
      <c r="I29" t="s">
        <v>70</v>
      </c>
    </row>
    <row r="30" spans="1:9" x14ac:dyDescent="0.3">
      <c r="A30" s="3" t="s">
        <v>35</v>
      </c>
      <c r="C30" t="s">
        <v>69</v>
      </c>
      <c r="F30">
        <f>(1028872.44+727611.22+733287.34+56277.3+122055.18+130350.16)*0.000284345</f>
        <v>795.72630026579998</v>
      </c>
      <c r="G30" t="s">
        <v>72</v>
      </c>
      <c r="I30" t="s">
        <v>70</v>
      </c>
    </row>
    <row r="31" spans="1:9" x14ac:dyDescent="0.3">
      <c r="A31" s="3" t="s">
        <v>36</v>
      </c>
      <c r="C31" t="s">
        <v>69</v>
      </c>
      <c r="F31">
        <f>(78241.71+53614.66+65053.12+72956.14+81901.46+70644.79+33603.59)*0.000284345</f>
        <v>129.66571881714998</v>
      </c>
      <c r="G31" t="s">
        <v>72</v>
      </c>
      <c r="I31" t="s">
        <v>70</v>
      </c>
    </row>
    <row r="32" spans="1:9" x14ac:dyDescent="0.3">
      <c r="A32" t="s">
        <v>37</v>
      </c>
      <c r="C32" t="s">
        <v>69</v>
      </c>
      <c r="I32" t="s">
        <v>71</v>
      </c>
    </row>
    <row r="33" spans="1:9" x14ac:dyDescent="0.3">
      <c r="A33" t="s">
        <v>38</v>
      </c>
      <c r="C33" t="s">
        <v>69</v>
      </c>
      <c r="I33" t="s">
        <v>71</v>
      </c>
    </row>
    <row r="34" spans="1:9" x14ac:dyDescent="0.3">
      <c r="A34" t="s">
        <v>39</v>
      </c>
      <c r="C34" t="s">
        <v>69</v>
      </c>
      <c r="I34" t="s">
        <v>71</v>
      </c>
    </row>
    <row r="35" spans="1:9" x14ac:dyDescent="0.3">
      <c r="A35" t="s">
        <v>57</v>
      </c>
      <c r="C35" t="s">
        <v>69</v>
      </c>
      <c r="I35" t="s">
        <v>71</v>
      </c>
    </row>
    <row r="36" spans="1:9" x14ac:dyDescent="0.3">
      <c r="A36" t="s">
        <v>58</v>
      </c>
      <c r="C36" t="s">
        <v>69</v>
      </c>
      <c r="I36" t="s">
        <v>71</v>
      </c>
    </row>
    <row r="37" spans="1:9" x14ac:dyDescent="0.3">
      <c r="A37" t="s">
        <v>40</v>
      </c>
      <c r="C37" t="s">
        <v>69</v>
      </c>
      <c r="I37" t="s">
        <v>71</v>
      </c>
    </row>
    <row r="38" spans="1:9" x14ac:dyDescent="0.3">
      <c r="A38" t="s">
        <v>41</v>
      </c>
      <c r="C38" t="s">
        <v>69</v>
      </c>
      <c r="I38" t="s">
        <v>71</v>
      </c>
    </row>
    <row r="39" spans="1:9" x14ac:dyDescent="0.3">
      <c r="A39" t="s">
        <v>59</v>
      </c>
      <c r="C39" t="s">
        <v>69</v>
      </c>
      <c r="I39" t="s">
        <v>71</v>
      </c>
    </row>
    <row r="40" spans="1:9" x14ac:dyDescent="0.3">
      <c r="A40" t="s">
        <v>42</v>
      </c>
      <c r="C40" t="s">
        <v>69</v>
      </c>
      <c r="I40" t="s">
        <v>71</v>
      </c>
    </row>
    <row r="41" spans="1:9" x14ac:dyDescent="0.3">
      <c r="A41" t="s">
        <v>43</v>
      </c>
      <c r="C41" t="s">
        <v>69</v>
      </c>
      <c r="I41" t="s">
        <v>71</v>
      </c>
    </row>
    <row r="42" spans="1:9" x14ac:dyDescent="0.3">
      <c r="A42" t="s">
        <v>44</v>
      </c>
      <c r="C42" t="s">
        <v>69</v>
      </c>
      <c r="I42" t="s">
        <v>71</v>
      </c>
    </row>
    <row r="43" spans="1:9" x14ac:dyDescent="0.3">
      <c r="A43" t="s">
        <v>45</v>
      </c>
      <c r="C43" t="s">
        <v>69</v>
      </c>
      <c r="I43" t="s">
        <v>71</v>
      </c>
    </row>
    <row r="44" spans="1:9" x14ac:dyDescent="0.3">
      <c r="A44" t="s">
        <v>46</v>
      </c>
      <c r="C44" t="s">
        <v>69</v>
      </c>
      <c r="I44" t="s">
        <v>71</v>
      </c>
    </row>
    <row r="45" spans="1:9" x14ac:dyDescent="0.3">
      <c r="A45" t="s">
        <v>47</v>
      </c>
      <c r="C45" t="s">
        <v>69</v>
      </c>
      <c r="I45" t="s">
        <v>71</v>
      </c>
    </row>
    <row r="46" spans="1:9" x14ac:dyDescent="0.3">
      <c r="A46" t="s">
        <v>60</v>
      </c>
      <c r="C46" t="s">
        <v>69</v>
      </c>
      <c r="I46" t="s">
        <v>71</v>
      </c>
    </row>
    <row r="47" spans="1:9" x14ac:dyDescent="0.3">
      <c r="A47" t="s">
        <v>48</v>
      </c>
      <c r="C47" t="s">
        <v>69</v>
      </c>
      <c r="I47" t="s">
        <v>71</v>
      </c>
    </row>
    <row r="48" spans="1:9" x14ac:dyDescent="0.3">
      <c r="A48" t="s">
        <v>49</v>
      </c>
      <c r="C48" t="s">
        <v>69</v>
      </c>
      <c r="I48" t="s">
        <v>71</v>
      </c>
    </row>
    <row r="49" spans="1:9" x14ac:dyDescent="0.3">
      <c r="A49" t="s">
        <v>50</v>
      </c>
      <c r="C49" t="s">
        <v>69</v>
      </c>
      <c r="I49" t="s">
        <v>71</v>
      </c>
    </row>
    <row r="50" spans="1:9" x14ac:dyDescent="0.3">
      <c r="A50" t="s">
        <v>51</v>
      </c>
      <c r="C50" t="s">
        <v>69</v>
      </c>
      <c r="I50" t="s">
        <v>71</v>
      </c>
    </row>
    <row r="51" spans="1:9" x14ac:dyDescent="0.3">
      <c r="A51" t="s">
        <v>52</v>
      </c>
      <c r="C51" t="s">
        <v>69</v>
      </c>
      <c r="I51" t="s">
        <v>71</v>
      </c>
    </row>
    <row r="52" spans="1:9" x14ac:dyDescent="0.3">
      <c r="A52" t="s">
        <v>53</v>
      </c>
      <c r="C52" t="s">
        <v>69</v>
      </c>
      <c r="I52" t="s">
        <v>71</v>
      </c>
    </row>
    <row r="53" spans="1:9" x14ac:dyDescent="0.3">
      <c r="A53" t="s">
        <v>61</v>
      </c>
      <c r="C53" t="s">
        <v>69</v>
      </c>
      <c r="I53" t="s">
        <v>71</v>
      </c>
    </row>
    <row r="54" spans="1:9" x14ac:dyDescent="0.3">
      <c r="A54" t="s">
        <v>62</v>
      </c>
      <c r="C54" t="s">
        <v>69</v>
      </c>
      <c r="I54" t="s">
        <v>71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DMo</vt:lpstr>
      <vt:lpstr>MFm</vt:lpstr>
      <vt:lpstr>SFm</vt:lpstr>
      <vt:lpstr>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2025-12-23T07:31:41Z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