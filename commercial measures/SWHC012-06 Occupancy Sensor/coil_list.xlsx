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ER2026\SWHC012-T24-update\commercial measures\SWHC012-05 Occupancy Sensor\"/>
    </mc:Choice>
  </mc:AlternateContent>
  <xr:revisionPtr revIDLastSave="0" documentId="13_ncr:1_{64113A8E-AA3E-44A9-9DFC-778220225CE1}" xr6:coauthVersionLast="47" xr6:coauthVersionMax="47" xr10:uidLastSave="{00000000-0000-0000-0000-000000000000}"/>
  <bookViews>
    <workbookView xWindow="-120" yWindow="-120" windowWidth="29040" windowHeight="15720" activeTab="1" xr2:uid="{E3B3AE82-7409-46E2-9CE0-4D4F0165DBF4}"/>
  </bookViews>
  <sheets>
    <sheet name="Main coils" sheetId="1" r:id="rId1"/>
    <sheet name="All coils" sheetId="3" r:id="rId2"/>
  </sheets>
  <definedNames>
    <definedName name="_xlnm._FilterDatabase" localSheetId="0" hidden="1">'Main coils'!$A$1:$C$163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tc={666C2272-EA72-402B-8185-C1B56F8FA24C}</author>
  </authors>
  <commentList>
    <comment ref="A1" authorId="0" shapeId="0" xr:uid="{666C2272-EA72-402B-8185-C1B56F8FA24C}">
      <text>
        <t>[Threaded comment]
Your version of Excel allows you to read this threaded comment; however, any edits to it will get removed if the file is opened in a newer version of Excel. Learn more: https://go.microsoft.com/fwlink/?linkid=870924
Comment:
    Ignored. Ensure there are no duplicate coil names regardless of HVAC type.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<sst xmlns="http://schemas.openxmlformats.org/spreadsheetml/2006/main" count="92" uniqueCount="33">
  <si>
    <t>HVACType</t>
  </si>
  <si>
    <t>Yes</t>
  </si>
  <si>
    <t>EPr</t>
  </si>
  <si>
    <t>ERC</t>
  </si>
  <si>
    <t>ESe</t>
  </si>
  <si>
    <t>No</t>
  </si>
  <si>
    <t>building type</t>
  </si>
  <si>
    <t>CLASSROOM G.E1 SZ-CAV UNITARY</t>
  </si>
  <si>
    <t>CLASSROOM G.NNE2 SZ-CAV UNITARY</t>
  </si>
  <si>
    <t>CLASSROOM G.SSE3 SZ-CAV UNITARY</t>
  </si>
  <si>
    <t>CLASSROOM G.W4 SZ-CAV UNITARY</t>
  </si>
  <si>
    <t>DINING G.SSW1 SZ-CAV UNITARY</t>
  </si>
  <si>
    <t>GYMNASIUM G.N2 SZ-CAV UNITARY</t>
  </si>
  <si>
    <t>CLASSROOM EL1 SPC (G.1) SZ-CAV UNITARY</t>
  </si>
  <si>
    <t>CLASSROOM E2 NORTH PERIM (G.N3) SZ-CAV UNITARY</t>
  </si>
  <si>
    <t>CLASSROOM E2 SOUTH PERIM (G.S2) SZ-CAV UNITARY</t>
  </si>
  <si>
    <t>CLASSROOM E2 WEST PERIM (G.W1) SZ-CAV UNITARY</t>
  </si>
  <si>
    <t>CLASSROOM E4 CORE (G.C6) SZ-CAV UNITARY</t>
  </si>
  <si>
    <t>CLASSROOM E4 EAST PERIM (G.E2) SZ-CAV UNITARY</t>
  </si>
  <si>
    <t>CLASSROOM E4 NORTH PERIM (G.N3) SZ-CAV UNITARY</t>
  </si>
  <si>
    <t>CLASSROOM E4 SOUTH PERIM (G.S1) SZ-CAV UNITARY</t>
  </si>
  <si>
    <t>CLASSROOM E4 WEST PERIM (G.W4) SZ-CAV UNITARY</t>
  </si>
  <si>
    <t>object name</t>
  </si>
  <si>
    <t>KITCHEN G.E3 SZ-CAV UNITARY</t>
  </si>
  <si>
    <t>CLASSROOM E1 WEST PERIM (G.W1) SZ-VAV UNITARY</t>
  </si>
  <si>
    <t>GYMNASIUM E17 WEST PERIM (G.W1) SZ-VAV UNITARY</t>
  </si>
  <si>
    <t>DINING E3 SW PERIM (G.SW1) SZ-VAV UNITARY</t>
  </si>
  <si>
    <t>KITCHEN E3 NE PERIM (G.NE2) SZ-CAV UNITARY</t>
  </si>
  <si>
    <t>COMPUTER CLASSROOM E4 CORE SPC (G.C5) SZ-CRAC UNITARY</t>
  </si>
  <si>
    <t>cDXGF</t>
  </si>
  <si>
    <t>cDXHP</t>
  </si>
  <si>
    <t>Classroom (Y/N)</t>
  </si>
  <si>
    <t>Include (1/0)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</si>
</sst>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Fette" id="{E5E003D6-70F5-4F36-8525-77C3A30BE2A0}" userId="S::nfette@solaris-technical.com::17f1301c-3be6-43a2-b1ce-afff31c1021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20T23:19:24.06" personId="{E5E003D6-70F5-4F36-8525-77C3A30BE2A0}" id="{666C2272-EA72-402B-8185-C1B56F8FA24C}">
    <text>Ignored. Ensure there are no duplicate coil names regardless of HVAC type.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D91D-0C39-44BB-B880-9C73E9BA5714}">
  <dimension ref="A1:C31"/>
  <sheetViews>
    <sheetView zoomScale="115" zoomScaleNormal="115" workbookViewId="0">
      <selection activeCell="C22" sqref="C22"/>
    </sheetView>
  </sheetViews>
  <sheetFormatPr defaultRowHeight="15" x14ac:dyDescent="0.25"/>
  <cols>
    <col min="1" max="1" width="10" bestFit="1" customWidth="1"/>
    <col min="2" max="2" width="12.28515625" bestFit="1" customWidth="1"/>
    <col min="3" max="3" width="65.28515625" bestFit="1" customWidth="1"/>
    <col min="4" max="4" width="9.42578125" bestFit="1" customWidth="1"/>
  </cols>
  <sheetData>
    <row r="1" spans="1:3" x14ac:dyDescent="0.25">
      <c r="A1" t="s">
        <v>0</v>
      </c>
      <c r="B1" s="1" t="s">
        <v>6</v>
      </c>
      <c r="C1" s="1" t="s">
        <v>22</v>
      </c>
    </row>
    <row r="2" spans="1:3" x14ac:dyDescent="0.25">
      <c r="A2" t="str" cm="1">
        <f t="array" ref="A2:C15">_xlfn._xlws.FILTER('All coils'!$A$2:$C$22,'All coils'!$E$2:$E$22)</f>
        <v>cDXGF</v>
      </c>
      <c r="B2" t="str">
        <v>EPr</v>
      </c>
      <c r="C2" t="str">
        <v>CLASSROOM G.E1 SZ-CAV UNITARY</v>
      </c>
    </row>
    <row r="3" spans="1:3" x14ac:dyDescent="0.25">
      <c r="A3" t="str">
        <v>cDXGF</v>
      </c>
      <c r="B3" t="str">
        <v>EPr</v>
      </c>
      <c r="C3" t="str">
        <v>CLASSROOM G.NNE2 SZ-CAV UNITARY</v>
      </c>
    </row>
    <row r="4" spans="1:3" x14ac:dyDescent="0.25">
      <c r="A4" t="str">
        <v>cDXGF</v>
      </c>
      <c r="B4" t="str">
        <v>EPr</v>
      </c>
      <c r="C4" t="str">
        <v>CLASSROOM G.SSE3 SZ-CAV UNITARY</v>
      </c>
    </row>
    <row r="5" spans="1:3" x14ac:dyDescent="0.25">
      <c r="A5" t="str">
        <v>cDXGF</v>
      </c>
      <c r="B5" t="str">
        <v>EPr</v>
      </c>
      <c r="C5" t="str">
        <v>CLASSROOM G.W4 SZ-CAV UNITARY</v>
      </c>
    </row>
    <row r="6" spans="1:3" x14ac:dyDescent="0.25">
      <c r="A6" t="str">
        <v>cDXGF</v>
      </c>
      <c r="B6" t="str">
        <v>ESe</v>
      </c>
      <c r="C6" t="str">
        <v>CLASSROOM E1 WEST PERIM (G.W1) SZ-VAV UNITARY</v>
      </c>
    </row>
    <row r="7" spans="1:3" x14ac:dyDescent="0.25">
      <c r="A7" t="str">
        <v>cDXGF</v>
      </c>
      <c r="B7" t="str">
        <v>ESe</v>
      </c>
      <c r="C7" t="str">
        <v>CLASSROOM E2 NORTH PERIM (G.N3) SZ-CAV UNITARY</v>
      </c>
    </row>
    <row r="8" spans="1:3" x14ac:dyDescent="0.25">
      <c r="A8" t="str">
        <v>cDXGF</v>
      </c>
      <c r="B8" t="str">
        <v>ESe</v>
      </c>
      <c r="C8" t="str">
        <v>CLASSROOM E2 SOUTH PERIM (G.S2) SZ-CAV UNITARY</v>
      </c>
    </row>
    <row r="9" spans="1:3" x14ac:dyDescent="0.25">
      <c r="A9" t="str">
        <v>cDXGF</v>
      </c>
      <c r="B9" t="str">
        <v>ESe</v>
      </c>
      <c r="C9" t="str">
        <v>CLASSROOM E2 WEST PERIM (G.W1) SZ-CAV UNITARY</v>
      </c>
    </row>
    <row r="10" spans="1:3" x14ac:dyDescent="0.25">
      <c r="A10" t="str">
        <v>cDXGF</v>
      </c>
      <c r="B10" t="str">
        <v>ESe</v>
      </c>
      <c r="C10" t="str">
        <v>CLASSROOM E4 CORE (G.C6) SZ-CAV UNITARY</v>
      </c>
    </row>
    <row r="11" spans="1:3" x14ac:dyDescent="0.25">
      <c r="A11" t="str">
        <v>cDXGF</v>
      </c>
      <c r="B11" t="str">
        <v>ESe</v>
      </c>
      <c r="C11" t="str">
        <v>CLASSROOM E4 EAST PERIM (G.E2) SZ-CAV UNITARY</v>
      </c>
    </row>
    <row r="12" spans="1:3" x14ac:dyDescent="0.25">
      <c r="A12" t="str">
        <v>cDXGF</v>
      </c>
      <c r="B12" t="str">
        <v>ESe</v>
      </c>
      <c r="C12" t="str">
        <v>CLASSROOM E4 NORTH PERIM (G.N3) SZ-CAV UNITARY</v>
      </c>
    </row>
    <row r="13" spans="1:3" x14ac:dyDescent="0.25">
      <c r="A13" t="str">
        <v>cDXGF</v>
      </c>
      <c r="B13" t="str">
        <v>ESe</v>
      </c>
      <c r="C13" t="str">
        <v>CLASSROOM E4 SOUTH PERIM (G.S1) SZ-CAV UNITARY</v>
      </c>
    </row>
    <row r="14" spans="1:3" x14ac:dyDescent="0.25">
      <c r="A14" t="str">
        <v>cDXGF</v>
      </c>
      <c r="B14" t="str">
        <v>ESe</v>
      </c>
      <c r="C14" t="str">
        <v>CLASSROOM E4 WEST PERIM (G.W4) SZ-CAV UNITARY</v>
      </c>
    </row>
    <row r="15" spans="1:3" x14ac:dyDescent="0.25">
      <c r="A15" t="str">
        <v>cDXHP</v>
      </c>
      <c r="B15" t="str">
        <v>ERC</v>
      </c>
      <c r="C15" t="str">
        <v>CLASSROOM EL1 SPC (G.1) SZ-CAV UNITARY</v>
      </c>
    </row>
    <row r="31" ht="16.149999999999999" customHeight="1" x14ac:dyDescent="0.25"/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2E99-1E88-4DB8-8F5C-FE948DB6CB97}">
  <dimension ref="A1:E22"/>
  <sheetViews>
    <sheetView tabSelected="1" zoomScale="115" zoomScaleNormal="115" workbookViewId="0">
      <selection activeCell="G8" sqref="G8"/>
    </sheetView>
  </sheetViews>
  <sheetFormatPr defaultRowHeight="15" x14ac:dyDescent="0.25"/>
  <cols>
    <col min="1" max="1" width="10" bestFit="1" customWidth="1"/>
    <col min="2" max="2" width="12.7109375" bestFit="1" customWidth="1"/>
    <col min="3" max="3" width="57.28515625" bestFit="1" customWidth="1"/>
    <col min="4" max="4" width="17.7109375" customWidth="1"/>
    <col min="5" max="5" width="12.140625" bestFit="1" customWidth="1"/>
    <col min="6" max="6" width="9.42578125" bestFit="1" customWidth="1"/>
    <col min="7" max="7" width="35.7109375" bestFit="1" customWidth="1"/>
  </cols>
  <sheetData>
    <row r="1" spans="1:5" x14ac:dyDescent="0.25">
      <c r="A1" t="s">
        <v>0</v>
      </c>
      <c r="B1" s="1" t="s">
        <v>6</v>
      </c>
      <c r="C1" s="1" t="s">
        <v>22</v>
      </c>
      <c r="D1" t="s">
        <v>31</v>
      </c>
      <c r="E1" t="s">
        <v>32</v>
      </c>
    </row>
    <row r="2" spans="1:5" x14ac:dyDescent="0.25">
      <c r="A2" t="s">
        <v>29</v>
      </c>
      <c r="B2" t="s">
        <v>2</v>
      </c>
      <c r="C2" t="s">
        <v>7</v>
      </c>
      <c r="D2" t="s">
        <v>1</v>
      </c>
      <c r="E2">
        <f t="shared" ref="E2:E7" si="0">1*(LOWER(D2)="yes")</f>
        <v>1</v>
      </c>
    </row>
    <row r="3" spans="1:5" x14ac:dyDescent="0.25">
      <c r="A3" t="s">
        <v>29</v>
      </c>
      <c r="B3" t="s">
        <v>2</v>
      </c>
      <c r="C3" t="s">
        <v>8</v>
      </c>
      <c r="D3" t="s">
        <v>1</v>
      </c>
      <c r="E3">
        <f t="shared" si="0"/>
        <v>1</v>
      </c>
    </row>
    <row r="4" spans="1:5" x14ac:dyDescent="0.25">
      <c r="A4" t="s">
        <v>29</v>
      </c>
      <c r="B4" t="s">
        <v>2</v>
      </c>
      <c r="C4" t="s">
        <v>9</v>
      </c>
      <c r="D4" t="s">
        <v>1</v>
      </c>
      <c r="E4">
        <f t="shared" si="0"/>
        <v>1</v>
      </c>
    </row>
    <row r="5" spans="1:5" x14ac:dyDescent="0.25">
      <c r="A5" t="s">
        <v>29</v>
      </c>
      <c r="B5" t="s">
        <v>2</v>
      </c>
      <c r="C5" t="s">
        <v>10</v>
      </c>
      <c r="D5" t="s">
        <v>1</v>
      </c>
      <c r="E5">
        <f t="shared" si="0"/>
        <v>1</v>
      </c>
    </row>
    <row r="6" spans="1:5" x14ac:dyDescent="0.25">
      <c r="A6" t="s">
        <v>29</v>
      </c>
      <c r="B6" t="s">
        <v>2</v>
      </c>
      <c r="C6" t="s">
        <v>11</v>
      </c>
      <c r="D6" t="s">
        <v>5</v>
      </c>
      <c r="E6">
        <f t="shared" si="0"/>
        <v>0</v>
      </c>
    </row>
    <row r="7" spans="1:5" x14ac:dyDescent="0.25">
      <c r="A7" t="s">
        <v>29</v>
      </c>
      <c r="B7" t="s">
        <v>2</v>
      </c>
      <c r="C7" t="s">
        <v>12</v>
      </c>
      <c r="D7" t="s">
        <v>5</v>
      </c>
      <c r="E7">
        <f t="shared" si="0"/>
        <v>0</v>
      </c>
    </row>
    <row r="8" spans="1:5" x14ac:dyDescent="0.25">
      <c r="A8" t="s">
        <v>29</v>
      </c>
      <c r="B8" t="s">
        <v>2</v>
      </c>
      <c r="C8" t="s">
        <v>23</v>
      </c>
      <c r="D8" t="s">
        <v>5</v>
      </c>
      <c r="E8">
        <f t="shared" ref="E8:E22" si="1">1*(LOWER(D8)="yes")</f>
        <v>0</v>
      </c>
    </row>
    <row r="9" spans="1:5" x14ac:dyDescent="0.25">
      <c r="A9" t="s">
        <v>29</v>
      </c>
      <c r="B9" t="s">
        <v>4</v>
      </c>
      <c r="C9" t="s">
        <v>24</v>
      </c>
      <c r="D9" t="s">
        <v>1</v>
      </c>
      <c r="E9">
        <f t="shared" si="1"/>
        <v>1</v>
      </c>
    </row>
    <row r="10" spans="1:5" x14ac:dyDescent="0.25">
      <c r="A10" t="s">
        <v>29</v>
      </c>
      <c r="B10" t="s">
        <v>4</v>
      </c>
      <c r="C10" t="s">
        <v>14</v>
      </c>
      <c r="D10" t="s">
        <v>1</v>
      </c>
      <c r="E10">
        <f t="shared" si="1"/>
        <v>1</v>
      </c>
    </row>
    <row r="11" spans="1:5" x14ac:dyDescent="0.25">
      <c r="A11" t="s">
        <v>29</v>
      </c>
      <c r="B11" t="s">
        <v>4</v>
      </c>
      <c r="C11" t="s">
        <v>15</v>
      </c>
      <c r="D11" t="s">
        <v>1</v>
      </c>
      <c r="E11">
        <f t="shared" si="1"/>
        <v>1</v>
      </c>
    </row>
    <row r="12" spans="1:5" x14ac:dyDescent="0.25">
      <c r="A12" t="s">
        <v>29</v>
      </c>
      <c r="B12" t="s">
        <v>4</v>
      </c>
      <c r="C12" t="s">
        <v>16</v>
      </c>
      <c r="D12" t="s">
        <v>1</v>
      </c>
      <c r="E12">
        <f t="shared" si="1"/>
        <v>1</v>
      </c>
    </row>
    <row r="13" spans="1:5" x14ac:dyDescent="0.25">
      <c r="A13" t="s">
        <v>29</v>
      </c>
      <c r="B13" t="s">
        <v>4</v>
      </c>
      <c r="C13" t="s">
        <v>17</v>
      </c>
      <c r="D13" t="s">
        <v>1</v>
      </c>
      <c r="E13">
        <f t="shared" si="1"/>
        <v>1</v>
      </c>
    </row>
    <row r="14" spans="1:5" x14ac:dyDescent="0.25">
      <c r="A14" t="s">
        <v>29</v>
      </c>
      <c r="B14" t="s">
        <v>4</v>
      </c>
      <c r="C14" t="s">
        <v>18</v>
      </c>
      <c r="D14" t="s">
        <v>1</v>
      </c>
      <c r="E14">
        <f t="shared" si="1"/>
        <v>1</v>
      </c>
    </row>
    <row r="15" spans="1:5" x14ac:dyDescent="0.25">
      <c r="A15" t="s">
        <v>29</v>
      </c>
      <c r="B15" t="s">
        <v>4</v>
      </c>
      <c r="C15" t="s">
        <v>19</v>
      </c>
      <c r="D15" t="s">
        <v>1</v>
      </c>
      <c r="E15">
        <f t="shared" si="1"/>
        <v>1</v>
      </c>
    </row>
    <row r="16" spans="1:5" x14ac:dyDescent="0.25">
      <c r="A16" t="s">
        <v>29</v>
      </c>
      <c r="B16" t="s">
        <v>4</v>
      </c>
      <c r="C16" t="s">
        <v>20</v>
      </c>
      <c r="D16" t="s">
        <v>1</v>
      </c>
      <c r="E16">
        <f t="shared" si="1"/>
        <v>1</v>
      </c>
    </row>
    <row r="17" spans="1:5" x14ac:dyDescent="0.25">
      <c r="A17" t="s">
        <v>29</v>
      </c>
      <c r="B17" t="s">
        <v>4</v>
      </c>
      <c r="C17" t="s">
        <v>21</v>
      </c>
      <c r="D17" t="s">
        <v>1</v>
      </c>
      <c r="E17">
        <f t="shared" si="1"/>
        <v>1</v>
      </c>
    </row>
    <row r="18" spans="1:5" x14ac:dyDescent="0.25">
      <c r="A18" t="s">
        <v>29</v>
      </c>
      <c r="B18" t="s">
        <v>4</v>
      </c>
      <c r="C18" t="s">
        <v>28</v>
      </c>
      <c r="D18" t="s">
        <v>5</v>
      </c>
      <c r="E18">
        <f t="shared" si="1"/>
        <v>0</v>
      </c>
    </row>
    <row r="19" spans="1:5" x14ac:dyDescent="0.25">
      <c r="A19" t="s">
        <v>29</v>
      </c>
      <c r="B19" t="s">
        <v>4</v>
      </c>
      <c r="C19" t="s">
        <v>26</v>
      </c>
      <c r="D19" t="s">
        <v>5</v>
      </c>
      <c r="E19">
        <f t="shared" si="1"/>
        <v>0</v>
      </c>
    </row>
    <row r="20" spans="1:5" x14ac:dyDescent="0.25">
      <c r="A20" t="s">
        <v>29</v>
      </c>
      <c r="B20" t="s">
        <v>4</v>
      </c>
      <c r="C20" t="s">
        <v>25</v>
      </c>
      <c r="D20" t="s">
        <v>5</v>
      </c>
      <c r="E20">
        <f t="shared" si="1"/>
        <v>0</v>
      </c>
    </row>
    <row r="21" spans="1:5" x14ac:dyDescent="0.25">
      <c r="A21" t="s">
        <v>29</v>
      </c>
      <c r="B21" t="s">
        <v>4</v>
      </c>
      <c r="C21" t="s">
        <v>27</v>
      </c>
      <c r="D21" t="s">
        <v>5</v>
      </c>
      <c r="E21">
        <f t="shared" si="1"/>
        <v>0</v>
      </c>
    </row>
    <row r="22" spans="1:5" x14ac:dyDescent="0.25">
      <c r="A22" t="s">
        <v>30</v>
      </c>
      <c r="B22" t="s">
        <v>3</v>
      </c>
      <c r="C22" t="s">
        <v>13</v>
      </c>
      <c r="D22" t="s">
        <v>1</v>
      </c>
      <c r="E22">
        <f t="shared" si="1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A9EB7EB4E4F489A4515111482199D" ma:contentTypeVersion="17" ma:contentTypeDescription="Create a new document." ma:contentTypeScope="" ma:versionID="db4c11ca1524f4dab84562af922705c9">
  <xsd:schema xmlns:xsd="http://www.w3.org/2001/XMLSchema" xmlns:xs="http://www.w3.org/2001/XMLSchema" xmlns:p="http://schemas.microsoft.com/office/2006/metadata/properties" xmlns:ns2="977ed3b4-dc53-4ccd-91b7-93b67a0eba97" xmlns:ns3="63e8c1f7-1787-49b1-80e5-dcc3ae9ab6e9" targetNamespace="http://schemas.microsoft.com/office/2006/metadata/properties" ma:root="true" ma:fieldsID="49dcd01241987285feedf33fb68cd0eb" ns2:_="" ns3:_="">
    <xsd:import namespace="977ed3b4-dc53-4ccd-91b7-93b67a0eba97"/>
    <xsd:import namespace="63e8c1f7-1787-49b1-80e5-dcc3ae9ab6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ed3b4-dc53-4ccd-91b7-93b67a0eb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95426fa-e547-4e42-90d0-e39dca5083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8c1f7-1787-49b1-80e5-dcc3ae9ab6e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74a4609-41f4-4e06-875c-5b66bd3cec7e}" ma:internalName="TaxCatchAll" ma:showField="CatchAllData" ma:web="63e8c1f7-1787-49b1-80e5-dcc3ae9ab6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7ed3b4-dc53-4ccd-91b7-93b67a0eba97">
      <Terms xmlns="http://schemas.microsoft.com/office/infopath/2007/PartnerControls"/>
    </lcf76f155ced4ddcb4097134ff3c332f>
    <TaxCatchAll xmlns="63e8c1f7-1787-49b1-80e5-dcc3ae9ab6e9" xsi:nil="true"/>
  </documentManagement>
</p:properties>
</file>

<file path=customXml/itemProps1.xml><?xml version="1.0" encoding="utf-8"?>
<ds:datastoreItem xmlns:ds="http://schemas.openxmlformats.org/officeDocument/2006/customXml" ds:itemID="{3EA66D22-701A-4111-9554-D131D04520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7ed3b4-dc53-4ccd-91b7-93b67a0eba97"/>
    <ds:schemaRef ds:uri="63e8c1f7-1787-49b1-80e5-dcc3ae9ab6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C9B0CF-B37D-416E-8DE0-1FCA3098CD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48F1AE-3111-486C-9539-89A3A0C8DC46}">
  <ds:schemaRefs>
    <ds:schemaRef ds:uri="http://schemas.microsoft.com/office/2006/metadata/properties"/>
    <ds:schemaRef ds:uri="http://schemas.microsoft.com/office/infopath/2007/PartnerControls"/>
    <ds:schemaRef ds:uri="977ed3b4-dc53-4ccd-91b7-93b67a0eba97"/>
    <ds:schemaRef ds:uri="63e8c1f7-1787-49b1-80e5-dcc3ae9ab6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coils</vt:lpstr>
      <vt:lpstr>All coils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Yen</dc:creator>
  <cp:lastModifiedBy>Nicholas Fette</cp:lastModifiedBy>
  <dcterms:created xsi:type="dcterms:W3CDTF">2025-10-07T18:23:55Z</dcterms:created>
  <dcterms:modified xsi:type="dcterms:W3CDTF">2025-11-16T02:22:26Z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0x010100366A9EB7EB4E4F489A4515111482199D</vt:lpwstr>
  </property>
  <property fmtid="{D5CDD505-2E9C-101B-9397-08002B2CF9AE}" pid="3" name="MediaServiceImageTags">
    <vt:lpwstr/>
  </property>
</Properties>
</file>