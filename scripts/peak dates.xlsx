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ER2026\result-query-tools\scripts\"/>
    </mc:Choice>
  </mc:AlternateContent>
  <xr:revisionPtr revIDLastSave="0" documentId="13_ncr:1_{981F0ED1-BF60-4C54-A7D0-37B9AE4FC470}" xr6:coauthVersionLast="47" xr6:coauthVersionMax="47" xr10:uidLastSave="{00000000-0000-0000-0000-000000000000}"/>
  <bookViews>
    <workbookView xWindow="2775" yWindow="1830" windowWidth="21600" windowHeight="12540" xr2:uid="{5EFF4DA2-FBE6-4003-998E-CE5D87D8F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8" i="1"/>
  <c r="I8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F8" i="1"/>
  <c r="C8" i="1"/>
</calcChain>
</file>

<file path=xl/sharedStrings.xml><?xml version="1.0" encoding="utf-8"?>
<sst xmlns="http://schemas.openxmlformats.org/spreadsheetml/2006/main" count="32" uniqueCount="26">
  <si>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</si>
  <si>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</si>
  <si>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</si>
  <si>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</si>
  <si>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</si>
  <si>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</si>
  <si>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</si>
  <si>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</si>
  <si>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</si>
  <si>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CZ10</t>
  </si>
  <si>
    <t>CZ11</t>
  </si>
  <si>
    <t>CZ12</t>
  </si>
  <si>
    <t>CZ13</t>
  </si>
  <si>
    <t>CZ14</t>
  </si>
  <si>
    <t>CZ15</t>
  </si>
  <si>
    <t>CZ16</t>
  </si>
  <si>
    <t>Resolution E-5221</t>
  </si>
  <si>
    <t>Resolution E-5350</t>
  </si>
  <si>
    <t>Day 1</t>
  </si>
  <si>
    <t>daynum</t>
  </si>
  <si>
    <t>Climate</t>
  </si>
  <si>
    <t>Start date</t>
  </si>
  <si>
    <t>Week-day</t>
  </si>
  <si>
    <t>peakperspec_cz2025.csv</t>
  </si>
  <si>
    <t>https://cedars.cpuc.ca.gov/deer-resources/tools/energy-plus/resource/29/history/</t>
  </si>
  <si>
    <t>Version 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</si>
</sst>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2" fillId="2" borderId="0" xfId="1" applyAlignment="1">
      <alignment horizontal="center"/>
    </xf>
    <xf numFmtId="0" fontId="2" fillId="3" borderId="0" xfId="2" applyAlignment="1">
      <alignment horizontal="center"/>
    </xf>
    <xf numFmtId="0" fontId="2" fillId="5" borderId="0" xfId="3" applyAlignment="1">
      <alignment horizontal="center"/>
    </xf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0" fontId="0" fillId="0" borderId="0" xfId="0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4" borderId="5" xfId="0" applyNumberFormat="1" applyFill="1" applyBorder="1"/>
    <xf numFmtId="0" fontId="0" fillId="4" borderId="0" xfId="0" applyFill="1" applyBorder="1"/>
    <xf numFmtId="0" fontId="0" fillId="4" borderId="6" xfId="0" applyFill="1" applyBorder="1"/>
    <xf numFmtId="14" fontId="0" fillId="0" borderId="10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</cellXfs>
  <cellStyles count="4">
    <cellStyle name="Accent2" xfId="3" builtinId="33"/>
    <cellStyle name="Accent3" xfId="1" builtinId="37"/>
    <cellStyle name="Accent5" xfId="2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C970-0671-424C-BABA-490372B16985}">
  <dimension ref="A1:J23"/>
  <sheetViews>
    <sheetView tabSelected="1" workbookViewId="0">
      <selection activeCell="L8" sqref="L8"/>
    </sheetView>
  </sheetViews>
  <sheetFormatPr defaultRowHeight="15" x14ac:dyDescent="0.25"/>
  <cols>
    <col min="2" max="2" width="8.42578125" bestFit="1" customWidth="1"/>
    <col min="3" max="3" width="7" customWidth="1"/>
    <col min="4" max="4" width="8.140625" bestFit="1" customWidth="1"/>
    <col min="5" max="5" width="9.28515625" customWidth="1"/>
    <col min="6" max="6" width="6.7109375" customWidth="1"/>
    <col min="7" max="7" width="8.140625" bestFit="1" customWidth="1"/>
  </cols>
  <sheetData>
    <row r="1" spans="1:10" x14ac:dyDescent="0.25">
      <c r="B1" s="2" t="s">
        <v>16</v>
      </c>
      <c r="C1" s="2"/>
      <c r="D1" s="2"/>
      <c r="E1" s="3" t="s">
        <v>17</v>
      </c>
      <c r="F1" s="3"/>
      <c r="G1" s="3"/>
      <c r="H1" s="4" t="s">
        <v>23</v>
      </c>
      <c r="I1" s="4"/>
      <c r="J1" s="4"/>
    </row>
    <row r="2" spans="1:10" x14ac:dyDescent="0.25">
      <c r="H2" t="s">
        <v>24</v>
      </c>
    </row>
    <row r="3" spans="1:10" x14ac:dyDescent="0.25">
      <c r="H3" t="s">
        <v>25</v>
      </c>
    </row>
    <row r="5" spans="1:10" x14ac:dyDescent="0.25">
      <c r="A5" t="s">
        <v>18</v>
      </c>
      <c r="B5" s="1">
        <v>39814</v>
      </c>
      <c r="E5" s="1">
        <v>39814</v>
      </c>
      <c r="H5" s="1">
        <v>39814</v>
      </c>
    </row>
    <row r="6" spans="1:10" ht="15.75" thickBot="1" x14ac:dyDescent="0.3">
      <c r="B6" s="1"/>
      <c r="E6" s="1"/>
    </row>
    <row r="7" spans="1:10" ht="30.75" thickBot="1" x14ac:dyDescent="0.3">
      <c r="A7" s="23" t="s">
        <v>20</v>
      </c>
      <c r="B7" s="17" t="s">
        <v>21</v>
      </c>
      <c r="C7" s="18" t="s">
        <v>22</v>
      </c>
      <c r="D7" s="19" t="s">
        <v>19</v>
      </c>
      <c r="E7" s="17" t="s">
        <v>21</v>
      </c>
      <c r="F7" s="18" t="s">
        <v>22</v>
      </c>
      <c r="G7" s="19" t="s">
        <v>19</v>
      </c>
      <c r="H7" s="17" t="s">
        <v>21</v>
      </c>
      <c r="I7" s="18" t="s">
        <v>22</v>
      </c>
      <c r="J7" s="19" t="s">
        <v>19</v>
      </c>
    </row>
    <row r="8" spans="1:10" x14ac:dyDescent="0.25">
      <c r="A8" s="20" t="s">
        <v>0</v>
      </c>
      <c r="B8" s="5">
        <v>40051</v>
      </c>
      <c r="C8" s="6" t="str">
        <f>TEXT(B8,"Ddd")</f>
        <v>Wed</v>
      </c>
      <c r="D8" s="7">
        <f>B8-B$5+1</f>
        <v>238</v>
      </c>
      <c r="E8" s="5">
        <v>40051</v>
      </c>
      <c r="F8" s="6" t="str">
        <f>TEXT(E8,"Ddd")</f>
        <v>Wed</v>
      </c>
      <c r="G8" s="7">
        <f t="shared" ref="G8:G23" si="0">E8-E$5+1</f>
        <v>238</v>
      </c>
      <c r="H8" s="5">
        <v>40079</v>
      </c>
      <c r="I8" s="6" t="str">
        <f>TEXT(H8,"Ddd")</f>
        <v>Wed</v>
      </c>
      <c r="J8" s="7">
        <f t="shared" ref="J8:J23" si="1">H8-H$5+1</f>
        <v>266</v>
      </c>
    </row>
    <row r="9" spans="1:10" x14ac:dyDescent="0.25">
      <c r="A9" s="21" t="s">
        <v>1</v>
      </c>
      <c r="B9" s="8">
        <v>40051</v>
      </c>
      <c r="C9" s="9" t="str">
        <f t="shared" ref="C9:C23" si="2">TEXT(B9,"Ddd")</f>
        <v>Wed</v>
      </c>
      <c r="D9" s="10">
        <f t="shared" ref="D9:D23" si="3">B9-B$5+1</f>
        <v>238</v>
      </c>
      <c r="E9" s="8">
        <v>40051</v>
      </c>
      <c r="F9" s="9" t="str">
        <f t="shared" ref="F9:F23" si="4">TEXT(E9,"Ddd")</f>
        <v>Wed</v>
      </c>
      <c r="G9" s="10">
        <f t="shared" si="0"/>
        <v>238</v>
      </c>
      <c r="H9" s="8">
        <v>40016</v>
      </c>
      <c r="I9" s="9"/>
      <c r="J9" s="10">
        <f t="shared" si="1"/>
        <v>203</v>
      </c>
    </row>
    <row r="10" spans="1:10" x14ac:dyDescent="0.25">
      <c r="A10" s="21" t="s">
        <v>2</v>
      </c>
      <c r="B10" s="8">
        <v>40051</v>
      </c>
      <c r="C10" s="9" t="str">
        <f t="shared" si="2"/>
        <v>Wed</v>
      </c>
      <c r="D10" s="10">
        <f t="shared" si="3"/>
        <v>238</v>
      </c>
      <c r="E10" s="8">
        <v>40051</v>
      </c>
      <c r="F10" s="9" t="str">
        <f t="shared" si="4"/>
        <v>Wed</v>
      </c>
      <c r="G10" s="10">
        <f t="shared" si="0"/>
        <v>238</v>
      </c>
      <c r="H10" s="8">
        <v>40079</v>
      </c>
      <c r="I10" s="9"/>
      <c r="J10" s="10">
        <f t="shared" si="1"/>
        <v>266</v>
      </c>
    </row>
    <row r="11" spans="1:10" x14ac:dyDescent="0.25">
      <c r="A11" s="21" t="s">
        <v>3</v>
      </c>
      <c r="B11" s="8">
        <v>40051</v>
      </c>
      <c r="C11" s="9" t="str">
        <f t="shared" si="2"/>
        <v>Wed</v>
      </c>
      <c r="D11" s="10">
        <f t="shared" si="3"/>
        <v>238</v>
      </c>
      <c r="E11" s="8">
        <v>40051</v>
      </c>
      <c r="F11" s="9" t="str">
        <f t="shared" si="4"/>
        <v>Wed</v>
      </c>
      <c r="G11" s="10">
        <f t="shared" si="0"/>
        <v>238</v>
      </c>
      <c r="H11" s="8">
        <v>40030</v>
      </c>
      <c r="I11" s="9"/>
      <c r="J11" s="10">
        <f t="shared" si="1"/>
        <v>217</v>
      </c>
    </row>
    <row r="12" spans="1:10" x14ac:dyDescent="0.25">
      <c r="A12" s="21" t="s">
        <v>4</v>
      </c>
      <c r="B12" s="8">
        <v>40072</v>
      </c>
      <c r="C12" s="9" t="str">
        <f t="shared" si="2"/>
        <v>Wed</v>
      </c>
      <c r="D12" s="10">
        <f t="shared" si="3"/>
        <v>259</v>
      </c>
      <c r="E12" s="8">
        <v>40072</v>
      </c>
      <c r="F12" s="9" t="str">
        <f t="shared" si="4"/>
        <v>Wed</v>
      </c>
      <c r="G12" s="10">
        <f t="shared" si="0"/>
        <v>259</v>
      </c>
      <c r="H12" s="8">
        <v>40079</v>
      </c>
      <c r="I12" s="9"/>
      <c r="J12" s="10">
        <f t="shared" si="1"/>
        <v>266</v>
      </c>
    </row>
    <row r="13" spans="1:10" x14ac:dyDescent="0.25">
      <c r="A13" s="21" t="s">
        <v>5</v>
      </c>
      <c r="B13" s="8">
        <v>40058</v>
      </c>
      <c r="C13" s="9" t="str">
        <f t="shared" si="2"/>
        <v>Wed</v>
      </c>
      <c r="D13" s="10">
        <f t="shared" si="3"/>
        <v>245</v>
      </c>
      <c r="E13" s="14">
        <v>39993</v>
      </c>
      <c r="F13" s="15" t="str">
        <f t="shared" si="4"/>
        <v>Mon</v>
      </c>
      <c r="G13" s="16">
        <f t="shared" si="0"/>
        <v>180</v>
      </c>
      <c r="H13" s="8">
        <v>40079</v>
      </c>
      <c r="I13" s="9"/>
      <c r="J13" s="10">
        <f t="shared" si="1"/>
        <v>266</v>
      </c>
    </row>
    <row r="14" spans="1:10" x14ac:dyDescent="0.25">
      <c r="A14" s="21" t="s">
        <v>6</v>
      </c>
      <c r="B14" s="8">
        <v>40058</v>
      </c>
      <c r="C14" s="9" t="str">
        <f t="shared" si="2"/>
        <v>Wed</v>
      </c>
      <c r="D14" s="10">
        <f t="shared" si="3"/>
        <v>245</v>
      </c>
      <c r="E14" s="8">
        <v>40058</v>
      </c>
      <c r="F14" s="9" t="str">
        <f t="shared" si="4"/>
        <v>Wed</v>
      </c>
      <c r="G14" s="10">
        <f t="shared" si="0"/>
        <v>245</v>
      </c>
      <c r="H14" s="8">
        <v>40084</v>
      </c>
      <c r="I14" s="9"/>
      <c r="J14" s="10">
        <f t="shared" si="1"/>
        <v>271</v>
      </c>
    </row>
    <row r="15" spans="1:10" x14ac:dyDescent="0.25">
      <c r="A15" s="21" t="s">
        <v>7</v>
      </c>
      <c r="B15" s="8">
        <v>40058</v>
      </c>
      <c r="C15" s="9" t="str">
        <f t="shared" si="2"/>
        <v>Wed</v>
      </c>
      <c r="D15" s="10">
        <f t="shared" si="3"/>
        <v>245</v>
      </c>
      <c r="E15" s="8">
        <v>40058</v>
      </c>
      <c r="F15" s="9" t="str">
        <f t="shared" si="4"/>
        <v>Wed</v>
      </c>
      <c r="G15" s="10">
        <f t="shared" si="0"/>
        <v>245</v>
      </c>
      <c r="H15" s="8">
        <v>39981</v>
      </c>
      <c r="I15" s="9"/>
      <c r="J15" s="10">
        <f t="shared" si="1"/>
        <v>168</v>
      </c>
    </row>
    <row r="16" spans="1:10" x14ac:dyDescent="0.25">
      <c r="A16" s="21" t="s">
        <v>8</v>
      </c>
      <c r="B16" s="8">
        <v>40057</v>
      </c>
      <c r="C16" s="9" t="str">
        <f t="shared" si="2"/>
        <v>Tue</v>
      </c>
      <c r="D16" s="10">
        <f t="shared" si="3"/>
        <v>244</v>
      </c>
      <c r="E16" s="14">
        <v>40058</v>
      </c>
      <c r="F16" s="15" t="str">
        <f t="shared" si="4"/>
        <v>Wed</v>
      </c>
      <c r="G16" s="16">
        <f t="shared" si="0"/>
        <v>245</v>
      </c>
      <c r="H16" s="8">
        <v>39981</v>
      </c>
      <c r="I16" s="9"/>
      <c r="J16" s="10">
        <f t="shared" si="1"/>
        <v>168</v>
      </c>
    </row>
    <row r="17" spans="1:10" x14ac:dyDescent="0.25">
      <c r="A17" s="21" t="s">
        <v>9</v>
      </c>
      <c r="B17" s="8">
        <v>39993</v>
      </c>
      <c r="C17" s="9" t="str">
        <f t="shared" si="2"/>
        <v>Mon</v>
      </c>
      <c r="D17" s="10">
        <f t="shared" si="3"/>
        <v>180</v>
      </c>
      <c r="E17" s="8">
        <v>39993</v>
      </c>
      <c r="F17" s="9" t="str">
        <f t="shared" si="4"/>
        <v>Mon</v>
      </c>
      <c r="G17" s="10">
        <f t="shared" si="0"/>
        <v>180</v>
      </c>
      <c r="H17" s="8">
        <v>39981</v>
      </c>
      <c r="I17" s="9"/>
      <c r="J17" s="10">
        <f t="shared" si="1"/>
        <v>168</v>
      </c>
    </row>
    <row r="18" spans="1:10" x14ac:dyDescent="0.25">
      <c r="A18" s="21" t="s">
        <v>10</v>
      </c>
      <c r="B18" s="8">
        <v>40037</v>
      </c>
      <c r="C18" s="9" t="str">
        <f t="shared" si="2"/>
        <v>Wed</v>
      </c>
      <c r="D18" s="10">
        <f t="shared" si="3"/>
        <v>224</v>
      </c>
      <c r="E18" s="14">
        <v>40037</v>
      </c>
      <c r="F18" s="15" t="str">
        <f t="shared" si="4"/>
        <v>Wed</v>
      </c>
      <c r="G18" s="16">
        <f t="shared" si="0"/>
        <v>224</v>
      </c>
      <c r="H18" s="8">
        <v>40000</v>
      </c>
      <c r="I18" s="9"/>
      <c r="J18" s="10">
        <f t="shared" si="1"/>
        <v>187</v>
      </c>
    </row>
    <row r="19" spans="1:10" x14ac:dyDescent="0.25">
      <c r="A19" s="21" t="s">
        <v>11</v>
      </c>
      <c r="B19" s="8">
        <v>39993</v>
      </c>
      <c r="C19" s="9" t="str">
        <f t="shared" si="2"/>
        <v>Mon</v>
      </c>
      <c r="D19" s="10">
        <f t="shared" si="3"/>
        <v>180</v>
      </c>
      <c r="E19" s="8">
        <v>39993</v>
      </c>
      <c r="F19" s="9" t="str">
        <f t="shared" si="4"/>
        <v>Mon</v>
      </c>
      <c r="G19" s="10">
        <f t="shared" si="0"/>
        <v>180</v>
      </c>
      <c r="H19" s="8">
        <v>40030</v>
      </c>
      <c r="I19" s="9"/>
      <c r="J19" s="10">
        <f t="shared" si="1"/>
        <v>217</v>
      </c>
    </row>
    <row r="20" spans="1:10" x14ac:dyDescent="0.25">
      <c r="A20" s="21" t="s">
        <v>12</v>
      </c>
      <c r="B20" s="8">
        <v>39993</v>
      </c>
      <c r="C20" s="9" t="str">
        <f t="shared" si="2"/>
        <v>Mon</v>
      </c>
      <c r="D20" s="10">
        <f t="shared" si="3"/>
        <v>180</v>
      </c>
      <c r="E20" s="8">
        <v>39993</v>
      </c>
      <c r="F20" s="9" t="str">
        <f t="shared" si="4"/>
        <v>Mon</v>
      </c>
      <c r="G20" s="10">
        <f t="shared" si="0"/>
        <v>180</v>
      </c>
      <c r="H20" s="8">
        <v>40000</v>
      </c>
      <c r="I20" s="9"/>
      <c r="J20" s="10">
        <f t="shared" si="1"/>
        <v>187</v>
      </c>
    </row>
    <row r="21" spans="1:10" x14ac:dyDescent="0.25">
      <c r="A21" s="21" t="s">
        <v>13</v>
      </c>
      <c r="B21" s="8">
        <v>39993</v>
      </c>
      <c r="C21" s="9" t="str">
        <f t="shared" si="2"/>
        <v>Mon</v>
      </c>
      <c r="D21" s="10">
        <f t="shared" si="3"/>
        <v>180</v>
      </c>
      <c r="E21" s="8">
        <v>39993</v>
      </c>
      <c r="F21" s="9" t="str">
        <f t="shared" si="4"/>
        <v>Mon</v>
      </c>
      <c r="G21" s="10">
        <f t="shared" si="0"/>
        <v>180</v>
      </c>
      <c r="H21" s="8">
        <v>40000</v>
      </c>
      <c r="I21" s="9"/>
      <c r="J21" s="10">
        <f t="shared" si="1"/>
        <v>187</v>
      </c>
    </row>
    <row r="22" spans="1:10" x14ac:dyDescent="0.25">
      <c r="A22" s="21" t="s">
        <v>14</v>
      </c>
      <c r="B22" s="8">
        <v>39993</v>
      </c>
      <c r="C22" s="9" t="str">
        <f t="shared" si="2"/>
        <v>Mon</v>
      </c>
      <c r="D22" s="10">
        <f t="shared" si="3"/>
        <v>180</v>
      </c>
      <c r="E22" s="8">
        <v>39993</v>
      </c>
      <c r="F22" s="9" t="str">
        <f t="shared" si="4"/>
        <v>Mon</v>
      </c>
      <c r="G22" s="10">
        <f t="shared" si="0"/>
        <v>180</v>
      </c>
      <c r="H22" s="8">
        <v>40051</v>
      </c>
      <c r="I22" s="9"/>
      <c r="J22" s="10">
        <f t="shared" si="1"/>
        <v>238</v>
      </c>
    </row>
    <row r="23" spans="1:10" ht="15.75" thickBot="1" x14ac:dyDescent="0.3">
      <c r="A23" s="22" t="s">
        <v>15</v>
      </c>
      <c r="B23" s="11">
        <v>40037</v>
      </c>
      <c r="C23" s="12" t="str">
        <f t="shared" si="2"/>
        <v>Wed</v>
      </c>
      <c r="D23" s="13">
        <f t="shared" si="3"/>
        <v>224</v>
      </c>
      <c r="E23" s="11">
        <v>40037</v>
      </c>
      <c r="F23" s="12" t="str">
        <f t="shared" si="4"/>
        <v>Wed</v>
      </c>
      <c r="G23" s="13">
        <f t="shared" si="0"/>
        <v>224</v>
      </c>
      <c r="H23" s="11">
        <v>40000</v>
      </c>
      <c r="I23" s="12"/>
      <c r="J23" s="13">
        <f t="shared" si="1"/>
        <v>187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Fette</dc:creator>
  <cp:lastModifiedBy>Nicholas Fette</cp:lastModifiedBy>
  <dcterms:created xsi:type="dcterms:W3CDTF">2026-03-03T17:26:46Z</dcterms:created>
  <dcterms:modified xsi:type="dcterms:W3CDTF">2026-03-17T21:47:43Z</dcterms:modified>
</cp:coreProperties>
</file>