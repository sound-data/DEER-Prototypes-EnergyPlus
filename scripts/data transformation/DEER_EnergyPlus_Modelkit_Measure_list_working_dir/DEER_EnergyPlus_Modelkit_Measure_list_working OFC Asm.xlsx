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384E8B97-F3D9-4395-A671-BBB377626D84}"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<sst xmlns="http://schemas.openxmlformats.org/spreadsheetml/2006/main" count="63044" uniqueCount="10548">
  <si>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</si>
  <si>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</si>
  <si>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</si>
  <si>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</si>
  <si>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</si>
  <si>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</si>
  <si>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</si>
  <si>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</si>
  <si>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</si>
  <si>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</si>
  <si>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</si>
  <si>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</si>
  <si>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</si>
  <si>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</si>
  <si>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</si>
  <si>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</si>
  <si>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</si>
  <si>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</si>
  <si>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</si>
  <si>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</si>
  <si>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</si>
  <si>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</si>
  <si>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</si>
  <si>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</si>
  <si>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</si>
  <si>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</si>
  <si>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</si>
  <si>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</si>
  <si>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</si>
  <si>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</si>
  <si>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</si>
  <si>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</si>
  <si>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</si>
  <si>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</si>
  <si>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</si>
  <si>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</si>
  <si>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</si>
  <si>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</si>
  <si>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</si>
  <si>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</si>
  <si>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</si>
  <si>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</si>
  <si>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</si>
  <si>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</si>
  <si>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</si>
  <si>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</si>
  <si>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</si>
  <si>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</si>
  <si>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</si>
  <si>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</si>
  <si>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</si>
  <si>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</si>
  <si>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</si>
  <si>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</si>
  <si>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</si>
  <si>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</si>
  <si>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</si>
  <si>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</si>
  <si>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</si>
  <si>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</si>
  <si>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</si>
  <si>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</si>
  <si>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</si>
  <si>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</si>
  <si>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</si>
  <si>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</si>
  <si>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</si>
  <si>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</si>
  <si>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</si>
  <si>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</si>
  <si>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</si>
  <si>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</si>
  <si>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</si>
  <si>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</si>
  <si>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</si>
  <si>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</si>
  <si>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</si>
  <si>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</si>
  <si>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</si>
  <si>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</si>
  <si>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</si>
  <si>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</si>
  <si>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</si>
  <si>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</si>
  <si>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</si>
  <si>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</si>
  <si>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</si>
  <si>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</si>
  <si>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</si>
  <si>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</si>
  <si>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</si>
  <si>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</si>
  <si>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</si>
  <si>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</si>
  <si>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</si>
  <si>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</si>
  <si>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</si>
  <si>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</si>
  <si>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</si>
  <si>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</si>
  <si>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</si>
  <si>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</si>
  <si>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</si>
  <si>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</si>
  <si>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</si>
  <si>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</si>
  <si>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</si>
  <si>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</si>
  <si>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</si>
  <si>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</si>
  <si>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</si>
  <si>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</si>
  <si>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</si>
  <si>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</si>
  <si>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</si>
  <si>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</si>
  <si>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</si>
  <si>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</si>
  <si>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</si>
  <si>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</si>
  <si>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</si>
  <si>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</si>
  <si>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</si>
  <si>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</si>
  <si>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</si>
  <si>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</si>
  <si>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</si>
  <si>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</si>
  <si>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</si>
  <si>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</si>
  <si>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</si>
  <si>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</si>
  <si>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</si>
  <si>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</si>
  <si>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</si>
  <si>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</si>
  <si>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</si>
  <si>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</si>
  <si>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</si>
  <si>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</si>
  <si>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</si>
  <si>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</si>
  <si>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</si>
  <si>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</si>
  <si>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</si>
  <si>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</si>
  <si>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</si>
  <si>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</si>
  <si>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</si>
  <si>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</si>
  <si>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</si>
  <si>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</si>
  <si>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</si>
  <si>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</si>
  <si>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</si>
  <si>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</si>
  <si>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</si>
  <si>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</si>
  <si>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</si>
  <si>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</si>
  <si>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</si>
  <si>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</si>
  <si>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</si>
  <si>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</si>
  <si>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</si>
  <si>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</si>
  <si>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</si>
  <si>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</si>
  <si>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</si>
  <si>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</si>
  <si>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</si>
  <si>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</si>
  <si>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</si>
  <si>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</si>
  <si>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</si>
  <si>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</si>
  <si>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</si>
  <si>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</si>
  <si>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</si>
  <si>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</si>
  <si>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</si>
  <si>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</si>
  <si>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</si>
  <si>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</si>
  <si>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</si>
  <si>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</si>
  <si>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</si>
  <si>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</si>
  <si>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</si>
  <si>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</si>
  <si>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</si>
  <si>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</si>
  <si>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</si>
  <si>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</si>
  <si>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</si>
  <si>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</si>
  <si>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</si>
  <si>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</si>
  <si>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</si>
  <si>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</si>
  <si>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</si>
  <si>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</si>
  <si>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</si>
  <si>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</si>
  <si>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</si>
  <si>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</si>
  <si>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</si>
  <si>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</si>
  <si>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</si>
  <si>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</si>
  <si>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</si>
  <si>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</si>
  <si>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</si>
  <si>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</si>
  <si>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</si>
  <si>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</si>
  <si>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</si>
  <si>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</si>
  <si>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</si>
  <si>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</si>
  <si>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</si>
  <si>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</si>
  <si>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</si>
  <si>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</si>
  <si>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</si>
  <si>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</si>
  <si>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</si>
  <si>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</si>
  <si>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</si>
  <si>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</si>
  <si>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</si>
  <si>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</si>
  <si>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</si>
  <si>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</si>
  <si>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</si>
  <si>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</si>
  <si>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</si>
  <si>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</si>
  <si>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</si>
  <si>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</si>
  <si>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</si>
  <si>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</si>
  <si>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</si>
  <si>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</si>
  <si>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</si>
  <si>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</si>
  <si>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</si>
  <si>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</si>
  <si>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</si>
  <si>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</si>
  <si>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</si>
  <si>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</si>
  <si>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</si>
  <si>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</si>
  <si>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</si>
  <si>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</si>
  <si>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</si>
  <si>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</si>
  <si>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</si>
  <si>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</si>
  <si>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</si>
  <si>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</si>
  <si>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</si>
  <si>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</si>
  <si>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</si>
  <si>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</si>
  <si>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</si>
  <si>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</si>
  <si>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</si>
  <si>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</si>
  <si>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</si>
  <si>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</si>
  <si>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</si>
  <si>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</si>
  <si>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</si>
  <si>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</si>
  <si>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</si>
  <si>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</si>
  <si>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</si>
  <si>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</si>
  <si>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</si>
  <si>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</si>
  <si>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</si>
  <si>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</si>
  <si>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</si>
  <si>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</si>
  <si>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</si>
  <si>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</si>
  <si>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</si>
  <si>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</si>
  <si>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</si>
  <si>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</si>
  <si>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</si>
  <si>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</si>
  <si>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</si>
  <si>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</si>
  <si>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</si>
  <si>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</si>
  <si>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</si>
  <si>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</si>
  <si>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</si>
  <si>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</si>
  <si>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</si>
  <si>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</si>
  <si>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</si>
  <si>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</si>
  <si>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</si>
  <si>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</si>
  <si>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</si>
  <si>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</si>
  <si>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</si>
  <si>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</si>
  <si>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</si>
  <si>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</si>
  <si>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</si>
  <si>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</si>
  <si>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</si>
  <si>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</si>
  <si>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</si>
  <si>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</si>
  <si>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</si>
  <si>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</si>
  <si>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</si>
  <si>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</si>
  <si>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</si>
  <si>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</si>
  <si>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</si>
  <si>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</si>
  <si>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</si>
  <si>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</si>
  <si>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</si>
  <si>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</si>
  <si>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</si>
  <si>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</si>
  <si>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</si>
  <si>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</si>
  <si>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</si>
  <si>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</si>
  <si>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</si>
  <si>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</si>
  <si>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</si>
  <si>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</si>
  <si>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</si>
  <si>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</si>
  <si>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</si>
  <si>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</si>
  <si>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</si>
  <si>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</si>
  <si>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</si>
  <si>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</si>
  <si>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</si>
  <si>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</si>
  <si>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</si>
  <si>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</si>
  <si>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</si>
  <si>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</si>
  <si>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</si>
  <si>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</si>
  <si>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</si>
  <si>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</si>
  <si>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</si>
  <si>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</si>
  <si>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</si>
  <si>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</si>
  <si>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</si>
  <si>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</si>
  <si>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</si>
  <si>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</si>
  <si>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</si>
  <si>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</si>
  <si>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</si>
  <si>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</si>
  <si>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</si>
  <si>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</si>
  <si>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</si>
  <si>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</si>
  <si>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</si>
  <si>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</si>
  <si>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</si>
  <si>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</si>
  <si>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</si>
  <si>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</si>
  <si>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</si>
  <si>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</si>
  <si>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</si>
  <si>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</si>
  <si>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</si>
  <si>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</si>
  <si>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</si>
  <si>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</si>
  <si>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</si>
  <si>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</si>
  <si>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</si>
  <si>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</si>
  <si>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</si>
  <si>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</si>
  <si>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</si>
  <si>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</si>
  <si>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</si>
  <si>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</si>
  <si>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</si>
  <si>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</si>
  <si>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</si>
  <si>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</si>
  <si>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</si>
  <si>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</si>
  <si>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</si>
  <si>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</si>
  <si>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</si>
  <si>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</si>
  <si>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</si>
  <si>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</si>
  <si>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</si>
  <si>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</si>
  <si>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</si>
  <si>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</si>
  <si>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</si>
  <si>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</si>
  <si>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</si>
  <si>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</si>
  <si>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</si>
  <si>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</si>
  <si>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</si>
  <si>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</si>
  <si>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</si>
  <si>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</si>
  <si>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</si>
  <si>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</si>
  <si>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</si>
  <si>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</si>
  <si>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</si>
  <si>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</si>
  <si>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</si>
  <si>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</si>
  <si>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</si>
  <si>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</si>
  <si>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</si>
  <si>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</si>
  <si>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</si>
  <si>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</si>
  <si>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</si>
  <si>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</si>
  <si>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</si>
  <si>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</si>
  <si>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</si>
  <si>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</si>
  <si>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</si>
  <si>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</si>
  <si>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</si>
  <si>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</si>
  <si>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</si>
  <si>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</si>
  <si>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</si>
  <si>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</si>
  <si>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</si>
  <si>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</si>
  <si>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</si>
  <si>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</si>
  <si>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</si>
  <si>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</si>
  <si>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</si>
  <si>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</si>
  <si>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</si>
  <si>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</si>
  <si>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</si>
  <si>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</si>
  <si>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</si>
  <si>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</si>
  <si>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</si>
  <si>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</si>
  <si>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</si>
  <si>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</si>
  <si>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</si>
  <si>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</si>
  <si>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</si>
  <si>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</si>
  <si>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</si>
  <si>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</si>
  <si>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</si>
  <si>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</si>
  <si>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</si>
  <si>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</si>
  <si>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</si>
  <si>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</si>
  <si>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</si>
  <si>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</si>
  <si>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</si>
  <si>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</si>
  <si>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</si>
  <si>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</si>
  <si>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</si>
  <si>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</si>
  <si>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</si>
  <si>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</si>
  <si>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</si>
  <si>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</si>
  <si>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</si>
  <si>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</si>
  <si>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</si>
  <si>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</si>
  <si>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</si>
  <si>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</si>
  <si>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</si>
  <si>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</si>
  <si>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</si>
  <si>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</si>
  <si>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</si>
  <si>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</si>
  <si>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</si>
  <si>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</si>
  <si>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</si>
  <si>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</si>
  <si>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</si>
  <si>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</si>
  <si>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</si>
  <si>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</si>
  <si>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</si>
  <si>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</si>
  <si>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</si>
  <si>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</si>
  <si>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</si>
  <si>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</si>
  <si>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</si>
  <si>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</si>
  <si>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</si>
  <si>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</si>
  <si>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</si>
  <si>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</si>
  <si>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</si>
  <si>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</si>
  <si>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</si>
  <si>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</si>
  <si>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</si>
  <si>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</si>
  <si>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</si>
  <si>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</si>
  <si>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</si>
  <si>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</si>
  <si>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</si>
  <si>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</si>
  <si>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</si>
  <si>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</si>
  <si>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</si>
  <si>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</si>
  <si>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</si>
  <si>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</si>
  <si>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</si>
  <si>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</si>
  <si>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</si>
  <si>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</si>
  <si>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</si>
  <si>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</si>
  <si>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</si>
  <si>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</si>
  <si>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</si>
  <si>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</si>
  <si>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</si>
  <si>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</si>
  <si>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</si>
  <si>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</si>
  <si>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</si>
  <si>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</si>
  <si>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</si>
  <si>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</si>
  <si>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</si>
  <si>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</si>
  <si>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</si>
  <si>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</si>
  <si>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</si>
  <si>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</si>
  <si>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</si>
  <si>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</si>
  <si>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</si>
  <si>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</si>
  <si>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</si>
  <si>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</si>
  <si>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</si>
  <si>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</si>
  <si>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</si>
  <si>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</si>
  <si>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</si>
  <si>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</si>
  <si>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</si>
  <si>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</si>
  <si>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</si>
  <si>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</si>
  <si>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</si>
  <si>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</si>
  <si>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</si>
  <si>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</si>
  <si>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</si>
  <si>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</si>
  <si>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</si>
  <si>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</si>
  <si>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</si>
  <si>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</si>
  <si>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</si>
  <si>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</si>
  <si>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</si>
  <si>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</si>
  <si>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</si>
  <si>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</si>
  <si>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</si>
  <si>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</si>
  <si>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</si>
  <si>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</si>
  <si>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</si>
  <si>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</si>
  <si>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</si>
  <si>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</si>
  <si>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</si>
  <si>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</si>
  <si>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</si>
  <si>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</si>
  <si>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</si>
  <si>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</si>
  <si>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</si>
  <si>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</si>
  <si>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</si>
  <si>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</si>
  <si>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</si>
  <si>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</si>
  <si>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</si>
  <si>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</si>
  <si>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</si>
  <si>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</si>
  <si>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</si>
  <si>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</si>
  <si>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</si>
  <si>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</si>
  <si>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</si>
  <si>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</si>
  <si>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</si>
  <si>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</si>
  <si>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</si>
  <si>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</si>
  <si>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</si>
  <si>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</si>
  <si>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</si>
  <si>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</si>
  <si>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</si>
  <si>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</si>
  <si>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</si>
  <si>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</si>
  <si>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</si>
  <si>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</si>
  <si>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</si>
  <si>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</si>
  <si>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</si>
  <si>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</si>
  <si>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</si>
  <si>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</si>
  <si>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</si>
  <si>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</si>
  <si>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</si>
  <si>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</si>
  <si>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</si>
  <si>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</si>
  <si>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</si>
  <si>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</si>
  <si>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</si>
  <si>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</si>
  <si>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</si>
  <si>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</si>
  <si>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</si>
  <si>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</si>
  <si>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</si>
  <si>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</si>
  <si>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</si>
  <si>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</si>
  <si>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</si>
  <si>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</si>
  <si>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</si>
  <si>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</si>
  <si>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</si>
  <si>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</si>
  <si>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</si>
  <si>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</si>
  <si>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</si>
  <si>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</si>
  <si>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</si>
  <si>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</si>
  <si>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</si>
  <si>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</si>
  <si>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</si>
  <si>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</si>
  <si>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</si>
  <si>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</si>
  <si>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</si>
  <si>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</si>
  <si>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</si>
  <si>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</si>
  <si>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</si>
  <si>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</si>
  <si>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</si>
  <si>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</si>
  <si>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</si>
  <si>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</si>
  <si>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</si>
  <si>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</si>
  <si>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</si>
  <si>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</si>
  <si>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</si>
  <si>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</si>
  <si>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</si>
  <si>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</si>
  <si>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</si>
  <si>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</si>
  <si>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</si>
  <si>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</si>
  <si>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</si>
  <si>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</si>
  <si>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</si>
  <si>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</si>
  <si>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</si>
  <si>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</si>
  <si>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</si>
  <si>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</si>
  <si>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</si>
  <si>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</si>
  <si>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</si>
  <si>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</si>
  <si>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</si>
  <si>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</si>
  <si>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</si>
  <si>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</si>
  <si>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</si>
  <si>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</si>
  <si>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</si>
  <si>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</si>
  <si>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</si>
  <si>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</si>
  <si>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</si>
  <si>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</si>
  <si>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</si>
  <si>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</si>
  <si>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</si>
  <si>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</si>
  <si>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</si>
  <si>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</si>
  <si>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</si>
  <si>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</si>
  <si>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</si>
  <si>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</si>
  <si>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</si>
  <si>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</si>
  <si>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</si>
  <si>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</si>
  <si>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</si>
  <si>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</si>
  <si>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</si>
  <si>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</si>
  <si>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</si>
  <si>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</si>
  <si>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</si>
  <si>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</si>
  <si>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</si>
  <si>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</si>
  <si>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</si>
  <si>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</si>
  <si>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</si>
  <si>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</si>
  <si>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</si>
  <si>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</si>
  <si>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</si>
  <si>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</si>
  <si>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</si>
  <si>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</si>
  <si>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</si>
  <si>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</si>
  <si>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</si>
  <si>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</si>
  <si>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</si>
  <si>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</si>
  <si>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</si>
  <si>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</si>
  <si>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</si>
  <si>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</si>
  <si>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</si>
  <si>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</si>
  <si>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</si>
  <si>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</si>
  <si>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</si>
  <si>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</si>
  <si>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</si>
  <si>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</si>
  <si>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</si>
  <si>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</si>
  <si>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</si>
  <si>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</si>
  <si>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</si>
  <si>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</si>
  <si>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</si>
  <si>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</si>
  <si>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</si>
  <si>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</si>
  <si>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</si>
  <si>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</si>
  <si>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</si>
  <si>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</si>
  <si>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</si>
  <si>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</si>
  <si>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</si>
  <si>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</si>
  <si>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</si>
  <si>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</si>
  <si>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</si>
  <si>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</si>
  <si>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</si>
  <si>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</si>
  <si>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</si>
  <si>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</si>
  <si>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</si>
  <si>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</si>
  <si>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</si>
  <si>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</si>
  <si>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</si>
  <si>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</si>
  <si>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</si>
  <si>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</si>
  <si>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</si>
  <si>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</si>
  <si>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</si>
  <si>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</si>
  <si>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</si>
  <si>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</si>
  <si>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</si>
  <si>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</si>
  <si>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</si>
  <si>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</si>
  <si>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</si>
  <si>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</si>
  <si>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</si>
  <si>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</si>
  <si>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</si>
  <si>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</si>
  <si>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</si>
  <si>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</si>
  <si>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</si>
  <si>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</si>
  <si>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</si>
  <si>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</si>
  <si>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</si>
  <si>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</si>
  <si>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</si>
  <si>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</si>
  <si>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</si>
  <si>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</si>
  <si>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</si>
  <si>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</si>
  <si>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</si>
  <si>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</si>
  <si>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</si>
  <si>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</si>
  <si>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</si>
  <si>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</si>
  <si>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</si>
  <si>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</si>
  <si>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</si>
  <si>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</si>
  <si>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</si>
  <si>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</si>
  <si>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</si>
  <si>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</si>
  <si>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</si>
  <si>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</si>
  <si>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</si>
  <si>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</si>
  <si>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</si>
  <si>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</si>
  <si>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</si>
  <si>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</si>
  <si>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</si>
  <si>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</si>
  <si>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</si>
  <si>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</si>
  <si>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</si>
  <si>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</si>
  <si>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</si>
  <si>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</si>
  <si>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</si>
  <si>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</si>
  <si>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</si>
  <si>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</si>
  <si>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</si>
  <si>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</si>
  <si>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</si>
  <si>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</si>
  <si>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</si>
  <si>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</si>
  <si>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</si>
  <si>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</si>
  <si>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</si>
  <si>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</si>
  <si>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</si>
  <si>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</si>
  <si>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</si>
  <si>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</si>
  <si>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</si>
  <si>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</si>
  <si>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</si>
  <si>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</si>
  <si>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</si>
  <si>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</si>
  <si>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</si>
  <si>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</si>
  <si>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</si>
  <si>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</si>
  <si>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</si>
  <si>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</si>
  <si>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</si>
  <si>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</si>
  <si>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</si>
  <si>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</si>
  <si>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</si>
  <si>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</si>
  <si>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</si>
  <si>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</si>
  <si>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</si>
  <si>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</si>
  <si>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</si>
  <si>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</si>
  <si>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</si>
  <si>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</si>
  <si>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</si>
  <si>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</si>
  <si>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</si>
  <si>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</si>
  <si>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</si>
  <si>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</si>
  <si>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</si>
  <si>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</si>
  <si>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</si>
  <si>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</si>
  <si>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</si>
  <si>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</si>
  <si>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</si>
  <si>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</si>
  <si>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</si>
  <si>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</si>
  <si>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</si>
  <si>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</si>
  <si>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</si>
  <si>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</si>
  <si>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</si>
  <si>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</si>
  <si>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</si>
  <si>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</si>
  <si>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</si>
  <si>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</si>
  <si>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</si>
  <si>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</si>
  <si>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</si>
  <si>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</si>
  <si>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</si>
  <si>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</si>
  <si>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</si>
  <si>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</si>
  <si>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</si>
  <si>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</si>
  <si>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</si>
  <si>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</si>
  <si>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</si>
  <si>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</si>
  <si>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</si>
  <si>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</si>
  <si>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</si>
  <si>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</si>
  <si>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</si>
  <si>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</si>
  <si>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</si>
  <si>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</si>
  <si>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</si>
  <si>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</si>
  <si>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</si>
  <si>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</si>
  <si>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</si>
  <si>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</si>
  <si>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</si>
  <si>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</si>
  <si>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</si>
  <si>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</si>
  <si>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</si>
  <si>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</si>
  <si>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</si>
  <si>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</si>
  <si>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</si>
  <si>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</si>
  <si>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</si>
  <si>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</si>
  <si>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</si>
  <si>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</si>
  <si>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</si>
  <si>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</si>
  <si>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</si>
  <si>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</si>
  <si>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</si>
  <si>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</si>
  <si>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</si>
  <si>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</si>
  <si>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</si>
  <si>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</si>
  <si>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</si>
  <si>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</si>
  <si>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</si>
  <si>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</si>
  <si>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</si>
  <si>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</si>
  <si>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</si>
  <si>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</si>
  <si>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</si>
  <si>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</si>
  <si>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</si>
  <si>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</si>
  <si>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</si>
  <si>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</si>
  <si>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</si>
  <si>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</si>
  <si>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</si>
  <si>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</si>
  <si>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</si>
  <si>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</si>
  <si>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</si>
  <si>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</si>
  <si>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</si>
  <si>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</si>
  <si>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</si>
  <si>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</si>
  <si>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</si>
  <si>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</si>
  <si>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</si>
  <si>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</si>
  <si>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</si>
  <si>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</si>
  <si>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</si>
  <si>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</si>
  <si>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</si>
  <si>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</si>
  <si>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</si>
  <si>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</si>
  <si>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</si>
  <si>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</si>
  <si>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</si>
  <si>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</si>
  <si>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</si>
  <si>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</si>
  <si>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</si>
  <si>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</si>
  <si>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</si>
  <si>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</si>
  <si>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</si>
  <si>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</si>
  <si>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</si>
  <si>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</si>
  <si>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</si>
  <si>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</si>
  <si>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</si>
  <si>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</si>
  <si>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</si>
  <si>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</si>
  <si>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</si>
  <si>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</si>
  <si>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</si>
  <si>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</si>
  <si>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</si>
  <si>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</si>
  <si>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</si>
  <si>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</si>
  <si>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</si>
  <si>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</si>
  <si>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</si>
  <si>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</si>
  <si>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</si>
  <si>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</si>
  <si>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</si>
  <si>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</si>
  <si>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</si>
  <si>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</si>
  <si>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</si>
  <si>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</si>
  <si>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</si>
  <si>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</si>
  <si>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</si>
  <si>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</si>
  <si>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</si>
  <si>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</si>
  <si>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</si>
  <si>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</si>
  <si>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</si>
  <si>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</si>
  <si>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</si>
  <si>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</si>
  <si>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</si>
  <si>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</si>
  <si>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</si>
  <si>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</si>
  <si>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</si>
  <si>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</si>
  <si>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</si>
  <si>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</si>
  <si>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</si>
  <si>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</si>
  <si>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</si>
  <si>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</si>
  <si>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</si>
  <si>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</si>
  <si>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</si>
  <si>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</si>
  <si>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</si>
  <si>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</si>
  <si>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</si>
  <si>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</si>
  <si>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</si>
  <si>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</si>
  <si>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</si>
  <si>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</si>
  <si>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</si>
  <si>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</si>
  <si>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</si>
  <si>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</si>
  <si>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</si>
  <si>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</si>
  <si>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</si>
  <si>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</si>
  <si>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</si>
  <si>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</si>
  <si>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</si>
  <si>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</si>
  <si>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</si>
  <si>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</si>
  <si>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</si>
  <si>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</si>
  <si>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</si>
  <si>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</si>
  <si>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</si>
  <si>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</si>
  <si>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</si>
  <si>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</si>
  <si>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</si>
  <si>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</si>
  <si>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</si>
  <si>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</si>
  <si>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</si>
  <si>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</si>
  <si>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</si>
  <si>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</si>
  <si>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</si>
  <si>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</si>
  <si>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</si>
  <si>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</si>
  <si>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</si>
  <si>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</si>
  <si>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</si>
  <si>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</si>
  <si>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</si>
  <si>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</si>
  <si>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</si>
  <si>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</si>
  <si>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</si>
  <si>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</si>
  <si>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</si>
  <si>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</si>
  <si>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</si>
  <si>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</si>
  <si>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</si>
  <si>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</si>
  <si>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</si>
  <si>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</si>
  <si>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</si>
  <si>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</si>
  <si>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</si>
  <si>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</si>
  <si>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</si>
  <si>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</si>
  <si>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</si>
  <si>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</si>
  <si>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</si>
  <si>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</si>
  <si>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</si>
  <si>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</si>
  <si>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</si>
  <si>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</si>
  <si>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</si>
  <si>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</si>
  <si>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</si>
  <si>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</si>
  <si>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</si>
  <si>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</si>
  <si>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</si>
  <si>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</si>
  <si>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</si>
  <si>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</si>
  <si>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</si>
  <si>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</si>
  <si>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</si>
  <si>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</si>
  <si>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</si>
  <si>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</si>
  <si>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</si>
  <si>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</si>
  <si>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</si>
  <si>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</si>
  <si>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</si>
  <si>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</si>
  <si>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</si>
  <si>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</si>
  <si>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</si>
  <si>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</si>
  <si>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</si>
  <si>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</si>
  <si>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</si>
  <si>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</si>
  <si>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</si>
  <si>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</si>
  <si>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</si>
  <si>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</si>
  <si>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</si>
  <si>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</si>
  <si>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</si>
  <si>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</si>
  <si>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</si>
  <si>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</si>
  <si>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</si>
  <si>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</si>
  <si>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</si>
  <si>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</si>
  <si>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</si>
  <si>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</si>
  <si>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</si>
  <si>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</si>
  <si>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</si>
  <si>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</si>
  <si>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</si>
  <si>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</si>
  <si>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</si>
  <si>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</si>
  <si>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</si>
  <si>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</si>
  <si>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</si>
  <si>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</si>
  <si>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</si>
  <si>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</si>
  <si>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</si>
  <si>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</si>
  <si>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</si>
  <si>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</si>
  <si>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</si>
  <si>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</si>
  <si>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</si>
  <si>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</si>
  <si>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</si>
  <si>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</si>
  <si>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</si>
  <si>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</si>
  <si>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</si>
  <si>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</si>
  <si>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</si>
  <si>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</si>
  <si>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</si>
  <si>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</si>
  <si>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</si>
  <si>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</si>
  <si>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</si>
  <si>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</si>
  <si>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</si>
  <si>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</si>
  <si>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</si>
  <si>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</si>
  <si>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</si>
  <si>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</si>
  <si>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</si>
  <si>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</si>
  <si>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</si>
  <si>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</si>
  <si>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</si>
  <si>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</si>
  <si>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</si>
  <si>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</si>
  <si>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</si>
  <si>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</si>
  <si>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</si>
  <si>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</si>
  <si>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</si>
  <si>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</si>
  <si>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</si>
  <si>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</si>
  <si>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</si>
  <si>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</si>
  <si>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</si>
  <si>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</si>
  <si>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</si>
  <si>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</si>
  <si>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</si>
  <si>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</si>
  <si>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</si>
  <si>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</si>
  <si>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</si>
  <si>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</si>
  <si>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</si>
  <si>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</si>
  <si>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</si>
  <si>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</si>
  <si>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</si>
  <si>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</si>
  <si>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</si>
  <si>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</si>
  <si>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</si>
  <si>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</si>
  <si>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</si>
  <si>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</si>
  <si>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</si>
  <si>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</si>
  <si>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</si>
  <si>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</si>
  <si>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</si>
  <si>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</si>
  <si>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</si>
  <si>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</si>
  <si>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</si>
  <si>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</si>
  <si>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</si>
  <si>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</si>
  <si>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</si>
  <si>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</si>
  <si>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</si>
  <si>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</si>
  <si>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</si>
  <si>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</si>
  <si>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</si>
  <si>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</si>
  <si>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</si>
  <si>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</si>
  <si>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</si>
  <si>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</si>
  <si>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</si>
  <si>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</si>
  <si>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</si>
  <si>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</si>
  <si>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</si>
  <si>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</si>
  <si>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</si>
  <si>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</si>
  <si>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</si>
  <si>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</si>
  <si>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</si>
  <si>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</si>
  <si>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</si>
  <si>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</si>
  <si>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</si>
  <si>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</si>
  <si>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</si>
  <si>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</si>
  <si>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</si>
  <si>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</si>
  <si>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</si>
  <si>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</si>
  <si>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</si>
  <si>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</si>
  <si>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</si>
  <si>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</si>
  <si>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</si>
  <si>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</si>
  <si>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</si>
  <si>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</si>
  <si>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</si>
  <si>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</si>
  <si>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</si>
  <si>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</si>
  <si>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</si>
  <si>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</si>
  <si>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</si>
  <si>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</si>
  <si>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</si>
  <si>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</si>
  <si>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</si>
  <si>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</si>
  <si>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</si>
  <si>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</si>
  <si>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</si>
  <si>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</si>
  <si>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</si>
  <si>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</si>
  <si>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</si>
  <si>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</si>
  <si>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</si>
  <si>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</si>
  <si>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</si>
  <si>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</si>
  <si>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</si>
  <si>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</si>
  <si>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</si>
  <si>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</si>
  <si>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</si>
  <si>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</si>
  <si>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</si>
  <si>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</si>
  <si>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</si>
  <si>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</si>
  <si>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</si>
  <si>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</si>
  <si>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</si>
  <si>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</si>
  <si>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</si>
  <si>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</si>
  <si>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</si>
  <si>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</si>
  <si>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</si>
  <si>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</si>
  <si>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</si>
  <si>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</si>
  <si>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</si>
  <si>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</si>
  <si>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</si>
  <si>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</si>
  <si>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</si>
  <si>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</si>
  <si>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</si>
  <si>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</si>
  <si>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</si>
  <si>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</si>
  <si>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</si>
  <si>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</si>
  <si>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</si>
  <si>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</si>
  <si>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</si>
  <si>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</si>
  <si>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</si>
  <si>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</si>
  <si>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</si>
  <si>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</si>
  <si>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</si>
  <si>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</si>
  <si>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</si>
  <si>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</si>
  <si>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</si>
  <si>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</si>
  <si>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</si>
  <si>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</si>
  <si>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</si>
  <si>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</si>
  <si>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</si>
  <si>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</si>
  <si>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</si>
  <si>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</si>
  <si>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</si>
  <si>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</si>
  <si>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</si>
  <si>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</si>
  <si>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</si>
  <si>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</si>
  <si>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</si>
  <si>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</si>
  <si>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</si>
  <si>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</si>
  <si>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</si>
  <si>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</si>
  <si>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</si>
  <si>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</si>
  <si>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</si>
  <si>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</si>
  <si>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</si>
  <si>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</si>
  <si>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</si>
  <si>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</si>
  <si>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</si>
  <si>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</si>
  <si>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</si>
  <si>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</si>
  <si>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</si>
  <si>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</si>
  <si>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</si>
  <si>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</si>
  <si>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</si>
  <si>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</si>
  <si>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</si>
  <si>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</si>
  <si>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</si>
  <si>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</si>
  <si>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</si>
  <si>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</si>
  <si>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</si>
  <si>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</si>
  <si>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</si>
  <si>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</si>
  <si>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</si>
  <si>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</si>
  <si>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</si>
  <si>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</si>
  <si>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</si>
  <si>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</si>
  <si>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</si>
  <si>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</si>
  <si>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</si>
  <si>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</si>
  <si>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</si>
  <si>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</si>
  <si>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</si>
  <si>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</si>
  <si>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</si>
  <si>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</si>
  <si>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</si>
  <si>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</si>
  <si>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</si>
  <si>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</si>
  <si>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</si>
  <si>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</si>
  <si>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</si>
  <si>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</si>
  <si>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</si>
  <si>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</si>
  <si>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</si>
  <si>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</si>
  <si>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</si>
  <si>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</si>
  <si>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</si>
  <si>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</si>
  <si>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</si>
  <si>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</si>
  <si>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</si>
  <si>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</si>
  <si>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</si>
  <si>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</si>
  <si>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</si>
  <si>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</si>
  <si>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</si>
  <si>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</si>
  <si>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</si>
  <si>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</si>
  <si>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</si>
  <si>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</si>
  <si>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</si>
  <si>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</si>
  <si>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</si>
  <si>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</si>
  <si>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</si>
  <si>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</si>
  <si>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</si>
  <si>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</si>
  <si>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</si>
  <si>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</si>
  <si>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</si>
  <si>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</si>
  <si>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</si>
  <si>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</si>
  <si>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</si>
  <si>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</si>
  <si>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</si>
  <si>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</si>
  <si>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</si>
  <si>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</si>
  <si>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</si>
  <si>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</si>
  <si>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</si>
  <si>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</si>
  <si>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</si>
  <si>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</si>
  <si>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</si>
  <si>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</si>
  <si>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</si>
  <si>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</si>
  <si>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</si>
  <si>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</si>
  <si>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</si>
  <si>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</si>
  <si>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</si>
  <si>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</si>
  <si>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</si>
  <si>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</si>
  <si>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</si>
  <si>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</si>
  <si>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</si>
  <si>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</si>
  <si>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</si>
  <si>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</si>
  <si>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</si>
  <si>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</si>
  <si>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</si>
  <si>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</si>
  <si>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</si>
  <si>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</si>
  <si>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</si>
  <si>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</si>
  <si>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</si>
  <si>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</si>
  <si>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</si>
  <si>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</si>
  <si>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</si>
  <si>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</si>
  <si>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</si>
  <si>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</si>
  <si>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</si>
  <si>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</si>
  <si>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</si>
  <si>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</si>
  <si>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</si>
  <si>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</si>
  <si>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</si>
  <si>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</si>
  <si>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</si>
  <si>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</si>
  <si>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</si>
  <si>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</si>
  <si>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</si>
  <si>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</si>
  <si>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</si>
  <si>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</si>
  <si>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</si>
  <si>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</si>
  <si>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</si>
  <si>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</si>
  <si>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</si>
  <si>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</si>
  <si>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</si>
  <si>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</si>
  <si>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</si>
  <si>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</si>
  <si>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</si>
  <si>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</si>
  <si>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</si>
  <si>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</si>
  <si>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</si>
  <si>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</si>
  <si>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</si>
  <si>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</si>
  <si>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</si>
  <si>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</si>
  <si>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</si>
  <si>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</si>
  <si>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</si>
  <si>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</si>
  <si>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</si>
  <si>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</si>
  <si>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</si>
  <si>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</si>
  <si>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</si>
  <si>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</si>
  <si>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</si>
  <si>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</si>
  <si>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</si>
  <si>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</si>
  <si>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</si>
  <si>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</si>
  <si>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</si>
  <si>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</si>
  <si>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</si>
  <si>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</si>
  <si>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</si>
  <si>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</si>
  <si>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</si>
  <si>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</si>
  <si>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</si>
  <si>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</si>
  <si>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</si>
  <si>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</si>
  <si>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</si>
  <si>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</si>
  <si>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</si>
  <si>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</si>
  <si>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</si>
  <si>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</si>
  <si>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</si>
  <si>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</si>
  <si>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</si>
  <si>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</si>
  <si>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</si>
  <si>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</si>
  <si>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</si>
  <si>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</si>
  <si>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</si>
  <si>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</si>
  <si>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</si>
  <si>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</si>
  <si>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</si>
  <si>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</si>
  <si>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</si>
  <si>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</si>
  <si>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</si>
  <si>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</si>
  <si>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</si>
  <si>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</si>
  <si>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</si>
  <si>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</si>
  <si>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</si>
  <si>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</si>
  <si>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</si>
  <si>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</si>
  <si>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</si>
  <si>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</si>
  <si>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</si>
  <si>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</si>
  <si>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</si>
  <si>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</si>
  <si>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</si>
  <si>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</si>
  <si>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</si>
  <si>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</si>
  <si>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</si>
  <si>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</si>
  <si>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</si>
  <si>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</si>
  <si>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</si>
  <si>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</si>
  <si>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</si>
  <si>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</si>
  <si>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</si>
  <si>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</si>
  <si>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</si>
  <si>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</si>
  <si>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</si>
  <si>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</si>
  <si>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</si>
  <si>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</si>
  <si>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</si>
  <si>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</si>
  <si>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</si>
  <si>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</si>
  <si>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</si>
  <si>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</si>
  <si>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</si>
  <si>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</si>
  <si>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</si>
  <si>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</si>
  <si>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</si>
  <si>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</si>
  <si>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</si>
  <si>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</si>
  <si>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</si>
  <si>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</si>
  <si>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</si>
  <si>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</si>
  <si>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</si>
  <si>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</si>
  <si>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</si>
  <si>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</si>
  <si>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</si>
  <si>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</si>
  <si>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</si>
  <si>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</si>
  <si>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</si>
  <si>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</si>
  <si>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</si>
  <si>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</si>
  <si>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</si>
  <si>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</si>
  <si>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</si>
  <si>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</si>
  <si>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</si>
  <si>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</si>
  <si>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</si>
  <si>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</si>
  <si>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</si>
  <si>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</si>
  <si>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</si>
  <si>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</si>
  <si>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</si>
  <si>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</si>
  <si>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</si>
  <si>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</si>
  <si>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</si>
  <si>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</si>
  <si>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</si>
  <si>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</si>
  <si>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</si>
  <si>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</si>
  <si>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</si>
  <si>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</si>
  <si>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</si>
  <si>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</si>
  <si>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</si>
  <si>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</si>
  <si>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</si>
  <si>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</si>
  <si>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</si>
  <si>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</si>
  <si>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</si>
  <si>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</si>
  <si>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</si>
  <si>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</si>
  <si>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</si>
  <si>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</si>
  <si>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</si>
  <si>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</si>
  <si>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</si>
  <si>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</si>
  <si>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</si>
  <si>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</si>
  <si>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</si>
  <si>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</si>
  <si>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</si>
  <si>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</si>
  <si>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</si>
  <si>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</si>
  <si>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</si>
  <si>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</si>
  <si>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</si>
  <si>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</si>
  <si>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</si>
  <si>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</si>
  <si>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</si>
  <si>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</si>
  <si>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</si>
  <si>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</si>
  <si>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</si>
  <si>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</si>
  <si>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</si>
  <si>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</si>
  <si>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</si>
  <si>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</si>
  <si>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</si>
  <si>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</si>
  <si>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</si>
  <si>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</si>
  <si>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</si>
  <si>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</si>
  <si>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</si>
  <si>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</si>
  <si>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</si>
  <si>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</si>
  <si>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</si>
  <si>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</si>
  <si>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</si>
  <si>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</si>
  <si>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</si>
  <si>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</si>
  <si>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</si>
  <si>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</si>
  <si>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</si>
  <si>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</si>
  <si>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</si>
  <si>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</si>
  <si>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</si>
  <si>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</si>
  <si>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</si>
  <si>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</si>
  <si>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</si>
  <si>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</si>
  <si>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</si>
  <si>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</si>
  <si>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</si>
  <si>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</si>
  <si>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</si>
  <si>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</si>
  <si>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</si>
  <si>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</si>
  <si>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</si>
  <si>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</si>
  <si>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</si>
  <si>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</si>
  <si>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</si>
  <si>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</si>
  <si>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</si>
  <si>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</si>
  <si>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</si>
  <si>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</si>
  <si>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</si>
  <si>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</si>
  <si>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</si>
  <si>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</si>
  <si>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</si>
  <si>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</si>
  <si>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</si>
  <si>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</si>
  <si>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</si>
  <si>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</si>
  <si>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</si>
  <si>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</si>
  <si>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</si>
  <si>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</si>
  <si>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</si>
  <si>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</si>
  <si>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</si>
  <si>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</si>
  <si>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</si>
  <si>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</si>
  <si>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</si>
  <si>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</si>
  <si>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</si>
  <si>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</si>
  <si>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</si>
  <si>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</si>
  <si>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</si>
  <si>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</si>
  <si>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</si>
  <si>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</si>
  <si>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</si>
  <si>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</si>
  <si>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</si>
  <si>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</si>
  <si>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</si>
  <si>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</si>
  <si>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</si>
  <si>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</si>
  <si>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</si>
  <si>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</si>
  <si>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</si>
  <si>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</si>
  <si>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</si>
  <si>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</si>
  <si>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</si>
  <si>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</si>
  <si>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</si>
  <si>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</si>
  <si>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</si>
  <si>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</si>
  <si>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</si>
  <si>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</si>
  <si>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</si>
  <si>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</si>
  <si>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</si>
  <si>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</si>
  <si>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</si>
  <si>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</si>
  <si>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</si>
  <si>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</si>
  <si>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</si>
  <si>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</si>
  <si>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</si>
  <si>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</si>
  <si>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</si>
  <si>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</si>
  <si>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</si>
  <si>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</si>
  <si>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</si>
  <si>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</si>
  <si>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</si>
  <si>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</si>
  <si>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</si>
  <si>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</si>
  <si>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</si>
  <si>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</si>
  <si>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</si>
  <si>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</si>
  <si>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</si>
  <si>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</si>
  <si>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</si>
  <si>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</si>
  <si>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</si>
  <si>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</si>
  <si>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</si>
  <si>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</si>
  <si>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</si>
  <si>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</si>
  <si>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</si>
  <si>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</si>
  <si>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</si>
  <si>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</si>
  <si>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</si>
  <si>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</si>
  <si>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</si>
  <si>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</si>
  <si>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</si>
  <si>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</si>
  <si>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</si>
  <si>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</si>
  <si>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</si>
  <si>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</si>
  <si>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</si>
  <si>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</si>
  <si>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</si>
  <si>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</si>
  <si>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</si>
  <si>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</si>
  <si>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</si>
  <si>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</si>
  <si>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</si>
  <si>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</si>
  <si>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</si>
  <si>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</si>
  <si>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</si>
  <si>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</si>
  <si>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</si>
  <si>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</si>
  <si>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</si>
  <si>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</si>
  <si>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</si>
  <si>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</si>
  <si>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</si>
  <si>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</si>
  <si>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</si>
  <si>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</si>
  <si>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</si>
  <si>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</si>
  <si>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</si>
  <si>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</si>
  <si>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</si>
  <si>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</si>
  <si>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</si>
  <si>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</si>
  <si>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</si>
  <si>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</si>
  <si>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</si>
  <si>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</si>
  <si>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</si>
  <si>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</si>
  <si>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</si>
  <si>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</si>
  <si>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</si>
  <si>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</si>
  <si>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</si>
  <si>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</si>
  <si>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</si>
  <si>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</si>
  <si>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</si>
  <si>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</si>
  <si>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</si>
  <si>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</si>
  <si>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</si>
  <si>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</si>
  <si>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</si>
  <si>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</si>
  <si>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</si>
  <si>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</si>
  <si>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</si>
  <si>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</si>
  <si>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</si>
  <si>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</si>
  <si>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</si>
  <si>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</si>
  <si>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</si>
  <si>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</si>
  <si>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</si>
  <si>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</si>
  <si>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</si>
  <si>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</si>
  <si>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</si>
  <si>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</si>
  <si>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</si>
  <si>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</si>
  <si>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</si>
  <si>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</si>
  <si>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</si>
  <si>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</si>
  <si>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</si>
  <si>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</si>
  <si>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</si>
  <si>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</si>
  <si>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</si>
  <si>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</si>
  <si>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</si>
  <si>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</si>
  <si>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</si>
  <si>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</si>
  <si>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</si>
  <si>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</si>
  <si>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</si>
  <si>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</si>
  <si>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</si>
  <si>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</si>
  <si>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</si>
  <si>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</si>
  <si>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</si>
  <si>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</si>
  <si>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</si>
  <si>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</si>
  <si>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</si>
  <si>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</si>
  <si>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</si>
  <si>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</si>
  <si>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</si>
  <si>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</si>
  <si>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</si>
  <si>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</si>
  <si>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</si>
  <si>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</si>
  <si>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</si>
  <si>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</si>
  <si>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</si>
  <si>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</si>
  <si>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</si>
  <si>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</si>
  <si>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</si>
  <si>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</si>
  <si>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</si>
  <si>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</si>
  <si>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</si>
  <si>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</si>
  <si>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</si>
  <si>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</si>
  <si>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</si>
  <si>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</si>
  <si>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</si>
  <si>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</si>
  <si>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</si>
  <si>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</si>
  <si>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</si>
  <si>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</si>
  <si>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</si>
  <si>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</si>
  <si>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</si>
  <si>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</si>
  <si>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</si>
  <si>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</si>
  <si>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</si>
  <si>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</si>
  <si>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</si>
  <si>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</si>
  <si>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</si>
  <si>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</si>
  <si>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</si>
  <si>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</si>
  <si>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</si>
  <si>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</si>
  <si>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</si>
  <si>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</si>
  <si>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</si>
  <si>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</si>
  <si>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</si>
  <si>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</si>
  <si>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</si>
  <si>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</si>
  <si>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</si>
  <si>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</si>
  <si>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</si>
  <si>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</si>
  <si>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</si>
  <si>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</si>
  <si>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</si>
  <si>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</si>
  <si>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</si>
  <si>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</si>
  <si>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</si>
  <si>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</si>
  <si>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</si>
  <si>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</si>
  <si>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</si>
  <si>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</si>
  <si>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</si>
  <si>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</si>
  <si>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</si>
  <si>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</si>
  <si>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</si>
  <si>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</si>
  <si>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</si>
  <si>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</si>
  <si>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</si>
  <si>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</si>
  <si>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</si>
  <si>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</si>
  <si>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</si>
  <si>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</si>
  <si>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</si>
  <si>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</si>
  <si>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</si>
  <si>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</si>
  <si>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</si>
  <si>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</si>
  <si>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</si>
  <si>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</si>
  <si>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</si>
  <si>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</si>
  <si>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</si>
  <si>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</si>
  <si>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</si>
  <si>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</si>
  <si>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</si>
  <si>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</si>
  <si>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</si>
  <si>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</si>
  <si>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</si>
  <si>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</si>
  <si>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</si>
  <si>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</si>
  <si>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</si>
  <si>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</si>
  <si>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</si>
  <si>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</si>
  <si>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</si>
  <si>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</si>
  <si>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</si>
  <si>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</si>
  <si>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</si>
  <si>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</si>
  <si>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</si>
  <si>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</si>
  <si>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</si>
  <si>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</si>
  <si>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</si>
  <si>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</si>
  <si>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</si>
  <si>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</si>
  <si>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</si>
  <si>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</si>
  <si>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</si>
  <si>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</si>
  <si>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</si>
  <si>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</si>
  <si>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</si>
  <si>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</si>
  <si>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</si>
  <si>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</si>
  <si>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</si>
  <si>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</si>
  <si>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</si>
  <si>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</si>
  <si>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</si>
  <si>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</si>
  <si>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</si>
  <si>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</si>
  <si>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</si>
  <si>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</si>
  <si>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</si>
  <si>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</si>
  <si>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</si>
  <si>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</si>
  <si>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</si>
  <si>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</si>
  <si>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</si>
  <si>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</si>
  <si>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</si>
  <si>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</si>
  <si>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</si>
  <si>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</si>
  <si>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</si>
  <si>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</si>
  <si>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</si>
  <si>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</si>
  <si>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</si>
  <si>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</si>
  <si>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</si>
  <si>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</si>
  <si>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</si>
  <si>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</si>
  <si>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</si>
  <si>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</si>
  <si>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</si>
  <si>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</si>
  <si>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</si>
  <si>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</si>
  <si>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</si>
  <si>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</si>
  <si>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</si>
  <si>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</si>
  <si>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</si>
  <si>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</si>
  <si>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</si>
  <si>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</si>
  <si>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</si>
  <si>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</si>
  <si>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</si>
  <si>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</si>
  <si>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</si>
  <si>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</si>
  <si>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</si>
  <si>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</si>
  <si>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</si>
  <si>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</si>
  <si>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</si>
  <si>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</si>
  <si>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</si>
  <si>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</si>
  <si>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</si>
  <si>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</si>
  <si>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</si>
  <si>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</si>
  <si>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</si>
  <si>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</si>
  <si>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</si>
  <si>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</si>
  <si>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</si>
  <si>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</si>
  <si>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</si>
  <si>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</si>
  <si>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</si>
  <si>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</si>
  <si>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</si>
  <si>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</si>
  <si>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</si>
  <si>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</si>
  <si>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</si>
  <si>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</si>
  <si>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</si>
  <si>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</si>
  <si>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</si>
  <si>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</si>
  <si>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</si>
  <si>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</si>
  <si>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</si>
  <si>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</si>
  <si>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</si>
  <si>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</si>
  <si>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</si>
  <si>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</si>
  <si>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</si>
  <si>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</si>
  <si>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</si>
  <si>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</si>
  <si>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</si>
  <si>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</si>
  <si>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</si>
  <si>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</si>
  <si>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</si>
  <si>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</si>
  <si>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</si>
  <si>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</si>
  <si>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</si>
  <si>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</si>
  <si>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</si>
  <si>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</si>
  <si>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</si>
  <si>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</si>
  <si>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</si>
  <si>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</si>
  <si>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</si>
  <si>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</si>
  <si>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</si>
  <si>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</si>
  <si>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</si>
  <si>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</si>
  <si>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</si>
  <si>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</si>
  <si>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</si>
  <si>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</si>
  <si>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</si>
  <si>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</si>
  <si>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</si>
  <si>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</si>
  <si>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</si>
  <si>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</si>
  <si>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</si>
  <si>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</si>
  <si>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</si>
  <si>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</si>
  <si>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</si>
  <si>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</si>
  <si>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</si>
  <si>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</si>
  <si>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</si>
  <si>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</si>
  <si>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</si>
  <si>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</si>
  <si>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</si>
  <si>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</si>
  <si>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</si>
  <si>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</si>
  <si>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</si>
  <si>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</si>
  <si>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</si>
  <si>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</si>
  <si>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</si>
  <si>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</si>
  <si>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</si>
  <si>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</si>
  <si>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</si>
  <si>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</si>
  <si>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</si>
  <si>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</si>
  <si>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</si>
  <si>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</si>
  <si>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</si>
  <si>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</si>
  <si>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</si>
  <si>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</si>
  <si>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</si>
  <si>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</si>
  <si>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</si>
  <si>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</si>
  <si>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</si>
  <si>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</si>
  <si>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</si>
  <si>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</si>
  <si>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</si>
  <si>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</si>
  <si>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</si>
  <si>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</si>
  <si>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</si>
  <si>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</si>
  <si>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</si>
  <si>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</si>
  <si>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</si>
  <si>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</si>
  <si>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</si>
  <si>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</si>
  <si>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</si>
  <si>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</si>
  <si>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</si>
  <si>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</si>
  <si>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</si>
  <si>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</si>
  <si>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</si>
  <si>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</si>
  <si>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</si>
  <si>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</si>
  <si>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</si>
  <si>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</si>
  <si>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</si>
  <si>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</si>
  <si>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</si>
  <si>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</si>
  <si>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</si>
  <si>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</si>
  <si>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</si>
  <si>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</si>
  <si>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</si>
  <si>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</si>
  <si>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</si>
  <si>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</si>
  <si>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</si>
  <si>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</si>
  <si>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</si>
  <si>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</si>
  <si>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</si>
  <si>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</si>
  <si>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</si>
  <si>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</si>
  <si>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</si>
  <si>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</si>
  <si>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</si>
  <si>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</si>
  <si>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</si>
  <si>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</si>
  <si>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</si>
  <si>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</si>
  <si>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</si>
  <si>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</si>
  <si>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</si>
  <si>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</si>
  <si>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</si>
  <si>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</si>
  <si>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</si>
  <si>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</si>
  <si>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</si>
  <si>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</si>
  <si>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</si>
  <si>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</si>
  <si>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</si>
  <si>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</si>
  <si>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</si>
  <si>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</si>
  <si>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</si>
  <si>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</si>
  <si>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</si>
  <si>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</si>
  <si>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</si>
  <si>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</si>
  <si>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</si>
  <si>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</si>
  <si>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</si>
  <si>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</si>
  <si>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</si>
  <si>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</si>
  <si>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</si>
  <si>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</si>
  <si>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</si>
  <si>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</si>
  <si>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</si>
  <si>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</si>
  <si>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</si>
  <si>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</si>
  <si>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</si>
  <si>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</si>
  <si>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</si>
  <si>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</si>
  <si>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</si>
  <si>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</si>
  <si>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</si>
  <si>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</si>
  <si>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</si>
  <si>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</si>
  <si>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</si>
  <si>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</si>
  <si>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</si>
  <si>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</si>
  <si>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</si>
  <si>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</si>
  <si>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</si>
  <si>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</si>
  <si>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</si>
  <si>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</si>
  <si>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</si>
  <si>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</si>
  <si>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</si>
  <si>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</si>
  <si>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</si>
  <si>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</si>
  <si>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</si>
  <si>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</si>
  <si>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</si>
  <si>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</si>
  <si>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</si>
  <si>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</si>
  <si>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</si>
  <si>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</si>
  <si>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</si>
  <si>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</si>
  <si>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</si>
  <si>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</si>
  <si>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</si>
  <si>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</si>
  <si>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</si>
  <si>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</si>
  <si>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</si>
  <si>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</si>
  <si>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</si>
  <si>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</si>
  <si>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</si>
  <si>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</si>
  <si>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</si>
  <si>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</si>
  <si>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</si>
  <si>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</si>
  <si>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</si>
  <si>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</si>
  <si>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</si>
  <si>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</si>
  <si>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</si>
  <si>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</si>
  <si>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</si>
  <si>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</si>
  <si>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</si>
  <si>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</si>
  <si>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</si>
  <si>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</si>
  <si>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</si>
  <si>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</si>
  <si>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</si>
  <si>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</si>
  <si>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</si>
  <si>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</si>
  <si>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</si>
  <si>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</si>
  <si>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</si>
  <si>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</si>
  <si>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</si>
  <si>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</si>
  <si>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</si>
  <si>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</si>
  <si>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</si>
  <si>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</si>
  <si>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</si>
  <si>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</si>
  <si>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</si>
  <si>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</si>
  <si>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</si>
  <si>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</si>
  <si>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</si>
  <si>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</si>
  <si>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</si>
  <si>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</si>
  <si>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</si>
  <si>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</si>
  <si>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</si>
  <si>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</si>
  <si>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</si>
  <si>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</si>
  <si>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</si>
  <si>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</si>
  <si>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</si>
  <si>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</si>
  <si>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</si>
  <si>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</si>
  <si>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</si>
  <si>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</si>
  <si>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</si>
  <si>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</si>
  <si>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</si>
  <si>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</si>
  <si>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</si>
  <si>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</si>
  <si>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</si>
  <si>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</si>
  <si>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</si>
  <si>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</si>
  <si>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</si>
  <si>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</si>
  <si>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</si>
  <si>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</si>
  <si>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</si>
  <si>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</si>
  <si>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</si>
  <si>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</si>
  <si>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</si>
  <si>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</si>
  <si>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</si>
  <si>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</si>
  <si>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</si>
  <si>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</si>
  <si>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</si>
  <si>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</si>
  <si>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</si>
  <si>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</si>
  <si>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</si>
  <si>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</si>
  <si>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</si>
  <si>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</si>
  <si>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</si>
  <si>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</si>
  <si>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</si>
  <si>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</si>
  <si>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</si>
  <si>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</si>
  <si>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</si>
  <si>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</si>
  <si>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</si>
  <si>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</si>
  <si>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</si>
  <si>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</si>
  <si>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</si>
  <si>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</si>
  <si>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</si>
  <si>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</si>
  <si>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</si>
  <si>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</si>
  <si>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</si>
  <si>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</si>
  <si>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</si>
  <si>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</si>
  <si>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</si>
  <si>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</si>
  <si>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</si>
  <si>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</si>
  <si>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</si>
  <si>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</si>
  <si>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</si>
  <si>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</si>
  <si>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</si>
  <si>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</si>
  <si>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</si>
  <si>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</si>
  <si>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</si>
  <si>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</si>
  <si>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</si>
  <si>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</si>
  <si>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</si>
  <si>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</si>
  <si>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</si>
  <si>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</si>
  <si>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</si>
  <si>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</si>
  <si>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</si>
  <si>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</si>
  <si>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</si>
  <si>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</si>
  <si>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</si>
  <si>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</si>
  <si>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</si>
  <si>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</si>
  <si>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</si>
  <si>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</si>
  <si>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</si>
  <si>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</si>
  <si>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</si>
  <si>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</si>
  <si>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</si>
  <si>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</si>
  <si>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</si>
  <si>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</si>
  <si>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</si>
  <si>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</si>
  <si>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</si>
  <si>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</si>
  <si>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</si>
  <si>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</si>
  <si>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</si>
  <si>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</si>
  <si>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</si>
  <si>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</si>
  <si>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</si>
  <si>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</si>
  <si>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</si>
  <si>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</si>
  <si>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</si>
  <si>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</si>
  <si>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</si>
  <si>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</si>
  <si>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</si>
  <si>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</si>
  <si>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</si>
  <si>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</si>
  <si>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</si>
  <si>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</si>
  <si>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</si>
  <si>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</si>
  <si>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</si>
  <si>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</si>
  <si>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</si>
  <si>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</si>
  <si>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</si>
  <si>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</si>
  <si>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</si>
  <si>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</si>
  <si>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</si>
  <si>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</si>
  <si>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</si>
  <si>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</si>
  <si>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</si>
  <si>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</si>
  <si>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</si>
  <si>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</si>
  <si>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</si>
  <si>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</si>
  <si>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</si>
  <si>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</si>
  <si>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</si>
  <si>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</si>
  <si>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</si>
  <si>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</si>
  <si>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</si>
  <si>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</si>
  <si>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</si>
  <si>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</si>
  <si>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</si>
  <si>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</si>
  <si>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</si>
  <si>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</si>
  <si>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</si>
  <si>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</si>
  <si>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</si>
  <si>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</si>
  <si>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</si>
  <si>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</si>
  <si>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</si>
  <si>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</si>
  <si>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</si>
  <si>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</si>
  <si>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</si>
  <si>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</si>
  <si>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</si>
  <si>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</si>
  <si>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</si>
  <si>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</si>
  <si>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</si>
  <si>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</si>
  <si>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</si>
  <si>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</si>
  <si>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</si>
  <si>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</si>
  <si>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</si>
  <si>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</si>
  <si>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</si>
  <si>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</si>
  <si>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</si>
  <si>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</si>
  <si>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</si>
  <si>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</si>
  <si>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</si>
  <si>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</si>
  <si>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</si>
  <si>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</si>
  <si>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</si>
  <si>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</si>
  <si>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</si>
  <si>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</si>
  <si>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</si>
  <si>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</si>
  <si>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</si>
  <si>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</si>
  <si>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</si>
  <si>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</si>
  <si>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</si>
  <si>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</si>
  <si>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</si>
  <si>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</si>
  <si>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</si>
  <si>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</si>
  <si>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</si>
  <si>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</si>
  <si>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</si>
  <si>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</si>
  <si>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</si>
  <si>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</si>
  <si>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</si>
  <si>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</si>
  <si>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</si>
  <si>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</si>
  <si>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</si>
  <si>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</si>
  <si>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</si>
  <si>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</si>
  <si>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</si>
  <si>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</si>
  <si>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</si>
  <si>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</si>
  <si>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</si>
  <si>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</si>
  <si>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</si>
  <si>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</si>
  <si>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</si>
  <si>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</si>
  <si>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</si>
  <si>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</si>
  <si>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</si>
  <si>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</si>
  <si>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</si>
  <si>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</si>
  <si>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</si>
  <si>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</si>
  <si>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</si>
  <si>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</si>
  <si>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</si>
  <si>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</si>
  <si>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</si>
  <si>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</si>
  <si>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</si>
  <si>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</si>
  <si>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</si>
  <si>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</si>
  <si>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</si>
  <si>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</si>
  <si>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</si>
  <si>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</si>
  <si>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</si>
  <si>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</si>
  <si>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</si>
  <si>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</si>
  <si>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</si>
  <si>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</si>
  <si>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</si>
  <si>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</si>
  <si>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</si>
  <si>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</si>
  <si>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</si>
  <si>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</si>
  <si>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</si>
  <si>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</si>
  <si>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</si>
  <si>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</si>
  <si>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</si>
  <si>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</si>
  <si>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</si>
  <si>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</si>
  <si>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</si>
  <si>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</si>
  <si>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</si>
  <si>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</si>
  <si>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</si>
  <si>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</si>
  <si>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</si>
  <si>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</si>
  <si>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</si>
  <si>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</si>
  <si>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</si>
  <si>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</si>
  <si>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</si>
  <si>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</si>
  <si>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</si>
  <si>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</si>
  <si>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</si>
  <si>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</si>
  <si>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</si>
  <si>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</si>
  <si>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</si>
  <si>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</si>
  <si>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</si>
  <si>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</si>
  <si>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</si>
  <si>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</si>
  <si>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</si>
  <si>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</si>
  <si>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</si>
  <si>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</si>
  <si>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</si>
  <si>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</si>
  <si>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</si>
  <si>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</si>
  <si>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</si>
  <si>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</si>
  <si>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</si>
  <si>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</si>
  <si>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</si>
  <si>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</si>
  <si>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</si>
  <si>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</si>
  <si>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</si>
  <si>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</si>
  <si>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</si>
  <si>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</si>
  <si>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</si>
  <si>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</si>
  <si>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</si>
  <si>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</si>
  <si>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</si>
  <si>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</si>
  <si>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</si>
  <si>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</si>
  <si>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</si>
  <si>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</si>
  <si>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</si>
  <si>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</si>
  <si>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</si>
  <si>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</si>
  <si>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</si>
  <si>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</si>
  <si>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</si>
  <si>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</si>
  <si>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</si>
  <si>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</si>
  <si>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</si>
  <si>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</si>
  <si>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</si>
  <si>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</si>
  <si>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</si>
  <si>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</si>
  <si>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</si>
  <si>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</si>
  <si>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</si>
  <si>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</si>
  <si>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</si>
  <si>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</si>
  <si>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</si>
  <si>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</si>
  <si>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</si>
  <si>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</si>
  <si>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</si>
  <si>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</si>
  <si>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</si>
  <si>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</si>
  <si>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</si>
  <si>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</si>
  <si>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</si>
  <si>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</si>
  <si>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</si>
  <si>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</si>
  <si>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</si>
  <si>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</si>
  <si>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</si>
  <si>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</si>
  <si>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</si>
  <si>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</si>
  <si>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</si>
  <si>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</si>
  <si>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</si>
  <si>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</si>
  <si>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</si>
  <si>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</si>
  <si>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</si>
  <si>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</si>
  <si>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</si>
  <si>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</si>
  <si>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</si>
  <si>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</si>
  <si>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</si>
  <si>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</si>
  <si>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</si>
  <si>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</si>
  <si>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</si>
  <si>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</si>
  <si>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</si>
  <si>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</si>
  <si>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</si>
  <si>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</si>
  <si>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</si>
  <si>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</si>
  <si>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</si>
  <si>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</si>
  <si>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</si>
  <si>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</si>
  <si>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</si>
  <si>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</si>
  <si>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</si>
  <si>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</si>
  <si>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</si>
  <si>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</si>
  <si>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</si>
  <si>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</si>
  <si>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</si>
  <si>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</si>
  <si>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</si>
  <si>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</si>
  <si>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</si>
  <si>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</si>
  <si>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</si>
  <si>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</si>
  <si>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</si>
  <si>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</si>
  <si>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</si>
  <si>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</si>
  <si>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</si>
  <si>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</si>
  <si>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</si>
  <si>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</si>
  <si>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</si>
  <si>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</si>
  <si>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</si>
  <si>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</si>
  <si>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</si>
  <si>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</si>
  <si>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</si>
  <si>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</si>
  <si>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</si>
  <si>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</si>
  <si>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</si>
  <si>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</si>
  <si>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</si>
  <si>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</si>
  <si>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</si>
  <si>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</si>
  <si>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</si>
  <si>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</si>
  <si>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</si>
  <si>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</si>
  <si>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</si>
  <si>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</si>
  <si>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</si>
  <si>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</si>
  <si>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</si>
  <si>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</si>
  <si>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</si>
  <si>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</si>
  <si>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</si>
  <si>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</si>
  <si>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</si>
  <si>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</si>
  <si>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</si>
  <si>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</si>
  <si>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</si>
  <si>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</si>
  <si>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</si>
  <si>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</si>
  <si>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</si>
  <si>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</si>
  <si>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</si>
  <si>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</si>
  <si>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</si>
  <si>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</si>
  <si>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</si>
  <si>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</si>
  <si>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</si>
  <si>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</si>
  <si>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</si>
  <si>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</si>
  <si>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</si>
  <si>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</si>
  <si>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</si>
  <si>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</si>
  <si>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</si>
  <si>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</si>
  <si>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</si>
  <si>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</si>
  <si>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</si>
  <si>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</si>
  <si>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</si>
  <si>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</si>
  <si>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</si>
  <si>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</si>
  <si>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</si>
  <si>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</si>
  <si>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</si>
  <si>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</si>
  <si>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</si>
  <si>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</si>
  <si>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</si>
  <si>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</si>
  <si>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</si>
  <si>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</si>
  <si>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</si>
  <si>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</si>
  <si>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</si>
  <si>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</si>
  <si>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</si>
  <si>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</si>
  <si>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</si>
  <si>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</si>
  <si>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</si>
  <si>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</si>
  <si>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</si>
  <si>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</si>
  <si>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</si>
  <si>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</si>
  <si>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</si>
  <si>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</si>
  <si>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</si>
  <si>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</si>
  <si>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</si>
  <si>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</si>
  <si>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</si>
  <si>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</si>
  <si>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</si>
  <si>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</si>
  <si>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</si>
  <si>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</si>
  <si>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</si>
  <si>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</si>
  <si>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</si>
  <si>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</si>
  <si>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</si>
  <si>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</si>
  <si>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</si>
  <si>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</si>
  <si>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</si>
  <si>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</si>
  <si>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</si>
  <si>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</si>
  <si>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</si>
  <si>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</si>
  <si>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</si>
  <si>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</si>
  <si>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</si>
  <si>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</si>
  <si>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</si>
  <si>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</si>
  <si>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</si>
  <si>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</si>
  <si>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</si>
  <si>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</si>
  <si>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</si>
  <si>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</si>
  <si>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</si>
  <si>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</si>
  <si>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</si>
  <si>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</si>
  <si>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</si>
  <si>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</si>
  <si>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</si>
  <si>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</si>
  <si>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</si>
  <si>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</si>
  <si>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</si>
  <si>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</si>
  <si>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</si>
  <si>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</si>
  <si>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</si>
  <si>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</si>
  <si>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</si>
  <si>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</si>
  <si>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</si>
  <si>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</si>
  <si>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</si>
  <si>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</si>
  <si>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</si>
  <si>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</si>
  <si>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</si>
  <si>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</si>
  <si>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</si>
  <si>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</si>
  <si>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</si>
  <si>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</si>
  <si>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</si>
  <si>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</si>
  <si>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</si>
  <si>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</si>
  <si>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</si>
  <si>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</si>
  <si>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</si>
  <si>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</si>
  <si>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</si>
  <si>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</si>
  <si>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</si>
  <si>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</si>
  <si>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</si>
  <si>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</si>
  <si>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</si>
  <si>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</si>
  <si>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</si>
  <si>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</si>
  <si>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</si>
  <si>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</si>
  <si>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</si>
  <si>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</si>
  <si>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</si>
  <si>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</si>
  <si>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</si>
  <si>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</si>
  <si>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</si>
  <si>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</si>
  <si>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</si>
  <si>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</si>
  <si>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</si>
  <si>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</si>
  <si>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</si>
  <si>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</si>
  <si>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</si>
  <si>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</si>
  <si>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</si>
  <si>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</si>
  <si>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</si>
  <si>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</si>
  <si>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</si>
  <si>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</si>
  <si>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</si>
  <si>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</si>
  <si>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</si>
  <si>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</si>
  <si>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</si>
  <si>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</si>
  <si>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</si>
  <si>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</si>
  <si>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</si>
  <si>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</si>
  <si>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</si>
  <si>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</si>
  <si>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</si>
  <si>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</si>
  <si>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</si>
  <si>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</si>
  <si>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</si>
  <si>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</si>
  <si>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</si>
  <si>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</si>
  <si>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</si>
  <si>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</si>
  <si>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</si>
  <si>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</si>
  <si>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</si>
  <si>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</si>
  <si>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</si>
  <si>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</si>
  <si>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</si>
  <si>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</si>
  <si>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</si>
  <si>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</si>
  <si>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</si>
  <si>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</si>
  <si>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</si>
  <si>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</si>
  <si>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</si>
  <si>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</si>
  <si>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</si>
  <si>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</si>
  <si>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</si>
  <si>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</si>
  <si>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</si>
  <si>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</si>
  <si>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</si>
  <si>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</si>
  <si>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</si>
  <si>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</si>
  <si>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</si>
  <si>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</si>
  <si>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</si>
  <si>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</si>
  <si>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</si>
  <si>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</si>
  <si>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</si>
  <si>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</si>
  <si>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</si>
  <si>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</si>
  <si>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</si>
  <si>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</si>
  <si>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</si>
  <si>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</si>
  <si>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</si>
  <si>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</si>
  <si>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</si>
  <si>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</si>
  <si>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</si>
  <si>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</si>
  <si>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</si>
  <si>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</si>
  <si>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</si>
  <si>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</si>
  <si>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</si>
  <si>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</si>
  <si>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</si>
  <si>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</si>
  <si>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</si>
  <si>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</si>
  <si>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</si>
  <si>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</si>
  <si>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</si>
  <si>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</si>
  <si>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</si>
  <si>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</si>
  <si>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</si>
  <si>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</si>
  <si>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</si>
  <si>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</si>
  <si>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</si>
  <si>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</si>
  <si>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</si>
  <si>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</si>
  <si>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</si>
  <si>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</si>
  <si>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</si>
  <si>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</si>
  <si>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</si>
  <si>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</si>
  <si>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</si>
  <si>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</si>
  <si>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</si>
  <si>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</si>
  <si>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</si>
  <si>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</si>
  <si>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</si>
  <si>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</si>
  <si>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</si>
  <si>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</si>
  <si>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</si>
  <si>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</si>
  <si>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</si>
  <si>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</si>
  <si>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</si>
  <si>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</si>
  <si>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</si>
  <si>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</si>
  <si>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</si>
  <si>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</si>
  <si>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</si>
  <si>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</si>
  <si>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</si>
  <si>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</si>
  <si>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</si>
  <si>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</si>
  <si>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</si>
  <si>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</si>
  <si>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</si>
  <si>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</si>
  <si>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</si>
  <si>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</si>
  <si>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</si>
  <si>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</si>
  <si>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</si>
  <si>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</si>
  <si>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</si>
  <si>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</si>
  <si>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</si>
  <si>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</si>
  <si>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</si>
  <si>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</si>
  <si>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</si>
  <si>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</si>
  <si>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</si>
  <si>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</si>
  <si>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</si>
  <si>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</si>
  <si>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</si>
  <si>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</si>
  <si>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</si>
  <si>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</si>
  <si>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</si>
  <si>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</si>
  <si>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</si>
  <si>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</si>
  <si>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</si>
  <si>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</si>
  <si>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</si>
  <si>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</si>
  <si>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</si>
  <si>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</si>
  <si>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</si>
  <si>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</si>
  <si>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</si>
  <si>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</si>
  <si>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</si>
  <si>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</si>
  <si>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</si>
  <si>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</si>
  <si>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</si>
  <si>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</si>
  <si>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</si>
  <si>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</si>
  <si>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</si>
  <si>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</si>
  <si>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</si>
  <si>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</si>
  <si>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</si>
  <si>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</si>
  <si>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</si>
  <si>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</si>
  <si>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</si>
  <si>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</si>
  <si>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</si>
  <si>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</si>
  <si>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</si>
  <si>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</si>
  <si>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</si>
  <si>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</si>
  <si>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</si>
  <si>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</si>
  <si>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</si>
  <si>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</si>
  <si>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</si>
  <si>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</si>
  <si>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</si>
  <si>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</si>
  <si>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</si>
  <si>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</si>
  <si>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</si>
  <si>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</si>
  <si>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</si>
  <si>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</si>
  <si>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</si>
  <si>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</si>
  <si>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</si>
  <si>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</si>
  <si>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</si>
  <si>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</si>
  <si>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</si>
  <si>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</si>
  <si>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</si>
  <si>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</si>
  <si>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</si>
  <si>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</si>
  <si>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</si>
  <si>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</si>
  <si>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</si>
  <si>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</si>
  <si>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</si>
  <si>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</si>
  <si>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</si>
  <si>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</si>
  <si>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</si>
  <si>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</si>
  <si>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</si>
  <si>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</si>
  <si>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</si>
  <si>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</si>
  <si>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</si>
  <si>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</si>
  <si>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</si>
  <si>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</si>
  <si>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</si>
  <si>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</si>
  <si>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</si>
  <si>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</si>
  <si>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</si>
  <si>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</si>
  <si>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</si>
  <si>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</si>
  <si>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</si>
  <si>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</si>
  <si>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</si>
  <si>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</si>
  <si>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</si>
  <si>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</si>
  <si>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</si>
  <si>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</si>
  <si>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</si>
  <si>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</si>
  <si>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</si>
  <si>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</si>
  <si>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</si>
  <si>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</si>
  <si>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</si>
  <si>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</si>
  <si>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</si>
  <si>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</si>
  <si>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</si>
  <si>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</si>
  <si>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</si>
  <si>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</si>
  <si>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</si>
  <si>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</si>
  <si>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</si>
  <si>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</si>
  <si>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</si>
  <si>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</si>
  <si>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</si>
  <si>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</si>
  <si>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</si>
  <si>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</si>
  <si>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</si>
  <si>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</si>
  <si>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</si>
  <si>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</si>
  <si>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</si>
  <si>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</si>
  <si>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</si>
  <si>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</si>
  <si>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</si>
  <si>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</si>
  <si>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</si>
  <si>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</si>
  <si>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</si>
  <si>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</si>
  <si>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</si>
  <si>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</si>
  <si>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</si>
  <si>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</si>
  <si>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</si>
  <si>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</si>
  <si>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</si>
  <si>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</si>
  <si>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</si>
  <si>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</si>
  <si>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</si>
  <si>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</si>
  <si>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</si>
  <si>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</si>
  <si>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</si>
  <si>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</si>
  <si>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</si>
  <si>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</si>
  <si>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</si>
  <si>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</si>
  <si>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</si>
  <si>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</si>
  <si>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</si>
  <si>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</si>
  <si>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</si>
  <si>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</si>
  <si>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</si>
  <si>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</si>
  <si>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</si>
  <si>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</si>
  <si>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</si>
  <si>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</si>
  <si>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</si>
  <si>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</si>
  <si>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</si>
  <si>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</si>
  <si>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</si>
  <si>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</si>
  <si>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</si>
  <si>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</si>
  <si>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</si>
  <si>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</si>
  <si>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</si>
  <si>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</si>
  <si>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</si>
  <si>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</si>
  <si>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</si>
  <si>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</si>
  <si>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</si>
  <si>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</si>
  <si>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</si>
  <si>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</si>
  <si>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</si>
  <si>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</si>
  <si>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</si>
  <si>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</si>
  <si>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</si>
  <si>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</si>
  <si>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</si>
  <si>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</si>
  <si>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</si>
  <si>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</si>
  <si>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</si>
  <si>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</si>
  <si>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</si>
  <si>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</si>
  <si>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</si>
  <si>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</si>
  <si>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</si>
  <si>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</si>
  <si>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</si>
  <si>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</si>
  <si>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</si>
  <si>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</si>
  <si>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</si>
  <si>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</si>
  <si>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</si>
  <si>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</si>
  <si>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</si>
  <si>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</si>
  <si>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</si>
  <si>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</si>
  <si>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</si>
  <si>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</si>
  <si>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</si>
  <si>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</si>
  <si>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</si>
  <si>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</si>
  <si>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</si>
  <si>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</si>
  <si>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</si>
  <si>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</si>
  <si>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</si>
  <si>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</si>
  <si>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</si>
  <si>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</si>
  <si>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</si>
  <si>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</si>
  <si>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</si>
  <si>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</si>
  <si>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</si>
  <si>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</si>
  <si>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</si>
  <si>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</si>
  <si>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</si>
  <si>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</si>
  <si>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</si>
  <si>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</si>
  <si>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</si>
  <si>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</si>
  <si>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</si>
  <si>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</si>
  <si>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</si>
  <si>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</si>
  <si>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</si>
  <si>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</si>
  <si>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</si>
  <si>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</si>
  <si>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</si>
  <si>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</si>
  <si>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</si>
  <si>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</si>
  <si>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</si>
  <si>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</si>
  <si>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</si>
  <si>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</si>
  <si>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</si>
  <si>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</si>
  <si>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</si>
  <si>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</si>
  <si>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</si>
  <si>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</si>
  <si>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</si>
  <si>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</si>
  <si>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</si>
  <si>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</si>
  <si>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</si>
  <si>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</si>
  <si>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</si>
  <si>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</si>
  <si>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</si>
  <si>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</si>
  <si>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</si>
  <si>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</si>
  <si>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</si>
  <si>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</si>
  <si>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</si>
  <si>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</si>
  <si>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</si>
  <si>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</si>
  <si>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</si>
  <si>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</si>
  <si>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</si>
  <si>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</si>
  <si>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</si>
  <si>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</si>
  <si>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</si>
  <si>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</si>
  <si>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</si>
  <si>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</si>
  <si>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</si>
  <si>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</si>
  <si>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</si>
  <si>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</si>
  <si>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</si>
  <si>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</si>
  <si>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</si>
  <si>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</si>
  <si>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</si>
  <si>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</si>
  <si>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</si>
  <si>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</si>
  <si>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</si>
  <si>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</si>
  <si>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</si>
  <si>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</si>
  <si>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</si>
  <si>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</si>
  <si>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</si>
  <si>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</si>
  <si>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</si>
  <si>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</si>
  <si>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</si>
  <si>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</si>
  <si>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</si>
  <si>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</si>
  <si>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</si>
  <si>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</si>
  <si>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</si>
  <si>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</si>
  <si>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</si>
  <si>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</si>
  <si>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</si>
  <si>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</si>
  <si>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</si>
  <si>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</si>
  <si>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</si>
  <si>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</si>
  <si>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</si>
  <si>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</si>
  <si>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</si>
  <si>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</si>
  <si>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</si>
  <si>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</si>
  <si>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</si>
  <si>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</si>
  <si>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</si>
  <si>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</si>
  <si>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</si>
  <si>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</si>
  <si>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</si>
  <si>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</si>
  <si>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</si>
  <si>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</si>
  <si>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</si>
  <si>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</si>
  <si>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</si>
  <si>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</si>
  <si>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</si>
  <si>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</si>
  <si>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</si>
  <si>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</si>
  <si>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</si>
  <si>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</si>
  <si>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</si>
  <si>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</si>
  <si>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</si>
  <si>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</si>
  <si>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</si>
  <si>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</si>
  <si>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</si>
  <si>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</si>
  <si>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</si>
  <si>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</si>
  <si>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</si>
  <si>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</si>
  <si>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</si>
  <si>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</si>
  <si>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</si>
  <si>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</si>
  <si>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</si>
  <si>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</si>
  <si>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</si>
  <si>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</si>
  <si>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</si>
  <si>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</si>
  <si>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</si>
  <si>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</si>
  <si>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</si>
  <si>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</si>
  <si>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</si>
  <si>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</si>
  <si>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</si>
  <si>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</si>
  <si>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</si>
  <si>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</si>
  <si>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</si>
  <si>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</si>
  <si>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</si>
  <si>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</si>
  <si>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</si>
  <si>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</si>
  <si>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</si>
  <si>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</si>
  <si>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</si>
  <si>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</si>
  <si>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</si>
  <si>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</si>
  <si>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</si>
  <si>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</si>
  <si>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</si>
  <si>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</si>
  <si>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</si>
  <si>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</si>
  <si>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</si>
  <si>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</si>
  <si>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</si>
  <si>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</si>
  <si>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</si>
  <si>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</si>
  <si>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</si>
  <si>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</si>
  <si>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</si>
  <si>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</si>
  <si>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</si>
  <si>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</si>
  <si>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</si>
  <si>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</si>
  <si>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</si>
  <si>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</si>
  <si>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</si>
  <si>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</si>
  <si>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</si>
  <si>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</si>
  <si>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</si>
  <si>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</si>
  <si>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</si>
  <si>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</si>
  <si>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</si>
  <si>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</si>
  <si>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</si>
  <si>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</si>
  <si>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</si>
  <si>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</si>
  <si>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</si>
  <si>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</si>
  <si>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</si>
  <si>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</si>
  <si>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</si>
  <si>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</si>
  <si>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</si>
  <si>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</si>
  <si>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</si>
  <si>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</si>
  <si>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</si>
  <si>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</si>
  <si>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</si>
  <si>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</si>
  <si>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</si>
  <si>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</si>
  <si>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</si>
  <si>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</si>
  <si>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</si>
  <si>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</si>
  <si>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</si>
  <si>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</si>
  <si>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</si>
  <si>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</si>
  <si>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</si>
  <si>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</si>
  <si>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</si>
  <si>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</si>
  <si>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</si>
  <si>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</si>
  <si>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</si>
  <si>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</si>
  <si>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</si>
  <si>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</si>
  <si>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</si>
  <si>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</si>
  <si>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</si>
  <si>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</si>
  <si>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</si>
  <si>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</si>
  <si>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</si>
  <si>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</si>
  <si>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</si>
  <si>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</si>
  <si>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</si>
  <si>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</si>
  <si>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</si>
  <si>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</si>
  <si>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</si>
  <si>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</si>
  <si>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</si>
  <si>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</si>
  <si>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</si>
  <si>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</si>
  <si>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</si>
  <si>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</si>
  <si>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</si>
  <si>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</si>
  <si>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</si>
  <si>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</si>
  <si>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</si>
  <si>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</si>
  <si>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</si>
  <si>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</si>
  <si>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</si>
  <si>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</si>
  <si>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</si>
  <si>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</si>
  <si>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</si>
  <si>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</si>
  <si>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</si>
  <si>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</si>
  <si>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</si>
  <si>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</si>
  <si>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</si>
  <si>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</si>
  <si>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</si>
  <si>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</si>
  <si>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</si>
  <si>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</si>
  <si>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</si>
  <si>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</si>
  <si>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</si>
  <si>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</si>
  <si>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</si>
  <si>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</si>
  <si>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</si>
  <si>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</si>
  <si>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</si>
  <si>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</si>
  <si>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</si>
  <si>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</si>
  <si>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</si>
  <si>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</si>
  <si>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</si>
  <si>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</si>
  <si>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</si>
  <si>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</si>
  <si>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</si>
  <si>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</si>
  <si>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</si>
  <si>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</si>
  <si>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</si>
  <si>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</si>
  <si>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</si>
  <si>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</si>
  <si>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</si>
  <si>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</si>
  <si>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</si>
  <si>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</si>
  <si>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</si>
  <si>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</si>
  <si>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</si>
  <si>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</si>
  <si>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</si>
  <si>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</si>
  <si>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</si>
  <si>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</si>
  <si>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</si>
  <si>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</si>
  <si>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</si>
  <si>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</si>
  <si>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</si>
  <si>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</si>
  <si>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</si>
  <si>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</si>
  <si>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</si>
  <si>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</si>
  <si>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</si>
  <si>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</si>
  <si>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</si>
  <si>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</si>
  <si>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</si>
  <si>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</si>
  <si>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</si>
  <si>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</si>
  <si>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</si>
  <si>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</si>
  <si>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</si>
  <si>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</si>
  <si>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</si>
  <si>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</si>
  <si>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</si>
  <si>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</si>
  <si>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</si>
  <si>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</si>
  <si>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</si>
  <si>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</si>
  <si>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</si>
  <si>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</si>
  <si>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</si>
  <si>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</si>
  <si>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</si>
  <si>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</si>
  <si>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</si>
  <si>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</si>
  <si>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</si>
  <si>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</si>
  <si>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</si>
  <si>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</si>
  <si>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</si>
  <si>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</si>
  <si>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</si>
  <si>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</si>
  <si>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</si>
  <si>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</si>
  <si>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</si>
  <si>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</si>
  <si>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</si>
  <si>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</si>
  <si>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</si>
  <si>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</si>
  <si>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</si>
  <si>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</si>
  <si>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</si>
  <si>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</si>
  <si>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</si>
  <si>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</si>
  <si>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</si>
  <si>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</si>
  <si>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</si>
  <si>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</si>
  <si>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</si>
  <si>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</si>
  <si>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</si>
  <si>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</si>
  <si>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</si>
  <si>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</si>
  <si>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</si>
  <si>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</si>
  <si>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</si>
  <si>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</si>
  <si>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</si>
  <si>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</si>
  <si>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</si>
  <si>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</si>
  <si>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</si>
  <si>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</si>
  <si>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</si>
  <si>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</si>
  <si>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</si>
  <si>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</si>
  <si>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</si>
  <si>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</si>
  <si>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</si>
  <si>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</si>
  <si>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</si>
  <si>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</si>
  <si>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</si>
  <si>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</si>
  <si>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</si>
  <si>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</si>
  <si>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</si>
  <si>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</si>
  <si>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</si>
  <si>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</si>
  <si>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</si>
  <si>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</si>
  <si>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</si>
  <si>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</si>
  <si>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</si>
  <si>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</si>
  <si>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</si>
  <si>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</si>
  <si>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</si>
  <si>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</si>
  <si>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</si>
  <si>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</si>
  <si>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</si>
  <si>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</si>
  <si>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</si>
  <si>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</si>
  <si>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</si>
  <si>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</si>
  <si>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</si>
  <si>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</si>
  <si>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</si>
  <si>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</si>
  <si>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</si>
  <si>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</si>
  <si>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</si>
  <si>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</si>
  <si>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</si>
  <si>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</si>
  <si>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</si>
  <si>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</si>
  <si>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</si>
  <si>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</si>
  <si>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</si>
  <si>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</si>
  <si>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</si>
  <si>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</si>
  <si>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</si>
  <si>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</si>
  <si>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</si>
  <si>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</si>
  <si>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</si>
  <si>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</si>
  <si>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</si>
  <si>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</si>
  <si>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</si>
  <si>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</si>
  <si>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</si>
  <si>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</si>
  <si>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</si>
  <si>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</si>
  <si>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</si>
  <si>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</si>
  <si>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</si>
  <si>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</si>
  <si>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</si>
  <si>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</si>
  <si>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</si>
  <si>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</si>
  <si>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</si>
  <si>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</si>
  <si>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</si>
  <si>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</si>
  <si>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</si>
  <si>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</si>
  <si>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</si>
  <si>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</si>
  <si>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</si>
  <si>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</si>
  <si>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</si>
  <si>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</si>
  <si>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</si>
  <si>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</si>
  <si>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</si>
  <si>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</si>
  <si>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</si>
  <si>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</si>
  <si>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</si>
  <si>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</si>
  <si>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</si>
  <si>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</si>
  <si>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</si>
  <si>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</si>
  <si>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</si>
  <si>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</si>
  <si>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</si>
  <si>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</si>
  <si>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</si>
  <si>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</si>
  <si>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</si>
  <si>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</si>
  <si>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</si>
  <si>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</si>
  <si>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</si>
  <si>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</si>
  <si>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</si>
  <si>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</si>
  <si>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</si>
  <si>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</si>
  <si>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</si>
  <si>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</si>
  <si>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</si>
  <si>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</si>
  <si>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</si>
  <si>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</si>
  <si>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</si>
  <si>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</si>
  <si>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</si>
  <si>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</si>
  <si>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</si>
  <si>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</si>
  <si>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</si>
  <si>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</si>
  <si>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</si>
  <si>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</si>
  <si>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</si>
  <si>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</si>
  <si>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</si>
  <si>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</si>
  <si>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</si>
  <si>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</si>
  <si>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</si>
  <si>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</si>
  <si>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</si>
  <si>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</si>
  <si>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</si>
  <si>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</si>
  <si>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</si>
  <si>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</si>
  <si>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</si>
  <si>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</si>
  <si>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</si>
  <si>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</si>
  <si>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</si>
  <si>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</si>
  <si>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</si>
  <si>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</si>
  <si>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</si>
  <si>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</si>
  <si>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</si>
  <si>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</si>
  <si>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</si>
  <si>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</si>
  <si>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</si>
  <si>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</si>
  <si>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</si>
  <si>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</si>
  <si>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</si>
  <si>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</si>
  <si>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</si>
  <si>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</si>
  <si>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</si>
  <si>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</si>
  <si>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</si>
  <si>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</si>
  <si>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</si>
  <si>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</si>
  <si>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</si>
  <si>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</si>
  <si>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</si>
  <si>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</si>
  <si>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</si>
  <si>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</si>
  <si>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</si>
  <si>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</si>
  <si>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</si>
  <si>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</si>
  <si>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</si>
  <si>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</si>
  <si>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</si>
  <si>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</si>
  <si>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</si>
  <si>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</si>
  <si>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</si>
  <si>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</si>
  <si>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</si>
  <si>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</si>
  <si>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</si>
  <si>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</si>
  <si>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</si>
  <si>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</si>
  <si>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</si>
  <si>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</si>
  <si>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</si>
  <si>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</si>
  <si>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</si>
  <si>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</si>
  <si>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</si>
  <si>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</si>
  <si>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</si>
  <si>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</si>
  <si>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</si>
  <si>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</si>
  <si>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</si>
  <si>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</si>
  <si>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</si>
  <si>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</si>
  <si>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</si>
  <si>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</si>
  <si>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</si>
  <si>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</si>
  <si>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</si>
  <si>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</si>
  <si>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</si>
  <si>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</si>
  <si>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</si>
  <si>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</si>
  <si>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</si>
  <si>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</si>
  <si>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</si>
  <si>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</si>
  <si>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</si>
  <si>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</si>
  <si>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</si>
  <si>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</si>
  <si>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</si>
  <si>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</si>
  <si>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</si>
  <si>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</si>
  <si>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</si>
  <si>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</si>
  <si>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</si>
  <si>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</si>
  <si>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</si>
  <si>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</si>
  <si>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</si>
  <si>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</si>
  <si>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</si>
  <si>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</si>
  <si>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</si>
  <si>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</si>
  <si>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</si>
  <si>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</si>
  <si>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</si>
  <si>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</si>
  <si>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</si>
  <si>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</si>
  <si>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</si>
  <si>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</si>
  <si>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</si>
  <si>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</si>
  <si>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</si>
  <si>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</si>
  <si>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</si>
  <si>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</si>
  <si>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</si>
  <si>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</si>
  <si>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</si>
  <si>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</si>
  <si>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</si>
  <si>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</si>
  <si>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</si>
  <si>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</si>
  <si>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</si>
  <si>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</si>
  <si>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</si>
  <si>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</si>
  <si>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</si>
  <si>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</si>
  <si>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</si>
  <si>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</si>
  <si>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</si>
  <si>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</si>
  <si>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</si>
  <si>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</si>
  <si>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</si>
  <si>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</si>
  <si>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</si>
  <si>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</si>
  <si>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</si>
  <si>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</si>
  <si>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</si>
  <si>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</si>
  <si>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</si>
  <si>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</si>
  <si>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</si>
  <si>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</si>
  <si>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</si>
  <si>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</si>
  <si>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</si>
  <si>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</si>
  <si>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</si>
  <si>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</si>
  <si>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</si>
  <si>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</si>
  <si>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</si>
  <si>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</si>
  <si>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</si>
  <si>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</si>
  <si>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</si>
  <si>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</si>
  <si>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</si>
  <si>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</si>
  <si>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</si>
  <si>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</si>
  <si>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</si>
  <si>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</si>
  <si>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</si>
  <si>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</si>
  <si>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</si>
  <si>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</si>
  <si>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</si>
  <si>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</si>
  <si>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</si>
  <si>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</si>
  <si>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</si>
  <si>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</si>
  <si>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</si>
  <si>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</si>
  <si>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</si>
  <si>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</si>
  <si>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</si>
  <si>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</si>
  <si>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</si>
  <si>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</si>
  <si>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</si>
  <si>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</si>
  <si>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</si>
  <si>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</si>
  <si>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</si>
  <si>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</si>
  <si>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</si>
  <si>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</si>
  <si>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</si>
  <si>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</si>
  <si>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</si>
  <si>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</si>
  <si>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</si>
  <si>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</si>
  <si>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</si>
  <si>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</si>
  <si>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</si>
  <si>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</si>
  <si>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</si>
  <si>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</si>
  <si>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</si>
  <si>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</si>
  <si>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</si>
  <si>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</si>
  <si>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</si>
  <si>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</si>
  <si>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</si>
  <si>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</si>
  <si>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</si>
  <si>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</si>
  <si>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</si>
  <si>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</si>
  <si>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</si>
  <si>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</si>
  <si>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</si>
  <si>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</si>
  <si>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</si>
  <si>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</si>
  <si>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</si>
  <si>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</si>
  <si>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</si>
  <si>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</si>
  <si>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</si>
  <si>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</si>
  <si>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</si>
  <si>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</si>
  <si>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</si>
  <si>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</si>
  <si>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</si>
  <si>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</si>
  <si>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</si>
  <si>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</si>
  <si>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</si>
  <si>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</si>
  <si>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</si>
  <si>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</si>
  <si>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</si>
  <si>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</si>
  <si>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</si>
  <si>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</si>
  <si>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</si>
  <si>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</si>
  <si>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</si>
  <si>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</si>
  <si>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</si>
  <si>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</si>
  <si>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</si>
  <si>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</si>
  <si>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</si>
  <si>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</si>
  <si>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</si>
  <si>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</si>
  <si>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</si>
  <si>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</si>
  <si>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</si>
  <si>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</si>
  <si>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</si>
  <si>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</si>
  <si>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</si>
  <si>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</si>
  <si>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</si>
  <si>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</si>
  <si>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</si>
  <si>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</si>
  <si>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</si>
  <si>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</si>
  <si>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</si>
  <si>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</si>
  <si>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</si>
  <si>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</si>
  <si>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</si>
  <si>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</si>
  <si>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</si>
  <si>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</si>
  <si>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</si>
  <si>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</si>
  <si>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</si>
  <si>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</si>
  <si>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</si>
  <si>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</si>
  <si>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</si>
  <si>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</si>
  <si>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</si>
  <si>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</si>
  <si>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</si>
  <si>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</si>
  <si>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</si>
  <si>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</si>
  <si>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</si>
  <si>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</si>
  <si>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</si>
  <si>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</si>
  <si>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</si>
  <si>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</si>
  <si>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</si>
  <si>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</si>
  <si>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</si>
  <si>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</si>
  <si>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</si>
  <si>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</si>
  <si>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</si>
  <si>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</si>
  <si>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</si>
  <si>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</si>
  <si>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</si>
  <si>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</si>
  <si>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</si>
  <si>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</si>
  <si>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</si>
  <si>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</si>
  <si>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</si>
  <si>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</si>
  <si>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</si>
  <si>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</si>
  <si>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</si>
  <si>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</si>
  <si>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</si>
  <si>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</si>
  <si>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</si>
  <si>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</si>
  <si>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</si>
  <si>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</si>
  <si>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</si>
  <si>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</si>
  <si>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</si>
  <si>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</si>
  <si>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</si>
  <si>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</si>
  <si>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</si>
  <si>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</si>
  <si>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</si>
  <si>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</si>
  <si>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</si>
  <si>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</si>
  <si>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</si>
  <si>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</si>
  <si>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</si>
  <si>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</si>
  <si>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</si>
  <si>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</si>
  <si>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</si>
  <si>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</si>
  <si>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</si>
  <si>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</si>
  <si>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</si>
  <si>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</si>
  <si>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</si>
  <si>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</si>
  <si>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</si>
  <si>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</si>
  <si>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</si>
  <si>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</si>
  <si>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</si>
  <si>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</si>
  <si>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</si>
  <si>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</si>
  <si>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</si>
  <si>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</si>
  <si>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</si>
  <si>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</si>
  <si>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</si>
  <si>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</si>
  <si>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</si>
  <si>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</si>
  <si>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</si>
  <si>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</si>
  <si>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</si>
  <si>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</si>
  <si>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</si>
  <si>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</si>
  <si>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</si>
  <si>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</si>
  <si>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</si>
  <si>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</si>
  <si>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</si>
  <si>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</si>
  <si>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</si>
  <si>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</si>
  <si>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</si>
  <si>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</si>
  <si>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</si>
  <si>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</si>
  <si>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</si>
  <si>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</si>
  <si>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</si>
  <si>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</si>
  <si>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</si>
  <si>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</si>
  <si>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</si>
  <si>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</si>
  <si>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</si>
  <si>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</si>
  <si>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</si>
  <si>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</si>
  <si>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</si>
  <si>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</si>
  <si>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</si>
  <si>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</si>
  <si>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</si>
  <si>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</si>
  <si>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</si>
  <si>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</si>
  <si>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</si>
  <si>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</si>
  <si>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</si>
  <si>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</si>
  <si>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</si>
  <si>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</si>
  <si>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</si>
  <si>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</si>
  <si>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</si>
  <si>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</si>
  <si>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</si>
  <si>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</si>
  <si>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</si>
  <si>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</si>
  <si>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</si>
  <si>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</si>
  <si>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</si>
  <si>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</si>
  <si>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</si>
  <si>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</si>
  <si>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</si>
  <si>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</si>
  <si>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</si>
  <si>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</si>
  <si>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</si>
  <si>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</si>
  <si>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</si>
  <si>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</si>
  <si>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</si>
  <si>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</si>
  <si>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</si>
  <si>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</si>
  <si>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</si>
  <si>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</si>
  <si>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</si>
  <si>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</si>
  <si>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</si>
  <si>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</si>
  <si>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</si>
  <si>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</si>
  <si>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</si>
  <si>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</si>
  <si>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</si>
  <si>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</si>
  <si>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</si>
  <si>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</si>
  <si>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</si>
  <si>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</si>
  <si>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</si>
  <si>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</si>
  <si>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</si>
  <si>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</si>
  <si>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</si>
  <si>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</si>
  <si>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</si>
  <si>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</si>
  <si>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</si>
  <si>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</si>
  <si>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</si>
  <si>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</si>
  <si>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</si>
  <si>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</si>
  <si>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</si>
  <si>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</si>
  <si>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</si>
  <si>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</si>
  <si>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</si>
  <si>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</si>
  <si>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</si>
  <si>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</si>
  <si>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</si>
  <si>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</si>
  <si>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</si>
  <si>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</si>
  <si>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</si>
  <si>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</si>
  <si>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</si>
  <si>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</si>
  <si>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</si>
  <si>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</si>
  <si>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</si>
  <si>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</si>
  <si>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</si>
  <si>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</si>
  <si>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</si>
  <si>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</si>
  <si>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</si>
  <si>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</si>
  <si>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</si>
  <si>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</si>
  <si>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</si>
  <si>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</si>
  <si>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</si>
  <si>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</si>
  <si>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</si>
  <si>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</si>
  <si>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</si>
  <si>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</si>
  <si>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</si>
  <si>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</si>
  <si>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</si>
  <si>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</si>
  <si>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</si>
  <si>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</si>
  <si>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</si>
  <si>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</si>
  <si>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</si>
  <si>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</si>
  <si>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</si>
  <si>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</si>
  <si>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</si>
  <si>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</si>
  <si>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</si>
  <si>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</si>
  <si>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</si>
  <si>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</si>
  <si>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</si>
  <si>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</si>
  <si>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</si>
  <si>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</si>
  <si>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</si>
  <si>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</si>
  <si>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</si>
  <si>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</si>
  <si>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</si>
  <si>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</si>
  <si>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</si>
  <si>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</si>
  <si>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</si>
  <si>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</si>
  <si>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</si>
  <si>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</si>
  <si>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</si>
  <si>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</si>
  <si>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</si>
  <si>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</si>
  <si>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</si>
  <si>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</si>
  <si>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</si>
  <si>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</si>
  <si>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</si>
  <si>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</si>
  <si>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</si>
  <si>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</si>
  <si>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</si>
  <si>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</si>
  <si>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</si>
  <si>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</si>
  <si>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</si>
  <si>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</si>
  <si>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</si>
  <si>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</si>
  <si>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</si>
  <si>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</si>
  <si>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</si>
  <si>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</si>
  <si>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</si>
  <si>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</si>
  <si>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</si>
  <si>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</si>
  <si>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</si>
  <si>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</si>
  <si>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</si>
  <si>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</si>
  <si>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</si>
  <si>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</si>
  <si>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</si>
  <si>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</si>
  <si>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</si>
  <si>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</si>
  <si>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</si>
  <si>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</si>
  <si>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</si>
  <si>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</si>
  <si>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</si>
  <si>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</si>
  <si>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</si>
  <si>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</si>
  <si>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</si>
  <si>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</si>
  <si>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</si>
  <si>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</si>
  <si>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</si>
  <si>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</si>
  <si>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</si>
  <si>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</si>
  <si>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</si>
  <si>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</si>
  <si>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</si>
  <si>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</si>
  <si>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</si>
  <si>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</si>
  <si>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</si>
  <si>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</si>
  <si>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</si>
  <si>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</si>
  <si>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</si>
  <si>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</si>
  <si>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</si>
  <si>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</si>
  <si>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</si>
  <si>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</si>
  <si>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</si>
  <si>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</si>
  <si>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</si>
  <si>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</si>
  <si>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</si>
  <si>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</si>
  <si>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</si>
  <si>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</si>
  <si>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</si>
  <si>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</si>
  <si>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</si>
  <si>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</si>
  <si>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</si>
  <si>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</si>
  <si>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</si>
  <si>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</si>
  <si>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</si>
  <si>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</si>
  <si>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</si>
  <si>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</si>
  <si>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</si>
  <si>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</si>
  <si>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</si>
  <si>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</si>
  <si>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</si>
  <si>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</si>
  <si>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</si>
  <si>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</si>
  <si>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</si>
  <si>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</si>
  <si>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</si>
  <si>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</si>
  <si>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</si>
  <si>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</si>
  <si>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</si>
  <si>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</si>
  <si>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</si>
  <si>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</si>
  <si>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</si>
  <si>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</si>
  <si>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</si>
  <si>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</si>
  <si>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</si>
  <si>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</si>
  <si>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</si>
  <si>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</si>
  <si>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</si>
  <si>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</si>
  <si>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</si>
  <si>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</si>
  <si>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</si>
  <si>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</si>
  <si>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</si>
  <si>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</si>
  <si>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</si>
  <si>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</si>
  <si>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</si>
  <si>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</si>
  <si>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</si>
  <si>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</si>
  <si>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</si>
  <si>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</si>
  <si>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</si>
  <si>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</si>
  <si>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</si>
  <si>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</si>
  <si>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</si>
  <si>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</si>
  <si>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</si>
  <si>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</si>
  <si>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</si>
  <si>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</si>
  <si>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</si>
  <si>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</si>
  <si>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</si>
  <si>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</si>
  <si>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</si>
  <si>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</si>
  <si>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</si>
  <si>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</si>
  <si>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</si>
  <si>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</si>
  <si>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</si>
  <si>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</si>
  <si>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</si>
  <si>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</si>
  <si>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</si>
  <si>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</si>
  <si>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</si>
  <si>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</si>
  <si>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</si>
  <si>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</si>
  <si>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</si>
  <si>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</si>
  <si>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</si>
  <si>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</si>
  <si>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</si>
  <si>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</si>
  <si>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</si>
  <si>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</si>
  <si>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</si>
  <si>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</si>
  <si>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</si>
  <si>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</si>
  <si>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</si>
  <si>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</si>
  <si>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</si>
  <si>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</si>
  <si>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</si>
  <si>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</si>
  <si>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</si>
  <si>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</si>
  <si>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</si>
  <si>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</si>
  <si>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</si>
  <si>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</si>
  <si>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</si>
  <si>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</si>
  <si>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</si>
  <si>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</si>
  <si>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</si>
  <si>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</si>
  <si>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</si>
  <si>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</si>
  <si>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</si>
  <si>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</si>
  <si>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</si>
  <si>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</si>
  <si>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</si>
  <si>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</si>
  <si>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</si>
  <si>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</si>
  <si>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</si>
  <si>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</si>
  <si>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</si>
  <si>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</si>
  <si>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</si>
  <si>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</si>
  <si>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</si>
  <si>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</si>
  <si>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</si>
  <si>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</si>
  <si>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</si>
  <si>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</si>
  <si>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</si>
  <si>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</si>
  <si>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</si>
  <si>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</si>
  <si>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</si>
  <si>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</si>
  <si>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</si>
  <si>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</si>
  <si>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</si>
  <si>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</si>
  <si>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</si>
  <si>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</si>
  <si>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</si>
  <si>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</si>
  <si>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</si>
  <si>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</si>
  <si>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</si>
  <si>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</si>
  <si>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</si>
  <si>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</si>
  <si>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</si>
  <si>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</si>
  <si>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</si>
  <si>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</si>
  <si>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</si>
  <si>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</si>
  <si>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</si>
  <si>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</si>
  <si>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</si>
  <si>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</si>
  <si>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</si>
  <si>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</si>
  <si>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</si>
  <si>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</si>
  <si>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</si>
  <si>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</si>
  <si>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</si>
  <si>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</si>
  <si>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</si>
  <si>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</si>
  <si>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</si>
  <si>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</si>
  <si>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</si>
  <si>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</si>
  <si>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</si>
  <si>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</si>
  <si>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</si>
  <si>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</si>
  <si>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</si>
  <si>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</si>
  <si>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</si>
  <si>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</si>
  <si>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</si>
  <si>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</si>
  <si>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</si>
  <si>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</si>
  <si>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</si>
  <si>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</si>
  <si>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</si>
  <si>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</si>
  <si>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</si>
  <si>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</si>
  <si>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</si>
  <si>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</si>
  <si>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</si>
  <si>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</si>
  <si>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</si>
  <si>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</si>
  <si>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</si>
  <si>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</si>
  <si>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</si>
  <si>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</si>
  <si>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</si>
  <si>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</si>
  <si>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</si>
  <si>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</si>
  <si>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</si>
  <si>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</si>
  <si>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</si>
  <si>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</si>
  <si>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</si>
  <si>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</si>
  <si>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</si>
  <si>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</si>
  <si>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</si>
  <si>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</si>
  <si>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</si>
  <si>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</si>
  <si>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</si>
  <si>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</si>
  <si>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</si>
  <si>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</si>
  <si>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</si>
  <si>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</si>
  <si>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</si>
  <si>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</si>
  <si>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</si>
  <si>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</si>
  <si>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</si>
  <si>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</si>
  <si>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</si>
  <si>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</si>
  <si>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</si>
  <si>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</si>
  <si>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</si>
  <si>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</si>
  <si>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</si>
  <si>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</si>
  <si>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</si>
  <si>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</si>
  <si>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</si>
  <si>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</si>
  <si>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</si>
  <si>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</si>
  <si>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</si>
  <si>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</si>
  <si>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</si>
  <si>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</si>
  <si>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</si>
  <si>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</si>
  <si>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</si>
  <si>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</si>
  <si>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</si>
  <si>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</si>
  <si>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</si>
  <si>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</si>
  <si>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</si>
  <si>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</si>
  <si>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</si>
  <si>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</si>
  <si>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</si>
  <si>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</si>
  <si>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</si>
  <si>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</si>
  <si>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</si>
  <si>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</si>
  <si>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</si>
  <si>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</si>
  <si>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</si>
  <si>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</si>
  <si>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</si>
  <si>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</si>
  <si>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</si>
  <si>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</si>
  <si>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</si>
  <si>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</si>
  <si>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</si>
  <si>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</si>
  <si>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</si>
  <si>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</si>
  <si>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</si>
  <si>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</si>
  <si>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</si>
  <si>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</si>
  <si>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</si>
  <si>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</si>
  <si>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</si>
  <si>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</si>
  <si>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</si>
  <si>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</si>
  <si>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</si>
  <si>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</si>
  <si>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</si>
  <si>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</si>
  <si>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</si>
  <si>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</si>
  <si>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</si>
  <si>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</si>
  <si>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</si>
  <si>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</si>
  <si>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</si>
  <si>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</si>
  <si>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</si>
  <si>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</si>
  <si>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</si>
  <si>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</si>
  <si>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</si>
  <si>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</si>
  <si>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</si>
  <si>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</si>
  <si>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</si>
  <si>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</si>
  <si>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</si>
  <si>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</si>
  <si>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</si>
  <si>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</si>
  <si>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</si>
  <si>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</si>
  <si>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</si>
  <si>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</si>
  <si>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</si>
  <si>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</si>
  <si>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</si>
  <si>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</si>
  <si>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</si>
  <si>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</si>
  <si>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</si>
  <si>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</si>
  <si>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</si>
  <si>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</si>
  <si>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</si>
  <si>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</si>
  <si>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</si>
  <si>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</si>
  <si>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</si>
  <si>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</si>
  <si>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</si>
  <si>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</si>
  <si>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</si>
  <si>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</si>
  <si>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</si>
  <si>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</si>
  <si>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</si>
  <si>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</si>
  <si>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</si>
  <si>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</si>
  <si>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</si>
  <si>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</si>
  <si>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</si>
  <si>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</si>
  <si>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</si>
  <si>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</si>
  <si>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</si>
  <si>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</si>
  <si>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</si>
  <si>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</si>
  <si>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</si>
  <si>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</si>
  <si>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</si>
  <si>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</si>
  <si>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</si>
  <si>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</si>
  <si>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</si>
  <si>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</si>
  <si>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</si>
  <si>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</si>
  <si>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</si>
  <si>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</si>
  <si>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</si>
  <si>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</si>
  <si>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</si>
  <si>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</si>
  <si>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</si>
  <si>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</si>
  <si>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</si>
  <si>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</si>
  <si>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</si>
  <si>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</si>
  <si>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</si>
  <si>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</si>
  <si>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</si>
  <si>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</si>
  <si>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</si>
  <si>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</si>
  <si>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</si>
  <si>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</si>
  <si>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</si>
  <si>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</si>
  <si>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</si>
  <si>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</si>
  <si>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</si>
  <si>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</si>
  <si>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</si>
  <si>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</si>
  <si>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</si>
  <si>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</si>
  <si>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</si>
  <si>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</si>
  <si>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</si>
  <si>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</si>
  <si>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</si>
  <si>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</si>
  <si>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</si>
  <si>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</si>
  <si>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</si>
  <si>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</si>
  <si>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</si>
  <si>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</si>
  <si>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</si>
  <si>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</si>
  <si>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</si>
  <si>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</si>
  <si>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</si>
  <si>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</si>
  <si>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</si>
  <si>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</si>
  <si>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</si>
  <si>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</si>
  <si>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</si>
  <si>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</si>
  <si>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</si>
  <si>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</si>
  <si>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</si>
  <si>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</si>
  <si>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</si>
  <si>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</si>
  <si>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</si>
  <si>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</si>
  <si>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</si>
  <si>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</si>
  <si>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</si>
  <si>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</si>
  <si>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</si>
  <si>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</si>
  <si>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</si>
  <si>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</si>
  <si>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</si>
  <si>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</si>
  <si>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</si>
  <si>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</si>
  <si>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</si>
  <si>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</si>
  <si>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</si>
  <si>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</si>
  <si>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</si>
  <si>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</si>
  <si>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</si>
  <si>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</si>
  <si>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</si>
  <si>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</si>
  <si>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</si>
  <si>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</si>
  <si>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</si>
  <si>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</si>
  <si>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</si>
  <si>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</si>
  <si>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</si>
  <si>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</si>
  <si>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</si>
  <si>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</si>
  <si>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</si>
  <si>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</si>
  <si>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</si>
  <si>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</si>
  <si>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</si>
  <si>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</si>
  <si>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</si>
  <si>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</si>
  <si>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</si>
  <si>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</si>
  <si>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</si>
  <si>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</si>
  <si>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</si>
  <si>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</si>
  <si>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</si>
  <si>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</si>
  <si>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</si>
  <si>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</si>
  <si>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</si>
  <si>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</si>
  <si>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</si>
  <si>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</si>
  <si>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</si>
  <si>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</si>
  <si>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</si>
  <si>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</si>
  <si>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</si>
  <si>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</si>
  <si>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</si>
  <si>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</si>
  <si>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</si>
  <si>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</si>
  <si>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</si>
  <si>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</si>
  <si>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</si>
  <si>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</si>
  <si>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</si>
  <si>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</si>
  <si>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</si>
  <si>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</si>
  <si>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</si>
  <si>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</si>
  <si>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</si>
  <si>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</si>
  <si>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</si>
  <si>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</si>
  <si>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</si>
  <si>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</si>
  <si>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</si>
  <si>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</si>
  <si>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</si>
  <si>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</si>
  <si>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</si>
  <si>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</si>
  <si>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</si>
  <si>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</si>
  <si>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</si>
  <si>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</si>
  <si>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</si>
  <si>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</si>
  <si>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</si>
  <si>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</si>
  <si>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</si>
  <si>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</si>
  <si>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</si>
  <si>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</si>
  <si>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</si>
  <si>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</si>
  <si>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</si>
  <si>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</si>
  <si>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</si>
  <si>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</si>
  <si>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</si>
  <si>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</si>
  <si>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</si>
  <si>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</si>
  <si>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</si>
  <si>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</si>
  <si>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</si>
  <si>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</si>
  <si>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</si>
  <si>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</si>
  <si>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</si>
  <si>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</si>
  <si>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</si>
  <si>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</si>
  <si>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</si>
  <si>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</si>
  <si>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</si>
  <si>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</si>
  <si>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</si>
  <si>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</si>
  <si>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</si>
  <si>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</si>
  <si>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</si>
  <si>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</si>
  <si>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</si>
  <si>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</si>
  <si>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</si>
  <si>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</si>
  <si>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</si>
  <si>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</si>
  <si>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</si>
  <si>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</si>
  <si>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</si>
  <si>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</si>
  <si>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</si>
  <si>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</si>
  <si>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</si>
  <si>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</si>
  <si>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</si>
  <si>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</si>
  <si>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</si>
  <si>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</si>
  <si>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</si>
  <si>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</si>
  <si>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</si>
  <si>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</si>
  <si>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</si>
  <si>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</si>
  <si>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</si>
  <si>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</si>
  <si>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</si>
  <si>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</si>
  <si>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</si>
  <si>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</si>
  <si>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</si>
  <si>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</si>
  <si>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</si>
  <si>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</si>
  <si>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</si>
  <si>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</si>
  <si>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</si>
  <si>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</si>
  <si>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</si>
  <si>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</si>
  <si>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</si>
  <si>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</si>
  <si>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</si>
  <si>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</si>
  <si>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</si>
  <si>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</si>
  <si>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</si>
  <si>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</si>
  <si>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</si>
  <si>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</si>
  <si>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</si>
  <si>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</si>
  <si>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</si>
  <si>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</si>
  <si>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</si>
  <si>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</si>
  <si>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</si>
  <si>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</si>
  <si>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</si>
  <si>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</si>
  <si>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</si>
  <si>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</si>
  <si>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</si>
  <si>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</si>
  <si>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</si>
  <si>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</si>
  <si>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</si>
  <si>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</si>
  <si>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</si>
  <si>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</si>
  <si>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</si>
  <si>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</si>
  <si>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</si>
  <si>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</si>
  <si>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</si>
  <si>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</si>
  <si>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</si>
  <si>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</si>
  <si>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</si>
  <si>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</si>
  <si>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</si>
  <si>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</si>
  <si>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</si>
  <si>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</si>
  <si>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</si>
  <si>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</si>
  <si>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</si>
  <si>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</si>
  <si>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</si>
  <si>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</si>
  <si>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</si>
  <si>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</si>
  <si>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</si>
  <si>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</si>
  <si>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</si>
  <si>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</si>
  <si>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</si>
  <si>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</si>
  <si>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</si>
  <si>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</si>
  <si>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</si>
  <si>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</si>
  <si>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</si>
  <si>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</si>
  <si>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</si>
  <si>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</si>
  <si>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</si>
  <si>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</si>
  <si>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</si>
  <si>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</si>
  <si>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</si>
  <si>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</si>
  <si>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</si>
  <si>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</si>
  <si>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</si>
  <si>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</si>
  <si>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</si>
  <si>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</si>
  <si>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</si>
  <si>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</si>
  <si>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</si>
  <si>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</si>
  <si>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</si>
  <si>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</si>
  <si>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</si>
  <si>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</si>
  <si>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</si>
  <si>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</si>
  <si>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</si>
  <si>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</si>
  <si>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</si>
  <si>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</si>
  <si>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</si>
  <si>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</si>
  <si>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</si>
  <si>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</si>
  <si>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</si>
  <si>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</si>
  <si>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</si>
  <si>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</si>
  <si>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</si>
  <si>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</si>
  <si>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</si>
  <si>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</si>
  <si>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</si>
  <si>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</si>
  <si>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</si>
  <si>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</si>
  <si>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</si>
  <si>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</si>
  <si>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</si>
  <si>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</si>
  <si>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</si>
  <si>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</si>
  <si>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</si>
  <si>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</si>
  <si>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</si>
  <si>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</si>
  <si>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</si>
  <si>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</si>
  <si>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</si>
  <si>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</si>
  <si>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</si>
  <si>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</si>
  <si>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</si>
  <si>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</si>
  <si>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</si>
  <si>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</si>
  <si>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</si>
  <si>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</si>
  <si>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</si>
  <si>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</si>
  <si>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</si>
  <si>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</si>
  <si>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</si>
  <si>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</si>
  <si>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</si>
  <si>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</si>
  <si>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</si>
  <si>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</si>
  <si>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</si>
  <si>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</si>
  <si>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</si>
  <si>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</si>
  <si>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</si>
  <si>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</si>
  <si>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</si>
  <si>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</si>
  <si>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</si>
  <si>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</si>
  <si>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</si>
  <si>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</si>
  <si>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</si>
  <si>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</si>
  <si>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</si>
  <si>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</si>
  <si>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</si>
  <si>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</si>
  <si>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</si>
  <si>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</si>
  <si>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</si>
  <si>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</si>
  <si>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</si>
  <si>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</si>
  <si>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</si>
  <si>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</si>
  <si>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</si>
  <si>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</si>
  <si>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</si>
  <si>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</si>
  <si>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</si>
  <si>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</si>
  <si>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</si>
  <si>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</si>
  <si>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</si>
  <si>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</si>
  <si>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</si>
  <si>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</si>
  <si>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</si>
  <si>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</si>
  <si>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</si>
  <si>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</si>
  <si>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</si>
  <si>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</si>
  <si>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</si>
  <si>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</si>
  <si>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</si>
  <si>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</si>
  <si>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</si>
  <si>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</si>
  <si>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</si>
  <si>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</si>
  <si>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</si>
  <si>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</si>
  <si>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</si>
  <si>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</si>
  <si>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</si>
  <si>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</si>
  <si>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</si>
  <si>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</si>
  <si>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</si>
  <si>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</si>
  <si>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</si>
  <si>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</si>
  <si>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</si>
  <si>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</si>
  <si>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</si>
  <si>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</si>
  <si>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</si>
  <si>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</si>
  <si>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</si>
  <si>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</si>
  <si>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</si>
  <si>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</si>
  <si>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</si>
  <si>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</si>
  <si>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</si>
  <si>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</si>
  <si>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</si>
  <si>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</si>
  <si>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</si>
  <si>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</si>
  <si>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</si>
  <si>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</si>
  <si>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</si>
  <si>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</si>
  <si>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</si>
  <si>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</si>
  <si>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</si>
  <si>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</si>
  <si>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</si>
  <si>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</si>
  <si>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</si>
  <si>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</si>
  <si>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</si>
  <si>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</si>
  <si>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</si>
  <si>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</si>
  <si>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</si>
  <si>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</si>
  <si>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</si>
  <si>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</si>
  <si>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</si>
  <si>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</si>
  <si>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</si>
  <si>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</si>
  <si>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</si>
  <si>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</si>
  <si>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</si>
  <si>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</si>
  <si>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</si>
  <si>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</si>
  <si>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</si>
  <si>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</si>
  <si>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</si>
  <si>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</si>
  <si>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</si>
  <si>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</si>
  <si>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</si>
  <si>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</si>
  <si>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</si>
  <si>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</si>
  <si>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</si>
  <si>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</si>
  <si>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</si>
  <si>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</si>
  <si>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</si>
  <si>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</si>
  <si>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</si>
  <si>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</si>
  <si>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</si>
  <si>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</si>
  <si>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</si>
  <si>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</si>
  <si>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</si>
  <si>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</si>
  <si>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</si>
  <si>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</si>
  <si>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</si>
  <si>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</si>
  <si>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</si>
  <si>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</si>
  <si>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</si>
  <si>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</si>
  <si>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</si>
  <si>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</si>
  <si>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</si>
  <si>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</si>
  <si>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</si>
  <si>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</si>
  <si>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</si>
  <si>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</si>
  <si>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</si>
  <si>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</si>
  <si>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</si>
  <si>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</si>
  <si>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</si>
  <si>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</si>
  <si>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</si>
  <si>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</si>
  <si>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</si>
  <si>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</si>
  <si>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</si>
  <si>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</si>
  <si>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</si>
  <si>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</si>
  <si>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</si>
  <si>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</si>
  <si>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</si>
  <si>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</si>
  <si>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</si>
  <si>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</si>
  <si>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</si>
  <si>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</si>
  <si>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</si>
  <si>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</si>
  <si>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</si>
  <si>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</si>
  <si>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</si>
  <si>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</si>
  <si>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</si>
  <si>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</si>
  <si>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</si>
  <si>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</si>
  <si>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</si>
  <si>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</si>
  <si>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</si>
  <si>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</si>
  <si>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</si>
  <si>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</si>
  <si>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</si>
  <si>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</si>
  <si>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</si>
  <si>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</si>
  <si>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</si>
  <si>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</si>
  <si>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</si>
  <si>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</si>
  <si>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</si>
  <si>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</si>
  <si>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</si>
  <si>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</si>
  <si>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</si>
  <si>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</si>
  <si>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</si>
  <si>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</si>
  <si>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</si>
  <si>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</si>
  <si>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</si>
  <si>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</si>
  <si>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</si>
  <si>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</si>
  <si>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</si>
  <si>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</si>
  <si>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</si>
  <si>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</si>
  <si>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</si>
  <si>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</si>
  <si>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</si>
  <si>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</si>
  <si>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</si>
  <si>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</si>
  <si>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</si>
  <si>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</si>
  <si>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</si>
  <si>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</si>
  <si>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</si>
  <si>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</si>
  <si>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</si>
  <si>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</si>
  <si>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</si>
  <si>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</si>
  <si>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</si>
  <si>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</si>
  <si>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</si>
  <si>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</si>
  <si>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</si>
  <si>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</si>
  <si>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</si>
  <si>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</si>
  <si>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</si>
  <si>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</si>
  <si>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</si>
  <si>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</si>
  <si>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</si>
  <si>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</si>
  <si>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</si>
  <si>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</si>
  <si>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</si>
  <si>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</si>
  <si>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</si>
  <si>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</si>
  <si>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</si>
  <si>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</si>
  <si>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</si>
  <si>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</si>
  <si>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</si>
  <si>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</si>
  <si>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</si>
  <si>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</si>
  <si>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</si>
  <si>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</si>
  <si>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</si>
  <si>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</si>
  <si>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</si>
  <si>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</si>
  <si>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</si>
  <si>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</si>
  <si>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</si>
  <si>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</si>
  <si>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</si>
  <si>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</si>
  <si>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</si>
  <si>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</si>
  <si>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</si>
  <si>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</si>
  <si>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</si>
  <si>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</si>
  <si>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</si>
  <si>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</si>
  <si>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</si>
  <si>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</si>
  <si>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</si>
  <si>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</si>
  <si>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</si>
  <si>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</si>
  <si>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</si>
  <si>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</si>
  <si>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</si>
  <si>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</si>
  <si>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</si>
  <si>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</si>
  <si>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</si>
  <si>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</si>
  <si>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</si>
  <si>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</si>
  <si>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</si>
  <si>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</si>
  <si>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</si>
  <si>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</si>
  <si>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</si>
  <si>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</si>
  <si>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</si>
  <si>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</si>
  <si>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</si>
  <si>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</si>
  <si>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</si>
  <si>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</si>
  <si>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</si>
  <si>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</si>
  <si>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</si>
  <si>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</si>
  <si>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</si>
  <si>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</si>
  <si>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</si>
  <si>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</si>
  <si>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</si>
  <si>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</si>
  <si>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</si>
  <si>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</si>
  <si>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</si>
  <si>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</si>
  <si>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</si>
  <si>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</si>
  <si>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</si>
  <si>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</si>
  <si>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</si>
  <si>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</si>
  <si>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</si>
  <si>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</si>
  <si>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</si>
  <si>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</si>
  <si>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</si>
  <si>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</si>
  <si>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</si>
  <si>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</si>
  <si>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</si>
  <si>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</si>
  <si>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</si>
  <si>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</si>
  <si>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</si>
  <si>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</si>
  <si>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</si>
  <si>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</si>
  <si>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</si>
  <si>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</si>
  <si>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</si>
  <si>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</si>
  <si>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</si>
  <si>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</si>
  <si>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</si>
  <si>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</si>
  <si>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</si>
  <si>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</si>
  <si>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</si>
  <si>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</si>
  <si>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</si>
  <si>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</si>
  <si>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</si>
  <si>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</si>
  <si>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</si>
  <si>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</si>
  <si>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</si>
  <si>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</si>
  <si>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</si>
  <si>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</si>
  <si>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</si>
  <si>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</si>
  <si>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</si>
  <si>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</si>
  <si>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</si>
  <si>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</si>
  <si>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</si>
  <si>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</si>
  <si>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</si>
  <si>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</si>
  <si>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</si>
  <si>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</si>
  <si>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</si>
  <si>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</si>
  <si>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</si>
  <si>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</si>
  <si>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</si>
  <si>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</si>
  <si>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</si>
  <si>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</si>
  <si>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</si>
  <si>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</si>
  <si>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</si>
  <si>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</si>
  <si>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</si>
  <si>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</si>
  <si>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</si>
  <si>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</si>
  <si>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</si>
  <si>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</si>
  <si>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</si>
  <si>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</si>
  <si>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</si>
  <si>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</si>
  <si>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</si>
  <si>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</si>
  <si>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</si>
  <si>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</si>
  <si>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</si>
  <si>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</si>
  <si>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</si>
  <si>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</si>
  <si>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</si>
  <si>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</si>
  <si>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</si>
  <si>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</si>
  <si>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</si>
  <si>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</si>
  <si>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</si>
  <si>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</si>
  <si>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</si>
  <si>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</si>
  <si>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</si>
  <si>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</si>
  <si>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</si>
  <si>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</si>
  <si>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</si>
  <si>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</si>
  <si>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</si>
  <si>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</si>
  <si>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</si>
  <si>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</si>
  <si>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</si>
  <si>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</si>
  <si>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</si>
  <si>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</si>
  <si>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</si>
  <si>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</si>
  <si>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</si>
  <si>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</si>
  <si>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</si>
  <si>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</si>
  <si>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</si>
  <si>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</si>
  <si>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</si>
  <si>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</si>
  <si>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</si>
  <si>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</si>
  <si>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</si>
  <si>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</si>
  <si>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</si>
  <si>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</si>
  <si>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</si>
  <si>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</si>
  <si>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</si>
  <si>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</si>
  <si>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</si>
  <si>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</si>
  <si>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</si>
  <si>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</si>
  <si>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</si>
  <si>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</si>
  <si>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</si>
  <si>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</si>
  <si>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</si>
  <si>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</si>
  <si>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</si>
  <si>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</si>
  <si>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</si>
  <si>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</si>
  <si>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</si>
  <si>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</si>
  <si>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</si>
  <si>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</si>
  <si>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</si>
  <si>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</si>
  <si>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</si>
  <si>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</si>
  <si>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</si>
  <si>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</si>
  <si>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</si>
  <si>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</si>
  <si>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</si>
  <si>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</si>
  <si>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</si>
  <si>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</si>
  <si>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</si>
  <si>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</si>
  <si>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</si>
  <si>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</si>
  <si>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</si>
  <si>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</si>
  <si>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</si>
  <si>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</si>
  <si>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</si>
  <si>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</si>
  <si>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</si>
  <si>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</si>
  <si>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</si>
  <si>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</si>
  <si>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</si>
  <si>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</si>
  <si>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</si>
  <si>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</si>
  <si>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</si>
  <si>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</si>
  <si>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</si>
  <si>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</si>
  <si>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</si>
  <si>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</si>
  <si>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</si>
  <si>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</si>
  <si>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</si>
  <si>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</si>
  <si>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</si>
  <si>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</si>
  <si>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</si>
  <si>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</si>
  <si>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</si>
  <si>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</si>
  <si>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</si>
  <si>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</si>
  <si>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</si>
  <si>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</si>
  <si>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</si>
  <si>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</si>
  <si>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</si>
  <si>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</si>
  <si>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</si>
  <si>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</si>
  <si>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</si>
  <si>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</si>
  <si>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</si>
  <si>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</si>
  <si>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</si>
  <si>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</si>
  <si>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</si>
  <si>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</si>
  <si>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</si>
  <si>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</si>
  <si>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</si>
  <si>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</si>
  <si>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</si>
  <si>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</si>
  <si>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</si>
  <si>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</si>
  <si>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</si>
  <si>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</si>
  <si>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</si>
  <si>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</si>
  <si>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</si>
  <si>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</si>
  <si>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</si>
  <si>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</si>
  <si>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</si>
  <si>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</si>
  <si>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</si>
  <si>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</si>
  <si>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</si>
  <si>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</si>
  <si>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</si>
  <si>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</si>
  <si>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</si>
  <si>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</si>
  <si>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</si>
  <si>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</si>
  <si>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</si>
  <si>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</si>
  <si>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</si>
  <si>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</si>
  <si>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</si>
  <si>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</si>
  <si>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</si>
  <si>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</si>
  <si>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</si>
  <si>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</si>
  <si>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</si>
  <si>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</si>
  <si>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</si>
  <si>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</si>
  <si>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</si>
  <si>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</si>
  <si>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</si>
  <si>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</si>
  <si>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</si>
  <si>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</si>
  <si>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</si>
  <si>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</si>
  <si>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</si>
  <si>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</si>
  <si>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</si>
  <si>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</si>
  <si>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</si>
  <si>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</si>
  <si>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</si>
  <si>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</si>
  <si>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</si>
  <si>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</si>
  <si>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</si>
  <si>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</si>
  <si>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</si>
  <si>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</si>
  <si>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</si>
  <si>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</si>
  <si>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</si>
  <si>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</si>
  <si>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</si>
  <si>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</si>
  <si>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</si>
  <si>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</si>
  <si>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</si>
  <si>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</si>
  <si>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</si>
  <si>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</si>
  <si>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</si>
  <si>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</si>
  <si>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</si>
  <si>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</si>
  <si>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</si>
  <si>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</si>
  <si>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</si>
  <si>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</si>
  <si>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</si>
  <si>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</si>
  <si>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</si>
  <si>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</si>
  <si>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</si>
  <si>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</si>
  <si>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</si>
  <si>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</si>
  <si>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</si>
  <si>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</si>
  <si>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</si>
  <si>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</si>
  <si>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</si>
  <si>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</si>
  <si>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</si>
  <si>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</si>
  <si>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</si>
  <si>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</si>
  <si>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</si>
  <si>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</si>
  <si>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</si>
  <si>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</si>
  <si>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</si>
  <si>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</si>
  <si>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</si>
  <si>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</si>
  <si>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</si>
  <si>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</si>
  <si>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</si>
  <si>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</si>
  <si>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</si>
  <si>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</si>
  <si>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</si>
  <si>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</si>
  <si>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</si>
  <si>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</si>
  <si>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</si>
  <si>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</si>
  <si>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</si>
  <si>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</si>
  <si>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</si>
  <si>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</si>
  <si>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</si>
  <si>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</si>
  <si>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</si>
  <si>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</si>
  <si>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</si>
  <si>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</si>
  <si>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</si>
  <si>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</si>
  <si>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</si>
  <si>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</si>
  <si>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</si>
  <si>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</si>
  <si>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</si>
  <si>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</si>
  <si>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</si>
  <si>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</si>
  <si>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</si>
  <si>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</si>
  <si>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</si>
  <si>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</si>
  <si>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</si>
  <si>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</si>
  <si>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</si>
  <si>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</si>
  <si>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</si>
  <si>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</si>
  <si>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</si>
  <si>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</si>
  <si>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</si>
  <si>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</si>
  <si>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</si>
  <si>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</si>
  <si>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</si>
  <si>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</si>
  <si>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</si>
  <si>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</si>
  <si>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</si>
  <si>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</si>
  <si>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</si>
  <si>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</si>
  <si>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</si>
  <si>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</si>
  <si>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</si>
  <si>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</si>
  <si>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</si>
  <si>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</si>
  <si>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</si>
  <si>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</si>
  <si>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</si>
  <si>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</si>
  <si>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</si>
  <si>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</si>
  <si>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</si>
  <si>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</si>
  <si>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</si>
  <si>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</si>
  <si>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</si>
  <si>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</si>
  <si>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</si>
  <si>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</si>
  <si>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</si>
  <si>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</si>
  <si>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</si>
  <si>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</si>
  <si>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</si>
  <si>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</si>
  <si>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</si>
  <si>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</si>
  <si>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</si>
  <si>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</si>
  <si>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</si>
  <si>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</si>
  <si>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</si>
  <si>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</si>
  <si>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</si>
  <si>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</si>
  <si>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</si>
  <si>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</si>
  <si>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</si>
  <si>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</si>
  <si>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</si>
  <si>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</si>
  <si>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</si>
  <si>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</si>
  <si>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</si>
  <si>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</si>
  <si>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</si>
  <si>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</si>
  <si>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</si>
  <si>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</si>
  <si>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</si>
  <si>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</si>
  <si>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</si>
  <si>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</si>
  <si>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</si>
  <si>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</si>
  <si>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</si>
  <si>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</si>
  <si>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</si>
  <si>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</si>
  <si>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</si>
  <si>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</si>
  <si>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</si>
  <si>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</si>
  <si>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</si>
  <si>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</si>
  <si>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</si>
  <si>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</si>
  <si>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</si>
  <si>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</si>
  <si>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</si>
  <si>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</si>
  <si>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</si>
  <si>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</si>
  <si>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</si>
  <si>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</si>
  <si>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</si>
  <si>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</si>
  <si>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</si>
  <si>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</si>
  <si>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</si>
  <si>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</si>
  <si>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</si>
  <si>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</si>
  <si>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</si>
  <si>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</si>
  <si>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</si>
  <si>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</si>
  <si>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</si>
  <si>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</si>
  <si>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</si>
  <si>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</si>
  <si>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</si>
  <si>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</si>
  <si>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</si>
  <si>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</si>
  <si>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</si>
  <si>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</si>
  <si>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</si>
  <si>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</si>
  <si>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</si>
  <si>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</si>
  <si>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</si>
  <si>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</si>
  <si>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</si>
  <si>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</si>
  <si>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</si>
  <si>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</si>
  <si>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</si>
  <si>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</si>
  <si>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</si>
  <si>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</si>
  <si>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</si>
  <si>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</si>
  <si>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</si>
  <si>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</si>
  <si>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</si>
  <si>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</si>
  <si>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</si>
  <si>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</si>
  <si>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</si>
  <si>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</si>
  <si>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</si>
  <si>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</si>
  <si>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</si>
  <si>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</si>
  <si>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</si>
  <si>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</si>
  <si>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</si>
  <si>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</si>
  <si>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</si>
  <si>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</si>
  <si>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</si>
  <si>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</si>
  <si>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</si>
  <si>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</si>
  <si>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</si>
  <si>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</si>
  <si>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</si>
  <si>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</si>
  <si>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</si>
  <si>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</si>
  <si>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</si>
  <si>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</si>
  <si>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</si>
  <si>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</si>
  <si>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</si>
  <si>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</si>
  <si>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</si>
  <si>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</si>
  <si>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</si>
  <si>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</si>
  <si>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</si>
  <si>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</si>
  <si>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</si>
  <si>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</si>
  <si>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</si>
  <si>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</si>
  <si>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</si>
  <si>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</si>
  <si>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</si>
  <si>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</si>
  <si>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</si>
  <si>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</si>
  <si>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</si>
  <si>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</si>
  <si>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</si>
  <si>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</si>
  <si>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</si>
  <si>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</si>
  <si>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</si>
  <si>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</si>
  <si>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</si>
  <si>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</si>
  <si>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</si>
  <si>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</si>
  <si>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</si>
  <si>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</si>
  <si>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</si>
  <si>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</si>
  <si>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</si>
  <si>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</si>
  <si>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</si>
  <si>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</si>
  <si>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</si>
  <si>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</si>
  <si>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</si>
  <si>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</si>
  <si>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</si>
  <si>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</si>
  <si>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</si>
  <si>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</si>
  <si>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</si>
  <si>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</si>
  <si>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</si>
  <si>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</si>
  <si>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</si>
  <si>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</si>
  <si>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</si>
  <si>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</si>
  <si>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</si>
  <si>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</si>
  <si>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</si>
  <si>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</si>
  <si>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</si>
  <si>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</si>
  <si>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</si>
  <si>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</si>
  <si>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</si>
  <si>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</si>
  <si>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</si>
  <si>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</si>
  <si>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</si>
  <si>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</si>
  <si>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</si>
  <si>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</si>
  <si>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</si>
  <si>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</si>
  <si>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</si>
  <si>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</si>
  <si>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</si>
  <si>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</si>
  <si>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</si>
  <si>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</si>
  <si>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</si>
  <si>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</si>
  <si>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</si>
  <si>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</si>
  <si>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</si>
  <si>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</si>
  <si>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</si>
  <si>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</si>
  <si>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</si>
  <si>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</si>
  <si>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</si>
  <si>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</si>
  <si>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</si>
  <si>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</si>
  <si>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</si>
  <si>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</si>
  <si>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</si>
  <si>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</si>
  <si>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</si>
  <si>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</si>
  <si>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</si>
  <si>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</si>
  <si>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</si>
  <si>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</si>
  <si>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</si>
  <si>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</si>
  <si>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</si>
  <si>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</si>
  <si>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</si>
  <si>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</si>
  <si>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</si>
  <si>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</si>
  <si>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</si>
  <si>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</si>
  <si>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</si>
  <si>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</si>
  <si>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</si>
  <si>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</si>
  <si>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</si>
  <si>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</si>
  <si>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</si>
  <si>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</si>
  <si>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</si>
  <si>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</si>
  <si>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</si>
  <si>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</si>
  <si>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</si>
  <si>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</si>
  <si>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</si>
  <si>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</si>
  <si>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</si>
  <si>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</si>
  <si>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</si>
  <si>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</si>
  <si>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</si>
  <si>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</si>
  <si>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</si>
  <si>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</si>
  <si>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</si>
  <si>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</si>
  <si>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</si>
  <si>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</si>
  <si>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</si>
  <si>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</si>
  <si>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</si>
  <si>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</si>
  <si>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</si>
  <si>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</si>
  <si>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</si>
  <si>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</si>
  <si>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</si>
  <si>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</si>
  <si>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</si>
  <si>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</si>
  <si>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</si>
  <si>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</si>
  <si>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</si>
  <si>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</si>
  <si>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</si>
  <si>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</si>
  <si>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</si>
  <si>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</si>
  <si>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</si>
  <si>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</si>
  <si>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</si>
  <si>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</si>
  <si>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</si>
  <si>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</si>
  <si>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</si>
  <si>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</si>
  <si>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</si>
  <si>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</si>
  <si>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</si>
  <si>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</si>
  <si>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</si>
  <si>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</si>
  <si>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</si>
  <si>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</si>
  <si>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</si>
  <si>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</si>
  <si>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</si>
  <si>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</si>
  <si>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</si>
  <si>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</si>
  <si>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</si>
  <si>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</si>
  <si>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</si>
  <si>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</si>
  <si>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</si>
  <si>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</si>
  <si>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</si>
  <si>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</si>
  <si>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</si>
  <si>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</si>
  <si>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</si>
  <si>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</si>
  <si>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</si>
  <si>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</si>
  <si>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</si>
  <si>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</si>
  <si>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</si>
  <si>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</si>
  <si>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</si>
  <si>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</si>
  <si>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</si>
  <si>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</si>
  <si>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</si>
  <si>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</si>
  <si>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</si>
  <si>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</si>
  <si>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</si>
  <si>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</si>
  <si>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</si>
  <si>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</si>
  <si>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</si>
  <si>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</si>
  <si>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</si>
  <si>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</si>
  <si>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</si>
  <si>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</si>
  <si>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</si>
  <si>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</si>
  <si>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</si>
  <si>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</si>
  <si>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</si>
  <si>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</si>
  <si>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</si>
  <si>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</si>
  <si>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</si>
  <si>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</si>
  <si>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</si>
  <si>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</si>
  <si>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</si>
  <si>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</si>
  <si>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</si>
  <si>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</si>
  <si>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</si>
  <si>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</si>
  <si>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</si>
  <si>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</si>
  <si>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</si>
  <si>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</si>
  <si>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</si>
  <si>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</si>
  <si>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</si>
  <si>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</si>
  <si>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</si>
  <si>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</si>
  <si>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</si>
  <si>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</si>
  <si>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</si>
  <si>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</si>
  <si>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</si>
  <si>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</si>
  <si>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</si>
  <si>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</si>
  <si>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</si>
  <si>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</si>
  <si>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</si>
  <si>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</si>
  <si>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</si>
  <si>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</si>
  <si>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</si>
  <si>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</si>
  <si>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</si>
  <si>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</si>
  <si>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</si>
  <si>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</si>
  <si>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</si>
  <si>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</si>
  <si>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</si>
  <si>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</si>
  <si>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</si>
  <si>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</si>
  <si>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</si>
  <si>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</si>
  <si>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</si>
  <si>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</si>
  <si>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</si>
  <si>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</si>
  <si>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</si>
  <si>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</si>
  <si>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</si>
  <si>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</si>
  <si>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</si>
  <si>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</si>
  <si>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</si>
  <si>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</si>
  <si>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</si>
  <si>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</si>
  <si>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</si>
  <si>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</si>
  <si>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</si>
  <si>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</si>
  <si>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</si>
  <si>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</si>
  <si>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</si>
  <si>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</si>
  <si>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</si>
  <si>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</si>
  <si>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</si>
  <si>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</si>
  <si>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</si>
  <si>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</si>
  <si>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</si>
  <si>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</si>
  <si>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</si>
  <si>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</si>
  <si>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</si>
  <si>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</si>
  <si>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</si>
  <si>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</si>
  <si>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</si>
  <si>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</si>
  <si>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</si>
  <si>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</si>
  <si>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</si>
  <si>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</si>
  <si>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</si>
  <si>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</si>
  <si>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</si>
  <si>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</si>
  <si>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</si>
  <si>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</si>
  <si>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</si>
  <si>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</si>
  <si>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</si>
  <si>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</si>
  <si>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</si>
  <si>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</si>
  <si>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</si>
  <si>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</si>
  <si>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</si>
  <si>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</si>
  <si>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</si>
  <si>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</si>
  <si>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</si>
  <si>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</si>
  <si>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</si>
  <si>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</si>
  <si>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</si>
  <si>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</si>
  <si>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</si>
  <si>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</si>
  <si>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</si>
  <si>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</si>
  <si>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</si>
  <si>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</si>
  <si>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</si>
  <si>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</si>
  <si>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</si>
  <si>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</si>
  <si>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</si>
  <si>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</si>
  <si>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</si>
  <si>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</si>
  <si>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</si>
  <si>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</si>
  <si>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</si>
  <si>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</si>
  <si>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</si>
  <si>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</si>
  <si>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</si>
  <si>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</si>
  <si>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</si>
  <si>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</si>
  <si>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</si>
  <si>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</si>
  <si>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</si>
  <si>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</si>
  <si>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</si>
  <si>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</si>
  <si>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</si>
  <si>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</si>
  <si>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</si>
  <si>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</si>
  <si>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</si>
  <si>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</si>
  <si>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</si>
  <si>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</si>
  <si>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</si>
  <si>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</si>
  <si>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</si>
  <si>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</si>
  <si>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</si>
  <si>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</si>
  <si>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</si>
  <si>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</si>
  <si>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</si>
  <si>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</si>
  <si>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</si>
  <si>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</si>
  <si>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</si>
  <si>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</si>
  <si>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</si>
  <si>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</si>
  <si>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</si>
  <si>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</si>
  <si>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</si>
  <si>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</si>
  <si>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</si>
  <si>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</si>
  <si>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</si>
  <si>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</si>
  <si>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</si>
  <si>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</si>
  <si>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</si>
  <si>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</si>
  <si>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</si>
  <si>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</si>
  <si>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</si>
  <si>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</si>
  <si>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</si>
  <si>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</si>
  <si>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</si>
  <si>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</si>
  <si>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</si>
  <si>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</si>
  <si>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</si>
  <si>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</si>
  <si>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</si>
  <si>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</si>
  <si>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</si>
  <si>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</si>
  <si>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</si>
  <si>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</si>
  <si>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</si>
  <si>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</si>
  <si>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</si>
  <si>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</si>
  <si>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</si>
  <si>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</si>
  <si>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</si>
  <si>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</si>
  <si>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</si>
  <si>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</si>
  <si>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</si>
  <si>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</si>
  <si>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</si>
  <si>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</si>
  <si>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</si>
  <si>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</si>
  <si>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</si>
  <si>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</si>
  <si>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</si>
  <si>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</si>
  <si>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</si>
  <si>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</si>
  <si>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</si>
  <si>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</si>
  <si>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</si>
  <si>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</si>
  <si>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</si>
  <si>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</si>
  <si>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</si>
  <si>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</si>
  <si>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</si>
  <si>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</si>
  <si>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</si>
  <si>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</si>
  <si>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</si>
  <si>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</si>
  <si>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</si>
  <si>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</si>
  <si>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</si>
  <si>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</si>
  <si>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</si>
  <si>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</si>
  <si>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</si>
  <si>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</si>
  <si>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</si>
  <si>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</si>
  <si>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</si>
  <si>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</si>
  <si>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</si>
  <si>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</si>
  <si>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</si>
  <si>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</si>
  <si>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</si>
  <si>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</si>
  <si>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</si>
  <si>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</si>
  <si>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</si>
  <si>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</si>
  <si>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</si>
  <si>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</si>
  <si>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</si>
  <si>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</si>
  <si>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</si>
  <si>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</si>
  <si>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</si>
  <si>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</si>
  <si>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</si>
  <si>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</si>
  <si>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</si>
  <si>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</si>
  <si>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</si>
  <si>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</si>
  <si>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</si>
  <si>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</si>
  <si>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</si>
  <si>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</si>
  <si>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</si>
  <si>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</si>
  <si>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</si>
  <si>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</si>
  <si>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</si>
  <si>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</si>
  <si>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</si>
  <si>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</si>
  <si>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</si>
  <si>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</si>
  <si>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</si>
  <si>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</si>
  <si>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</si>
  <si>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</si>
  <si>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</si>
  <si>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</si>
  <si>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</si>
  <si>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</si>
  <si>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</si>
  <si>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</si>
  <si>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</si>
  <si>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</si>
  <si>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</si>
  <si>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</si>
  <si>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</si>
  <si>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</si>
  <si>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</si>
  <si>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</si>
  <si>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</si>
  <si>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</si>
  <si>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</si>
  <si>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</si>
  <si>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</si>
  <si>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</si>
  <si>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</si>
  <si>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</si>
  <si>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</si>
  <si>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</si>
  <si>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</si>
  <si>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</si>
  <si>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</si>
  <si>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</si>
  <si>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</si>
  <si>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</si>
  <si>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</si>
  <si>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</si>
  <si>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</si>
  <si>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</si>
  <si>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</si>
  <si>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</si>
  <si>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</si>
  <si>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</si>
  <si>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</si>
  <si>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</si>
  <si>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</si>
  <si>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</si>
  <si>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</si>
  <si>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</si>
  <si>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</si>
  <si>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</si>
  <si>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</si>
  <si>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</si>
  <si>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</si>
  <si>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</si>
  <si>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</si>
  <si>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</si>
  <si>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</si>
  <si>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</si>
  <si>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</si>
  <si>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</si>
  <si>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</si>
  <si>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</si>
  <si>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</si>
  <si>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</si>
  <si>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</si>
  <si>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</si>
  <si>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</si>
  <si>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</si>
  <si>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</si>
  <si>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</si>
  <si>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</si>
  <si>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</si>
  <si>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</si>
  <si>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</si>
  <si>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</si>
  <si>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</si>
  <si>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</si>
  <si>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</si>
  <si>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</si>
  <si>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</si>
  <si>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</si>
  <si>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</si>
  <si>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</si>
  <si>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</si>
  <si>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</si>
  <si>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</si>
  <si>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</si>
  <si>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</si>
  <si>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</si>
  <si>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</si>
  <si>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</si>
  <si>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</si>
  <si>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</si>
  <si>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</si>
  <si>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</si>
  <si>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</si>
  <si>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</si>
  <si>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</si>
  <si>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</si>
  <si>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</si>
  <si>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</si>
  <si>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</si>
  <si>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</si>
  <si>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</si>
  <si>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</si>
  <si>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</si>
  <si>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</si>
  <si>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</si>
  <si>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</si>
  <si>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</si>
  <si>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</si>
  <si>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</si>
  <si>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</si>
  <si>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</si>
  <si>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</si>
  <si>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</si>
  <si>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</si>
  <si>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</si>
  <si>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</si>
  <si>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</si>
  <si>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</si>
  <si>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</si>
  <si>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</si>
  <si>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</si>
  <si>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</si>
  <si>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</si>
  <si>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</si>
  <si>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</si>
  <si>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</si>
  <si>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</si>
  <si>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</si>
  <si>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</si>
  <si>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</si>
  <si>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</si>
  <si>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</si>
  <si>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</si>
  <si>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</si>
  <si>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</si>
  <si>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</si>
  <si>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</si>
  <si>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</si>
  <si>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</si>
  <si>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</si>
  <si>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</si>
  <si>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</si>
  <si>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</si>
  <si>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</si>
  <si>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</si>
  <si>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</si>
  <si>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</si>
  <si>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</si>
  <si>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</si>
  <si>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</si>
  <si>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</si>
  <si>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</si>
  <si>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</si>
  <si>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</si>
  <si>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</si>
  <si>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</si>
  <si>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</si>
  <si>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</si>
  <si>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</si>
  <si>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</si>
  <si>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</si>
  <si>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</si>
  <si>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</si>
  <si>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</si>
  <si>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</si>
  <si>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</si>
  <si>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</si>
  <si>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</si>
  <si>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</si>
  <si>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</si>
  <si>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</si>
  <si>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</si>
  <si>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</si>
  <si>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</si>
  <si>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</si>
  <si>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</si>
  <si>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</si>
  <si>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</si>
  <si>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</si>
  <si>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</si>
  <si>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</si>
  <si>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</si>
  <si>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</si>
  <si>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</si>
  <si>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</si>
  <si>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</si>
  <si>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</si>
  <si>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</si>
  <si>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</si>
  <si>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</si>
  <si>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</si>
  <si>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</si>
  <si>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</si>
  <si>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</si>
  <si>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</si>
  <si>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</si>
  <si>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</si>
  <si>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</si>
  <si>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</si>
  <si>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</si>
  <si>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</si>
  <si>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</si>
  <si>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</si>
  <si>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</si>
  <si>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</si>
  <si>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</si>
  <si>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</si>
  <si>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</si>
  <si>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</si>
  <si>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</si>
  <si>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</si>
  <si>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</si>
  <si>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</si>
  <si>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</si>
  <si>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</si>
  <si>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</si>
  <si>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</si>
  <si>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</si>
  <si>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</si>
  <si>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</si>
  <si>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</si>
  <si>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</si>
  <si>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</si>
  <si>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</si>
  <si>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</si>
  <si>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</si>
  <si>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</si>
  <si>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</si>
  <si>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</si>
  <si>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</si>
  <si>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</si>
  <si>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</si>
  <si>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</si>
  <si>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</si>
  <si>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</si>
  <si>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</si>
  <si>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</si>
  <si>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</si>
  <si>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</si>
  <si>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</si>
  <si>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</si>
  <si>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</si>
  <si>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</si>
  <si>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</si>
  <si>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</si>
  <si>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</si>
  <si>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</si>
  <si>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</si>
  <si>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</si>
  <si>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</si>
  <si>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</si>
  <si>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</si>
  <si>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</si>
  <si>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</si>
  <si>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</si>
  <si>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</si>
  <si>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</si>
  <si>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</si>
  <si>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</si>
  <si>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</si>
  <si>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</si>
  <si>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</si>
  <si>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</si>
  <si>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</si>
  <si>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</si>
  <si>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</si>
  <si>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</si>
  <si>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</si>
  <si>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</si>
  <si>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</si>
  <si>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</si>
  <si>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</si>
  <si>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</si>
  <si>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</si>
  <si>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</si>
  <si>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</si>
  <si>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</si>
  <si>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</si>
  <si>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</si>
  <si>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</si>
  <si>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</si>
  <si>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</si>
  <si>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</si>
  <si>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</si>
  <si>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</si>
  <si>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</si>
  <si>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</si>
  <si>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</si>
  <si>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</si>
  <si>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</si>
  <si>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</si>
  <si>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</si>
  <si>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</si>
  <si>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</si>
  <si>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</si>
  <si>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</si>
  <si>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</si>
  <si>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</si>
  <si>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</si>
  <si>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</si>
  <si>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</si>
  <si>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</si>
  <si>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</si>
  <si>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</si>
  <si>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</si>
  <si>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</si>
  <si>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</si>
  <si>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</si>
  <si>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</si>
  <si>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</si>
  <si>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</si>
  <si>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</si>
  <si>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</si>
  <si>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</si>
  <si>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</si>
  <si>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</si>
  <si>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</si>
  <si>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</si>
  <si>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</si>
  <si>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</si>
  <si>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</si>
  <si>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</si>
  <si>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</si>
  <si>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</si>
  <si>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</si>
  <si>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</si>
  <si>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</si>
  <si>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</si>
  <si>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</si>
  <si>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</si>
  <si>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</si>
  <si>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</si>
  <si>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</si>
  <si>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</si>
  <si>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</si>
  <si>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</si>
  <si>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</si>
  <si>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</si>
  <si>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</si>
  <si>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</si>
  <si>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</si>
  <si>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</si>
  <si>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</si>
  <si>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</si>
  <si>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</si>
  <si>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</si>
  <si>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</si>
  <si>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</si>
  <si>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</si>
  <si>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</si>
  <si>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</si>
  <si>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</si>
  <si>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</si>
  <si>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</si>
  <si>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</si>
  <si>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</si>
  <si>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</si>
  <si>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</si>
  <si>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</si>
  <si>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</si>
  <si>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</si>
  <si>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</si>
  <si>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</si>
  <si>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</si>
  <si>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</si>
  <si>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</si>
  <si>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</si>
  <si>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</si>
  <si>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</si>
  <si>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</si>
  <si>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</si>
  <si>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</si>
  <si>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</si>
  <si>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</si>
  <si>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</si>
  <si>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</si>
  <si>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</si>
  <si>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</si>
  <si>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</si>
  <si>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</si>
  <si>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</si>
  <si>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</si>
  <si>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</si>
  <si>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</si>
  <si>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</si>
  <si>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</si>
  <si>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</si>
  <si>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</si>
  <si>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</si>
  <si>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</si>
  <si>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</si>
  <si>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</si>
  <si>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</si>
  <si>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</si>
  <si>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</si>
  <si>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</si>
  <si>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</si>
  <si>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</si>
  <si>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</si>
  <si>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</si>
  <si>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</si>
  <si>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</si>
  <si>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</si>
  <si>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</si>
  <si>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</si>
  <si>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</si>
  <si>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</si>
  <si>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</si>
  <si>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</si>
  <si>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</si>
  <si>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</si>
  <si>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</si>
  <si>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</si>
  <si>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</si>
  <si>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</si>
  <si>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</si>
  <si>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</si>
  <si>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</si>
  <si>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</si>
  <si>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</si>
  <si>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</si>
  <si>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</si>
  <si>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</si>
  <si>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</si>
  <si>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</si>
  <si>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</si>
  <si>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</si>
  <si>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</si>
  <si>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</si>
  <si>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</si>
  <si>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</si>
  <si>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</si>
  <si>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</si>
  <si>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</si>
  <si>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</si>
  <si>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</si>
  <si>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</si>
  <si>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</si>
  <si>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</si>
  <si>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</si>
  <si>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</si>
  <si>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</si>
  <si>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</si>
  <si>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</si>
  <si>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</si>
  <si>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</si>
  <si>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</si>
  <si>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</si>
  <si>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</si>
  <si>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</si>
  <si>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</si>
  <si>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</si>
  <si>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</si>
  <si>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</si>
  <si>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</si>
  <si>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</si>
  <si>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</si>
  <si>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</si>
  <si>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</si>
  <si>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</si>
  <si>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</si>
  <si>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</si>
  <si>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</si>
  <si>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</si>
  <si>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</si>
  <si>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</si>
  <si>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</si>
  <si>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</si>
  <si>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</si>
  <si>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</si>
  <si>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</si>
  <si>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</si>
  <si>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</si>
  <si>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</si>
  <si>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</si>
  <si>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</si>
  <si>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</si>
  <si>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</si>
  <si>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</si>
  <si>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</si>
  <si>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</si>
  <si>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</si>
  <si>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</si>
  <si>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</si>
  <si>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</si>
  <si>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</si>
  <si>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</si>
  <si>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</si>
  <si>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</si>
  <si>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</si>
  <si>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</si>
  <si>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</si>
  <si>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</si>
  <si>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</si>
  <si>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</si>
  <si>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</si>
  <si>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</si>
  <si>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</si>
  <si>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</si>
  <si>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</si>
  <si>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</si>
  <si>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</si>
  <si>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</si>
  <si>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</si>
  <si>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</si>
  <si>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</si>
  <si>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</si>
  <si>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</si>
  <si>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</si>
  <si>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</si>
  <si>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</si>
  <si>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</si>
  <si>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</si>
  <si>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</si>
  <si>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</si>
  <si>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</si>
  <si>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</si>
  <si>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</si>
  <si>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</si>
  <si>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</si>
  <si>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</si>
  <si>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</si>
  <si>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</si>
  <si>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</si>
  <si>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</si>
  <si>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</si>
  <si>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</si>
  <si>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</si>
  <si>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</si>
  <si>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</si>
  <si>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</si>
  <si>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</si>
  <si>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</si>
  <si>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</si>
  <si>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</si>
  <si>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</si>
  <si>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</si>
  <si>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</si>
  <si>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</si>
  <si>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</si>
  <si>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</si>
  <si>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</si>
  <si>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</si>
  <si>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</si>
  <si>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</si>
  <si>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</si>
  <si>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</si>
  <si>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</si>
  <si>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</si>
  <si>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</si>
  <si>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</si>
  <si>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</si>
  <si>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</si>
  <si>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</si>
  <si>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</si>
  <si>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</si>
  <si>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</si>
  <si>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</si>
  <si>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</si>
  <si>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</si>
  <si>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</si>
  <si>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</si>
  <si>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</si>
  <si>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</si>
  <si>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</si>
  <si>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</si>
  <si>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</si>
  <si>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</si>
  <si>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</si>
  <si>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</si>
  <si>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</si>
  <si>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</si>
  <si>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</si>
  <si>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</si>
  <si>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</si>
  <si>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</si>
  <si>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</si>
  <si>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</si>
  <si>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</si>
  <si>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</si>
  <si>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</si>
  <si>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</si>
  <si>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</si>
  <si>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</si>
  <si>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</si>
  <si>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</si>
  <si>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</si>
  <si>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</si>
  <si>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</si>
  <si>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</si>
  <si>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</si>
  <si>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</si>
  <si>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</si>
  <si>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</si>
  <si>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</si>
  <si>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</si>
  <si>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</si>
  <si>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</si>
  <si>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</si>
  <si>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</si>
  <si>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</si>
  <si>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</si>
  <si>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</si>
  <si>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</si>
  <si>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</si>
  <si>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</si>
  <si>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</si>
  <si>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</si>
  <si>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</si>
  <si>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</si>
  <si>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</si>
  <si>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</si>
  <si>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</si>
  <si>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</si>
  <si>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</si>
  <si>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</si>
  <si>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</si>
  <si>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</si>
  <si>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</si>
  <si>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</si>
  <si>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</si>
  <si>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</si>
  <si>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</si>
  <si>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</si>
  <si>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</si>
  <si>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</si>
  <si>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</si>
  <si>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</si>
  <si>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</si>
  <si>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</si>
  <si>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</si>
  <si>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</si>
  <si>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</si>
  <si>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</si>
  <si>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</si>
  <si>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</si>
  <si>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</si>
  <si>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</si>
  <si>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</si>
  <si>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</si>
  <si>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</si>
  <si>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</si>
  <si>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</si>
  <si>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</si>
  <si>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</si>
  <si>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</si>
  <si>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</si>
  <si>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</si>
  <si>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</si>
  <si>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</si>
  <si>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</si>
  <si>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</si>
  <si>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</si>
  <si>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</si>
  <si>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</si>
  <si>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</si>
  <si>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</si>
  <si>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</si>
  <si>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</si>
  <si>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</si>
  <si>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</si>
  <si>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</si>
  <si>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</si>
  <si>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</si>
  <si>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</si>
  <si>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</si>
  <si>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</si>
  <si>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</si>
  <si>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</si>
  <si>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</si>
  <si>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</si>
  <si>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</si>
  <si>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</si>
  <si>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</si>
  <si>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</si>
  <si>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</si>
  <si>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</si>
  <si>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</si>
  <si>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</si>
  <si>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</si>
  <si>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</si>
  <si>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</si>
  <si>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</si>
  <si>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</si>
  <si>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</si>
  <si>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</si>
  <si>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</si>
  <si>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</si>
  <si>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</si>
  <si>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</si>
  <si>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</si>
  <si>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</si>
  <si>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</si>
  <si>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</si>
  <si>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</si>
  <si>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</si>
  <si>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</si>
  <si>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</si>
  <si>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</si>
  <si>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</si>
  <si>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</si>
  <si>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</si>
  <si>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</si>
  <si>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</si>
  <si>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</si>
  <si>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</si>
  <si>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</si>
  <si>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</si>
  <si>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</si>
  <si>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</si>
  <si>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</si>
  <si>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</si>
  <si>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</si>
  <si>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</si>
  <si>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</si>
  <si>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</si>
  <si>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</si>
  <si>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</si>
  <si>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</si>
  <si>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</si>
  <si>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</si>
  <si>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</si>
  <si>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</si>
  <si>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</si>
  <si>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</si>
  <si>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</si>
  <si>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</si>
  <si>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</si>
  <si>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</si>
  <si>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</si>
  <si>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</si>
  <si>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</si>
  <si>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</si>
  <si>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</si>
  <si>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</si>
  <si>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</si>
  <si>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</si>
  <si>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</si>
  <si>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</si>
  <si>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</si>
  <si>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</si>
  <si>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</si>
  <si>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</si>
  <si>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</si>
  <si>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</si>
  <si>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</si>
  <si>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</si>
  <si>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</si>
  <si>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</si>
  <si>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</si>
  <si>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</si>
  <si>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</si>
  <si>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</si>
  <si>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</si>
  <si>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</si>
  <si>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</si>
  <si>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</si>
  <si>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</si>
  <si>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</si>
  <si>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</si>
  <si>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</si>
  <si>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</si>
  <si>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</si>
  <si>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</si>
  <si>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</si>
  <si>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</si>
  <si>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</si>
  <si>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</si>
  <si>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</si>
  <si>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</si>
  <si>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</si>
  <si>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</si>
  <si>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</si>
  <si>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</si>
  <si>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</si>
  <si>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</si>
  <si>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</si>
  <si>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</si>
  <si>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</si>
  <si>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</si>
  <si>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</si>
  <si>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</si>
  <si>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</si>
  <si>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</si>
  <si>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</si>
  <si>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</si>
  <si>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</si>
  <si>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</si>
  <si>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</si>
  <si>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</si>
  <si>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</si>
  <si>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</si>
  <si>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</si>
  <si>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</si>
  <si>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</si>
  <si>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</si>
  <si>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</si>
  <si>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</si>
  <si>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</si>
  <si>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</si>
  <si>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</si>
  <si>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</si>
  <si>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</si>
  <si>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</si>
  <si>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</si>
  <si>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</si>
  <si>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</si>
  <si>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</si>
  <si>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</si>
  <si>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</si>
  <si>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</si>
  <si>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</si>
  <si>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</si>
  <si>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</si>
  <si>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</si>
  <si>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</si>
  <si>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</si>
  <si>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</si>
  <si>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</si>
  <si>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</si>
  <si>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</si>
  <si>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</si>
  <si>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</si>
  <si>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</si>
  <si>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</si>
  <si>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</si>
  <si>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</si>
  <si>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</si>
  <si>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</si>
  <si>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</si>
  <si>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</si>
  <si>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</si>
  <si>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</si>
  <si>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</si>
  <si>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</si>
  <si>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</si>
  <si>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</si>
  <si>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</si>
  <si>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</si>
  <si>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</si>
  <si>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</si>
  <si>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</si>
  <si>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</si>
  <si>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</si>
  <si>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</si>
  <si>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</si>
  <si>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</si>
  <si>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</si>
  <si>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</si>
  <si>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</si>
  <si>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</si>
  <si>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</si>
  <si>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</si>
  <si>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</si>
  <si>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</si>
  <si>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</si>
  <si>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</si>
  <si>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</si>
  <si>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</si>
  <si>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</si>
  <si>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</si>
  <si>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</si>
  <si>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</si>
  <si>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</si>
  <si>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</si>
  <si>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</si>
  <si>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</si>
  <si>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</si>
  <si>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</si>
  <si>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</si>
  <si>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</si>
  <si>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</si>
  <si>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</si>
  <si>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</si>
  <si>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</si>
  <si>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</si>
  <si>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</si>
  <si>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</si>
  <si>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</si>
  <si>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</si>
  <si>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</si>
  <si>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</si>
  <si>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</si>
  <si>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</si>
  <si>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</si>
  <si>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</si>
  <si>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</si>
  <si>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</si>
  <si>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</si>
  <si>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</si>
  <si>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</si>
  <si>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</si>
  <si>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</si>
  <si>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</si>
  <si>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</si>
  <si>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</si>
  <si>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</si>
  <si>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</si>
  <si>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</si>
  <si>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</si>
  <si>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</si>
  <si>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</si>
  <si>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</si>
  <si>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</si>
  <si>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</si>
  <si>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</si>
  <si>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</si>
  <si>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</si>
  <si>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</si>
  <si>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</si>
  <si>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</si>
  <si>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</si>
  <si>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</si>
  <si>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</si>
  <si>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</si>
  <si>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</si>
  <si>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</si>
  <si>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</si>
  <si>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</si>
  <si>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</si>
  <si>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</si>
  <si>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</si>
  <si>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</si>
  <si>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</si>
  <si>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</si>
  <si>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</si>
  <si>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</si>
  <si>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</si>
  <si>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</si>
  <si>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</si>
  <si>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</si>
  <si>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</si>
  <si>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</si>
  <si>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</si>
  <si>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</si>
  <si>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</si>
  <si>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</si>
  <si>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</si>
  <si>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</si>
  <si>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</si>
  <si>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</si>
  <si>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</si>
  <si>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</si>
  <si>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</si>
  <si>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</si>
  <si>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</si>
  <si>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</si>
  <si>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</si>
  <si>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</si>
  <si>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</si>
  <si>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</si>
  <si>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</si>
  <si>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</si>
  <si>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</si>
  <si>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</si>
  <si>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</si>
  <si>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</si>
  <si>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</si>
  <si>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</si>
  <si>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</si>
  <si>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</si>
  <si>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</si>
  <si>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</si>
  <si>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</si>
  <si>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</si>
  <si>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</si>
  <si>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</si>
  <si>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</si>
  <si>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</si>
  <si>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</si>
  <si>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</si>
  <si>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</si>
  <si>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</si>
  <si>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</si>
  <si>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</si>
  <si>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</si>
  <si>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</si>
  <si>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</si>
  <si>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</si>
  <si>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</si>
  <si>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</si>
  <si>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</si>
  <si>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</si>
  <si>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</si>
  <si>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</si>
  <si>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</si>
  <si>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</si>
  <si>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</si>
  <si>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</si>
  <si>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</si>
  <si>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</si>
  <si>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</si>
  <si>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</si>
  <si>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</si>
  <si>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</si>
  <si>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</si>
  <si>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</si>
  <si>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</si>
  <si>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</si>
  <si>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</si>
  <si>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</si>
  <si>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</si>
  <si>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</si>
  <si>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</si>
  <si>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</si>
  <si>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</si>
  <si>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</si>
  <si>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</si>
  <si>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</si>
  <si>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</si>
  <si>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</si>
  <si>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</si>
  <si>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</si>
  <si>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</si>
  <si>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</si>
  <si>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</si>
  <si>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</si>
  <si>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</si>
  <si>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</si>
  <si>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</si>
  <si>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</si>
  <si>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</si>
  <si>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</si>
  <si>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</si>
  <si>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</si>
  <si>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</si>
  <si>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</si>
  <si>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</si>
  <si>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</si>
  <si>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</si>
  <si>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</si>
  <si>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</si>
  <si>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</si>
  <si>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</si>
  <si>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</si>
  <si>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</si>
  <si>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</si>
  <si>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</si>
  <si>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</si>
  <si>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</si>
  <si>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</si>
  <si>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</si>
  <si>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</si>
  <si>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</si>
  <si>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</si>
  <si>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</si>
  <si>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</si>
  <si>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</si>
  <si>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</si>
  <si>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</si>
  <si>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</si>
  <si>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</si>
  <si>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</si>
  <si>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</si>
  <si>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</si>
  <si>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</si>
  <si>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</si>
  <si>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</si>
  <si>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</si>
  <si>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</si>
  <si>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</si>
  <si>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</si>
  <si>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</si>
  <si>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</si>
  <si>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</si>
  <si>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</si>
  <si>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</si>
  <si>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</si>
  <si>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</si>
  <si>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</si>
  <si>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</si>
  <si>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</si>
  <si>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</si>
  <si>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</si>
  <si>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</si>
  <si>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</si>
  <si>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</si>
  <si>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</si>
  <si>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</si>
  <si>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</si>
  <si>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</si>
  <si>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</si>
  <si>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</si>
  <si>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</si>
  <si>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</si>
  <si>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</si>
  <si>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</si>
  <si>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</si>
  <si>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</si>
  <si>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</si>
  <si>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</si>
  <si>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</si>
  <si>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</si>
  <si>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</si>
  <si>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</si>
  <si>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</si>
  <si>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</si>
  <si>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</si>
  <si>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</si>
  <si>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</si>
  <si>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</si>
  <si>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</si>
  <si>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</si>
  <si>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</si>
  <si>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</si>
  <si>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</si>
  <si>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</si>
  <si>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</si>
  <si>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</si>
  <si>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</si>
  <si>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</si>
  <si>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</si>
  <si>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</si>
  <si>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</si>
  <si>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</si>
  <si>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</si>
  <si>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</si>
  <si>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</si>
  <si>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</si>
  <si>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</si>
  <si>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</si>
  <si>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</si>
  <si>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</si>
  <si>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</si>
  <si>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</si>
  <si>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</si>
  <si>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</si>
  <si>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</si>
  <si>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</si>
  <si>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</si>
  <si>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</si>
  <si>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</si>
  <si>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</si>
  <si>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</si>
  <si>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</si>
  <si>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</si>
  <si>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</si>
  <si>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</si>
  <si>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</si>
  <si>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</si>
  <si>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</si>
  <si>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</si>
  <si>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</si>
  <si>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</si>
  <si>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</si>
  <si>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</si>
  <si>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</si>
  <si>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</si>
  <si>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</si>
  <si>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</si>
  <si>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</si>
  <si>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</si>
  <si>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</si>
  <si>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</si>
  <si>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</si>
  <si>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</si>
  <si>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</si>
  <si>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</si>
  <si>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</si>
  <si>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</si>
  <si>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</si>
  <si>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</si>
  <si>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</si>
  <si>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</si>
  <si>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</si>
  <si>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</si>
  <si>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</si>
  <si>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</si>
  <si>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</si>
  <si>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</si>
  <si>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</si>
  <si>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</si>
  <si>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</si>
  <si>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</si>
  <si>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</si>
  <si>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</si>
  <si>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</si>
  <si>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</si>
  <si>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</si>
  <si>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</si>
  <si>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</si>
  <si>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</si>
  <si>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</si>
  <si>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</si>
  <si>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</si>
  <si>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</si>
  <si>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</si>
  <si>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</si>
  <si>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</si>
  <si>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</si>
  <si>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</si>
  <si>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</si>
  <si>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</si>
  <si>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</si>
  <si>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</si>
  <si>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</si>
  <si>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</si>
  <si>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</si>
  <si>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</si>
  <si>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</si>
  <si>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</si>
  <si>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</si>
  <si>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</si>
  <si>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</si>
  <si>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</si>
  <si>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</si>
  <si>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</si>
  <si>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</si>
  <si>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</si>
  <si>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</si>
  <si>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</si>
  <si>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</si>
  <si>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</si>
  <si>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</si>
  <si>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</si>
  <si>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</si>
  <si>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</si>
  <si>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</si>
  <si>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</si>
  <si>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</si>
  <si>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</si>
  <si>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</si>
  <si>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</si>
  <si>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</si>
  <si>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</si>
  <si>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</si>
  <si>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</si>
  <si>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</si>
  <si>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</si>
  <si>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</si>
  <si>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</si>
  <si>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</si>
  <si>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</si>
  <si>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</si>
  <si>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</si>
  <si>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</si>
  <si>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</si>
  <si>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</si>
  <si>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</si>
  <si>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</si>
  <si>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</si>
  <si>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</si>
  <si>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</si>
  <si>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</si>
  <si>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</si>
  <si>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</si>
  <si>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</si>
  <si>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</si>
  <si>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</si>
  <si>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</si>
  <si>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</si>
  <si>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</si>
  <si>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</si>
  <si>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</si>
  <si>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</si>
  <si>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</si>
  <si>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</si>
  <si>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</si>
  <si>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</si>
  <si>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</si>
  <si>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</si>
  <si>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</si>
  <si>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</si>
  <si>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</si>
  <si>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</si>
  <si>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</si>
  <si>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</si>
  <si>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</si>
  <si>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</si>
  <si>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</si>
  <si>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</si>
  <si>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</si>
  <si>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</si>
  <si>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</si>
  <si>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</si>
  <si>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</si>
  <si>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</si>
  <si>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</si>
  <si>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</si>
  <si>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</si>
  <si>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</si>
  <si>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</si>
  <si>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</si>
  <si>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</si>
  <si>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</si>
  <si>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</si>
  <si>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</si>
  <si>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</si>
  <si>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</si>
  <si>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</si>
  <si>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</si>
  <si>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</si>
  <si>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</si>
  <si>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</si>
  <si>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</si>
  <si>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</si>
  <si>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</si>
  <si>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</si>
  <si>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</si>
  <si>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</si>
  <si>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</si>
  <si>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</si>
  <si>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</si>
  <si>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</si>
  <si>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</si>
  <si>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</si>
  <si>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</si>
  <si>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</si>
  <si>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</si>
  <si>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</si>
  <si>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</si>
  <si>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</si>
  <si>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</si>
  <si>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</si>
  <si>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</si>
  <si>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</si>
  <si>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</si>
  <si>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</si>
  <si>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</si>
  <si>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</si>
  <si>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</si>
  <si>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</si>
  <si>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</si>
  <si>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</si>
  <si>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</si>
  <si>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</si>
  <si>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</si>
  <si>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</si>
  <si>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</si>
  <si>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</si>
  <si>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</si>
  <si>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</si>
  <si>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</si>
  <si>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</si>
  <si>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</si>
  <si>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</si>
  <si>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</si>
  <si>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</si>
  <si>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</si>
  <si>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</si>
  <si>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</si>
  <si>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</si>
  <si>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</si>
  <si>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</si>
  <si>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</si>
  <si>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</si>
  <si>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</si>
  <si>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</si>
  <si>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</si>
  <si>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</si>
  <si>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</si>
  <si>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</si>
  <si>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</si>
  <si>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</si>
  <si>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</si>
  <si>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</si>
  <si>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</si>
  <si>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</si>
  <si>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</si>
  <si>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</si>
  <si>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</si>
  <si>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</si>
  <si>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</si>
  <si>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</si>
  <si>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</si>
  <si>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</si>
  <si>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</si>
  <si>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</si>
  <si>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</si>
  <si>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</si>
  <si>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</si>
  <si>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</si>
  <si>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</si>
  <si>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</si>
  <si>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</si>
  <si>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</si>
  <si>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</si>
  <si>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</si>
  <si>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</si>
  <si>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</si>
  <si>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</si>
  <si>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</si>
  <si>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</si>
  <si>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</si>
  <si>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</si>
  <si>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</si>
  <si>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</si>
  <si>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</si>
  <si>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</si>
  <si>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</si>
  <si>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</si>
  <si>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</si>
  <si>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</si>
  <si>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</si>
  <si>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</si>
  <si>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</si>
  <si>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</si>
  <si>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</si>
  <si>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</si>
  <si>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</si>
  <si>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</si>
  <si>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</si>
  <si>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</si>
  <si>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</si>
  <si>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</si>
  <si>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</si>
  <si>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</si>
  <si>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</si>
  <si>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</si>
  <si>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</si>
  <si>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</si>
  <si>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</si>
  <si>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</si>
  <si>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</si>
  <si>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</si>
  <si>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</si>
  <si>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</si>
  <si>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</si>
  <si>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</si>
  <si>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</si>
  <si>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</si>
  <si>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</si>
  <si>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</si>
  <si>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</si>
  <si>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</si>
  <si>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</si>
  <si>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</si>
  <si>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</si>
  <si>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</si>
  <si>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</si>
  <si>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</si>
  <si>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</si>
  <si>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</si>
  <si>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</si>
  <si>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</si>
  <si>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</si>
  <si>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</si>
  <si>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</si>
  <si>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</si>
  <si>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</si>
  <si>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</si>
  <si>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</si>
  <si>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</si>
  <si>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</si>
  <si>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</si>
  <si>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</si>
  <si>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</si>
  <si>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</si>
  <si>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</si>
  <si>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</si>
  <si>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</si>
  <si>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</si>
  <si>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</si>
  <si>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</si>
  <si>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</si>
  <si>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</si>
  <si>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</si>
  <si>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</si>
  <si>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</si>
  <si>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</si>
  <si>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</si>
  <si>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</si>
  <si>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</si>
  <si>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</si>
  <si>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</si>
  <si>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</si>
  <si>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</si>
  <si>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</si>
  <si>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</si>
  <si>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</si>
  <si>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</si>
  <si>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</si>
  <si>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</si>
  <si>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</si>
  <si>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</si>
  <si>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</si>
  <si>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</si>
  <si>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</si>
  <si>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</si>
  <si>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</si>
  <si>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</si>
  <si>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</si>
  <si>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</si>
  <si>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</si>
  <si>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</si>
  <si>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</si>
  <si>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</si>
  <si>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</si>
  <si>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</si>
  <si>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</si>
  <si>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</si>
  <si>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</si>
  <si>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</si>
  <si>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</si>
  <si>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</si>
  <si>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</si>
  <si>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</si>
  <si>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</si>
  <si>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</si>
  <si>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</si>
  <si>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</si>
  <si>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</si>
  <si>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</si>
  <si>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</si>
  <si>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</si>
  <si>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</si>
  <si>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</si>
  <si>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</si>
  <si>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</si>
  <si>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</si>
  <si>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</si>
  <si>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</si>
  <si>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</si>
  <si>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</si>
  <si>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</si>
  <si>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</si>
  <si>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</si>
  <si>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</si>
  <si>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</si>
  <si>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</si>
  <si>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</si>
  <si>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</si>
  <si>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</si>
  <si>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</si>
  <si>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</si>
  <si>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</si>
  <si>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</si>
  <si>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</si>
  <si>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</si>
  <si>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</si>
  <si>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</si>
  <si>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</si>
  <si>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</si>
  <si>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</si>
  <si>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</si>
  <si>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</si>
  <si>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</si>
  <si>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</si>
  <si>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</si>
  <si>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</si>
  <si>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</si>
  <si>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</si>
  <si>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</si>
  <si>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</si>
  <si>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</si>
  <si>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</si>
  <si>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</si>
  <si>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</si>
  <si>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</si>
  <si>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</si>
  <si>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</si>
  <si>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</si>
  <si>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</si>
  <si>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</si>
  <si>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</si>
  <si>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</si>
  <si>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</si>
  <si>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</si>
  <si>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</si>
  <si>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</si>
  <si>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</si>
  <si>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</si>
  <si>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</si>
  <si>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</si>
  <si>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</si>
  <si>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</si>
  <si>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</si>
  <si>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</si>
  <si>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</si>
  <si>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</si>
  <si>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</si>
  <si>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</si>
  <si>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</si>
  <si>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</si>
  <si>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</si>
  <si>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</si>
  <si>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</si>
  <si>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</si>
  <si>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</si>
  <si>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</si>
  <si>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</si>
  <si>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</si>
  <si>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</si>
  <si>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</si>
  <si>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</si>
  <si>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</si>
  <si>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</si>
  <si>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</si>
  <si>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</si>
  <si>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</si>
  <si>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</si>
  <si>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</si>
  <si>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</si>
  <si>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</si>
  <si>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</si>
  <si>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</si>
  <si>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</si>
  <si>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</si>
  <si>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</si>
  <si>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</si>
  <si>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</si>
  <si>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</si>
  <si>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</si>
  <si>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</si>
  <si>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</si>
  <si>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</si>
  <si>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</si>
  <si>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</si>
  <si>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</si>
  <si>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</si>
  <si>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</si>
  <si>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</si>
  <si>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</si>
  <si>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</si>
  <si>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</si>
  <si>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</si>
  <si>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</si>
  <si>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</si>
  <si>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</si>
  <si>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</si>
  <si>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</si>
  <si>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</si>
  <si>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</si>
  <si>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</si>
  <si>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</si>
  <si>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</si>
  <si>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</si>
  <si>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</si>
  <si>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</si>
  <si>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</si>
  <si>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</si>
  <si>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</si>
  <si>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</si>
  <si>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</si>
  <si>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</si>
  <si>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</si>
  <si>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</si>
  <si>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</si>
  <si>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</si>
  <si>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</si>
  <si>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</si>
  <si>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</si>
  <si>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</si>
  <si>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</si>
  <si>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</si>
  <si>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</si>
  <si>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</si>
  <si>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</si>
  <si>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</si>
  <si>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</si>
  <si>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</si>
  <si>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</si>
  <si>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</si>
  <si>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</si>
  <si>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</si>
  <si>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</si>
  <si>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</si>
  <si>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</si>
  <si>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</si>
  <si>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</si>
  <si>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</si>
  <si>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</si>
  <si>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</si>
  <si>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</si>
  <si>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</si>
  <si>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</si>
  <si>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</si>
  <si>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</si>
  <si>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</si>
  <si>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</si>
  <si>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</si>
  <si>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</si>
  <si>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</si>
  <si>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</si>
  <si>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</si>
  <si>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</si>
  <si>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</si>
  <si>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</si>
  <si>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</si>
  <si>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</si>
  <si>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</si>
  <si>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</si>
  <si>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</si>
  <si>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</si>
  <si>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</si>
  <si>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</si>
  <si>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</si>
  <si>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</si>
  <si>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</si>
  <si>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</si>
  <si>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</si>
  <si>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</si>
  <si>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</si>
  <si>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</si>
  <si>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</si>
  <si>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</si>
  <si>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</si>
  <si>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</si>
  <si>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</si>
  <si>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</si>
  <si>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</si>
  <si>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</si>
  <si>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</si>
  <si>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</si>
  <si>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</si>
  <si>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</si>
  <si>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</si>
  <si>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</si>
  <si>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</si>
  <si>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</si>
  <si>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</si>
  <si>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</si>
  <si>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</si>
  <si>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</si>
  <si>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</si>
  <si>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</si>
  <si>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</si>
  <si>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</si>
  <si>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</si>
  <si>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</si>
  <si>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</si>
  <si>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</si>
  <si>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</si>
  <si>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</si>
  <si>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</si>
  <si>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</si>
  <si>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</si>
  <si>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</si>
  <si>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</si>
  <si>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</si>
  <si>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</si>
  <si>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</si>
  <si>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</si>
  <si>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</si>
  <si>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</si>
  <si>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</si>
  <si>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</si>
  <si>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</si>
  <si>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</si>
  <si>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</si>
  <si>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</si>
  <si>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</si>
  <si>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</si>
  <si>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</si>
  <si>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</si>
  <si>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</si>
  <si>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</si>
  <si>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</si>
  <si>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</si>
  <si>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</si>
  <si>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</si>
  <si>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</si>
  <si>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</si>
  <si>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</si>
  <si>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</si>
  <si>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</si>
  <si>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</si>
  <si>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</si>
  <si>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</si>
  <si>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</si>
  <si>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</si>
  <si>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</si>
  <si>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</si>
  <si>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</si>
  <si>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</si>
  <si>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</si>
  <si>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</si>
  <si>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</si>
  <si>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</si>
  <si>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</si>
  <si>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</si>
  <si>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</si>
  <si>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</si>
  <si>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</si>
  <si>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</si>
  <si>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</si>
  <si>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</si>
  <si>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</si>
  <si>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</si>
  <si>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</si>
  <si>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</si>
  <si>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</si>
  <si>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</si>
  <si>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</si>
  <si>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</si>
  <si>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</si>
  <si>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</si>
  <si>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</si>
  <si>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</si>
  <si>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</si>
  <si>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</si>
  <si>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</si>
  <si>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</si>
  <si>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</si>
  <si>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</si>
  <si>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</si>
  <si>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</si>
  <si>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</si>
  <si>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</si>
  <si>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</si>
  <si>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</si>
  <si>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</si>
  <si>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</si>
  <si>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</si>
  <si>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</si>
  <si>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</si>
  <si>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</si>
  <si>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</si>
  <si>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</si>
  <si>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</si>
  <si>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</si>
  <si>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</si>
  <si>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</si>
  <si>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</si>
  <si>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</si>
  <si>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</si>
  <si>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</si>
  <si>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</si>
  <si>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</si>
  <si>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</si>
  <si>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</si>
  <si>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</si>
  <si>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</si>
  <si>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</si>
  <si>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</si>
  <si>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</si>
  <si>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</si>
  <si>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</si>
  <si>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</si>
  <si>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</si>
  <si>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</si>
  <si>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</si>
  <si>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</si>
  <si>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</si>
  <si>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</si>
  <si>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</si>
  <si>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</si>
  <si>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</si>
  <si>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</si>
  <si>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</si>
  <si>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</si>
  <si>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</si>
  <si>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</si>
  <si>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</si>
  <si>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</si>
  <si>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</si>
  <si>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</si>
  <si>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</si>
  <si>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</si>
  <si>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</si>
  <si>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</si>
  <si>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</si>
  <si>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</si>
  <si>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</si>
  <si>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</si>
  <si>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</si>
  <si>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</si>
  <si>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</si>
  <si>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</si>
  <si>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</si>
  <si>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</si>
  <si>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</si>
  <si>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</si>
  <si>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</si>
  <si>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</si>
  <si>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</si>
  <si>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</si>
  <si>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</si>
  <si>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</si>
  <si>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</si>
  <si>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</si>
  <si>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</si>
  <si>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</si>
  <si>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</si>
  <si>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</si>
  <si>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</si>
  <si>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</si>
  <si>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</si>
  <si>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</si>
  <si>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</si>
  <si>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</si>
  <si>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</si>
  <si>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</si>
  <si>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</si>
  <si>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</si>
  <si>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</si>
  <si>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</si>
  <si>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</si>
  <si>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</si>
  <si>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</si>
  <si>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</si>
  <si>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</si>
  <si>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</si>
  <si>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</si>
  <si>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</si>
  <si>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</si>
  <si>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</si>
  <si>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</si>
  <si>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</si>
  <si>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</si>
  <si>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</si>
  <si>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</si>
  <si>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</si>
  <si>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</si>
  <si>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</si>
  <si>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</si>
  <si>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</si>
  <si>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</si>
  <si>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</si>
  <si>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</si>
  <si>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</si>
  <si>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</si>
  <si>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</si>
  <si>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</si>
  <si>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</si>
  <si>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</si>
  <si>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</si>
  <si>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</si>
  <si>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</si>
  <si>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</si>
  <si>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</si>
  <si>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</si>
  <si>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</si>
  <si>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</si>
  <si>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</si>
  <si>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</si>
  <si>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</si>
  <si>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</si>
  <si>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</si>
  <si>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</si>
  <si>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</si>
  <si>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</si>
  <si>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</si>
  <si>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</si>
  <si>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</si>
  <si>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</si>
  <si>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</si>
  <si>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</si>
  <si>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</si>
  <si>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</si>
  <si>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</si>
  <si>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</si>
  <si>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</si>
  <si>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</si>
  <si>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</si>
  <si>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</si>
  <si>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</si>
  <si>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</si>
  <si>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</si>
  <si>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</si>
  <si>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</si>
  <si>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</si>
  <si>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</si>
  <si>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</si>
  <si>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</si>
  <si>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</si>
  <si>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</si>
  <si>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</si>
  <si>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</si>
  <si>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</si>
  <si>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</si>
  <si>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</si>
  <si>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</si>
  <si>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</si>
  <si>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</si>
  <si>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</si>
  <si>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</si>
  <si>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</si>
  <si>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</si>
  <si>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</si>
  <si>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</si>
  <si>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</si>
  <si>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</si>
  <si>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</si>
  <si>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</si>
  <si>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</si>
  <si>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</si>
  <si>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</si>
  <si>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</si>
  <si>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</si>
  <si>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</si>
  <si>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</si>
  <si>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</si>
  <si>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</si>
  <si>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</si>
  <si>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</si>
  <si>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</si>
  <si>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</si>
  <si>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</si>
  <si>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</si>
  <si>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</si>
  <si>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</si>
  <si>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</si>
  <si>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</si>
  <si>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</si>
  <si>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</si>
  <si>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</si>
  <si>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</si>
  <si>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</si>
  <si>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</si>
  <si>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</si>
  <si>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</si>
  <si>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</si>
  <si>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</si>
  <si>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</si>
  <si>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</si>
  <si>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</si>
  <si>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</si>
  <si>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</si>
  <si>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</si>
  <si>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</si>
  <si>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</si>
  <si>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</si>
  <si>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</si>
  <si>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</si>
  <si>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</si>
  <si>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</si>
  <si>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</si>
  <si>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</si>
  <si>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</si>
  <si>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</si>
  <si>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</si>
  <si>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</si>
  <si>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</si>
  <si>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</si>
  <si>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</si>
  <si>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</si>
  <si>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</si>
  <si>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</si>
  <si>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</si>
  <si>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</si>
  <si>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</si>
  <si>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</si>
  <si>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</si>
  <si>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</si>
  <si>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</si>
  <si>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</si>
  <si>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</si>
  <si>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</si>
  <si>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</si>
  <si>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</si>
  <si>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</si>
  <si>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</si>
  <si>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</si>
  <si>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</si>
  <si>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</si>
  <si>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</si>
  <si>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</si>
  <si>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</si>
  <si>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</si>
  <si>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</si>
  <si>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</si>
  <si>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</si>
  <si>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</si>
  <si>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</si>
  <si>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</si>
  <si>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</si>
  <si>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</si>
  <si>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</si>
  <si>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</si>
  <si>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</si>
  <si>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</si>
  <si>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</si>
  <si>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</si>
  <si>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</si>
  <si>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</si>
  <si>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</si>
  <si>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</si>
  <si>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</si>
  <si>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</si>
  <si>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</si>
  <si>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</si>
  <si>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</si>
  <si>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</si>
  <si>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</si>
  <si>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</si>
  <si>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</si>
  <si>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</si>
  <si>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</si>
  <si>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</si>
  <si>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</si>
  <si>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</si>
  <si>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</si>
  <si>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</si>
  <si>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</si>
  <si>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</si>
  <si>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</si>
  <si>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</si>
  <si>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</si>
  <si>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</si>
  <si>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</si>
  <si>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</si>
  <si>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</si>
  <si>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</si>
  <si>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</si>
  <si>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</si>
  <si>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</si>
  <si>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</si>
  <si>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</si>
  <si>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</si>
  <si>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</si>
  <si>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</si>
  <si>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</si>
  <si>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</si>
  <si>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</si>
  <si>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</si>
  <si>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</si>
  <si>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</si>
  <si>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</si>
  <si>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</si>
  <si>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</si>
  <si>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</si>
  <si>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</si>
  <si>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</si>
  <si>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</si>
  <si>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</si>
  <si>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</si>
  <si>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</si>
  <si>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</si>
  <si>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</si>
  <si>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</si>
  <si>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</si>
  <si>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</si>
  <si>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</si>
  <si>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</si>
  <si>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</si>
  <si>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</si>
  <si>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</si>
  <si>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</si>
  <si>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</si>
  <si>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</si>
  <si>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</si>
  <si>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</si>
  <si>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</si>
  <si>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</si>
  <si>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</si>
  <si>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</si>
  <si>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</si>
  <si>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</si>
  <si>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</si>
  <si>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</si>
  <si>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</si>
  <si>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</si>
  <si>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</si>
  <si>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</si>
  <si>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</si>
  <si>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</si>
  <si>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</si>
  <si>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</si>
  <si>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</si>
  <si>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</si>
  <si>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</si>
  <si>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</si>
  <si>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</si>
  <si>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</si>
  <si>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</si>
  <si>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</si>
  <si>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</si>
  <si>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</si>
  <si>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</si>
  <si>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</si>
  <si>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</si>
  <si>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</si>
  <si>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</si>
  <si>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</si>
  <si>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</si>
  <si>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</si>
  <si>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</si>
  <si>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</si>
  <si>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</si>
  <si>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</si>
  <si>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</si>
  <si>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</si>
  <si>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</si>
  <si>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</si>
  <si>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</si>
  <si>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</si>
  <si>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</si>
  <si>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</si>
  <si>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</si>
  <si>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</si>
  <si>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</si>
  <si>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</si>
  <si>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</si>
  <si>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</si>
  <si>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</si>
  <si>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</si>
  <si>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</si>
  <si>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</si>
  <si>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</si>
  <si>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</si>
  <si>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</si>
  <si>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</si>
  <si>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</si>
  <si>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</si>
  <si>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</si>
  <si>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</si>
  <si>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</si>
  <si>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</si>
  <si>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</si>
  <si>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</si>
  <si>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</si>
  <si>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</si>
  <si>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</si>
  <si>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</si>
  <si>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</si>
  <si>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</si>
  <si>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</si>
  <si>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</si>
  <si>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</si>
  <si>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</si>
  <si>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</si>
  <si>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</si>
  <si>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</si>
  <si>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</si>
  <si>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</si>
  <si>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</si>
  <si>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</si>
  <si>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</si>
  <si>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</si>
  <si>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</si>
  <si>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</si>
  <si>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</si>
  <si>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</si>
  <si>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</si>
  <si>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</si>
  <si>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</si>
  <si>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</si>
  <si>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</si>
  <si>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</si>
  <si>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</si>
  <si>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</si>
  <si>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</si>
  <si>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</si>
  <si>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</si>
  <si>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</si>
  <si>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</si>
  <si>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</si>
  <si>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</si>
  <si>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</si>
  <si>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</si>
  <si>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</si>
  <si>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</si>
  <si>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</si>
  <si>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</si>
  <si>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</si>
  <si>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</si>
  <si>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</si>
  <si>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</si>
  <si>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</si>
  <si>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</si>
  <si>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</si>
  <si>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</si>
  <si>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</si>
  <si>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</si>
  <si>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</si>
  <si>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</si>
  <si>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</si>
  <si>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</si>
  <si>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</si>
  <si>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</si>
  <si>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</si>
  <si>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</si>
  <si>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</si>
  <si>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</si>
  <si>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</si>
  <si>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</si>
  <si>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</si>
  <si>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</si>
  <si>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</si>
  <si>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</si>
  <si>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</si>
  <si>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</si>
  <si>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</si>
  <si>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</si>
  <si>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</si>
  <si>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</si>
  <si>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</si>
  <si>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</si>
  <si>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</si>
  <si>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</si>
  <si>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</si>
  <si>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</si>
  <si>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</si>
  <si>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</si>
  <si>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</si>
  <si>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</si>
  <si>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</si>
  <si>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</si>
  <si>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</si>
  <si>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</si>
  <si>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</si>
  <si>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</si>
  <si>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</si>
  <si>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</si>
  <si>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</si>
  <si>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</si>
  <si>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</si>
  <si>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</si>
  <si>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</si>
  <si>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</si>
  <si>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</si>
  <si>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</si>
  <si>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</si>
  <si>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</si>
  <si>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</si>
  <si>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</si>
  <si>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</si>
  <si>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</si>
  <si>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</si>
  <si>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</si>
  <si>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</si>
  <si>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</si>
  <si>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</si>
  <si>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</si>
  <si>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</si>
  <si>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</si>
  <si>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</si>
  <si>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</si>
  <si>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</si>
  <si>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</si>
  <si>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</si>
  <si>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</si>
  <si>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</si>
  <si>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</si>
  <si>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</si>
  <si>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</si>
  <si>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</si>
  <si>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</si>
  <si>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</si>
  <si>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</si>
  <si>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</si>
  <si>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</si>
  <si>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</si>
  <si>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</si>
  <si>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</si>
  <si>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</si>
  <si>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</si>
  <si>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</si>
  <si>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</si>
  <si>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</si>
  <si>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</si>
  <si>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</si>
  <si>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</si>
  <si>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</si>
  <si>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</si>
  <si>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</si>
  <si>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</si>
  <si>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</si>
  <si>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</si>
  <si>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</si>
  <si>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</si>
  <si>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</si>
  <si>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</si>
  <si>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</si>
  <si>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</si>
  <si>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</si>
  <si>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</si>
  <si>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</si>
  <si>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</si>
  <si>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</si>
  <si>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</si>
  <si>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</si>
  <si>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</si>
  <si>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</si>
  <si>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</si>
  <si>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</si>
  <si>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</si>
  <si>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</si>
  <si>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</si>
  <si>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</si>
  <si>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</si>
  <si>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</si>
  <si>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</si>
  <si>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</si>
  <si>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</si>
  <si>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</si>
  <si>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</si>
  <si>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</si>
  <si>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</si>
  <si>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</si>
  <si>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</si>
  <si>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</si>
  <si>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</si>
  <si>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</si>
  <si>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</si>
  <si>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</si>
  <si>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</si>
  <si>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</si>
  <si>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</si>
  <si>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</si>
  <si>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</si>
  <si>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</si>
  <si>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</si>
  <si>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</si>
  <si>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</si>
  <si>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</si>
  <si>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</si>
  <si>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</si>
  <si>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</si>
  <si>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</si>
  <si>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</si>
  <si>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</si>
  <si>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</si>
  <si>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</si>
  <si>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</si>
  <si>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</si>
  <si>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</si>
  <si>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</si>
  <si>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</si>
  <si>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</si>
  <si>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</si>
  <si>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</si>
  <si>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</si>
  <si>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</si>
  <si>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</si>
  <si>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</si>
  <si>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</si>
  <si>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</si>
  <si>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</si>
  <si>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</si>
  <si>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</si>
  <si>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</si>
  <si>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</si>
  <si>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</si>
  <si>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</si>
  <si>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</si>
  <si>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</si>
  <si>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</si>
  <si>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</si>
  <si>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</si>
  <si>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</si>
  <si>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</si>
  <si>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</si>
  <si>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</si>
  <si>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</si>
  <si>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</si>
  <si>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</si>
  <si>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</si>
  <si>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</si>
  <si>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</si>
  <si>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</si>
  <si>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</si>
  <si>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</si>
  <si>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</si>
  <si>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</si>
  <si>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</si>
  <si>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</si>
  <si>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</si>
  <si>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</si>
  <si>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</si>
  <si>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</si>
  <si>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</si>
  <si>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</si>
  <si>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</si>
  <si>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</si>
  <si>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</si>
  <si>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</si>
  <si>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</si>
  <si>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</si>
  <si>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</si>
  <si>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</si>
  <si>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</si>
  <si>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</si>
  <si>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</si>
  <si>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</si>
  <si>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</si>
  <si>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</si>
  <si>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</si>
  <si>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</si>
  <si>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</si>
  <si>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</si>
  <si>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</si>
  <si>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</si>
  <si>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</si>
  <si>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</si>
  <si>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</si>
  <si>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</si>
  <si>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</si>
  <si>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</si>
  <si>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</si>
  <si>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</si>
  <si>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</si>
  <si>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</si>
  <si>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</si>
  <si>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</si>
  <si>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</si>
  <si>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</si>
  <si>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</si>
  <si>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</si>
  <si>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</si>
  <si>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</si>
  <si>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</si>
  <si>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</si>
  <si>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</si>
  <si>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</si>
  <si>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</si>
  <si>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</si>
  <si>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</si>
  <si>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</si>
  <si>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</si>
  <si>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</si>
  <si>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</si>
  <si>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</si>
  <si>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</si>
  <si>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</si>
  <si>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</si>
  <si>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</si>
  <si>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</si>
  <si>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</si>
  <si>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</si>
  <si>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</si>
  <si>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</si>
  <si>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</si>
  <si>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</si>
  <si>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</si>
  <si>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</si>
  <si>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</si>
  <si>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</si>
  <si>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</si>
  <si>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</si>
  <si>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</si>
  <si>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</si>
  <si>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</si>
  <si>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</si>
  <si>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</si>
  <si>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</si>
  <si>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</si>
  <si>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</si>
  <si>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</si>
  <si>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</si>
  <si>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</si>
  <si>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</si>
  <si>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</si>
  <si>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</si>
  <si>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</si>
  <si>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</si>
  <si>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</si>
  <si>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</si>
  <si>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</si>
  <si>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</si>
  <si>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</si>
  <si>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</si>
  <si>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</si>
  <si>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</si>
  <si>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</si>
  <si>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</si>
  <si>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</si>
  <si>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</si>
  <si>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</si>
  <si>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</si>
  <si>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</si>
  <si>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</si>
  <si>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</si>
  <si>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</si>
  <si>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</si>
  <si>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</si>
  <si>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</si>
  <si>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</si>
  <si>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</si>
  <si>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</si>
  <si>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</si>
  <si>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</si>
  <si>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</si>
  <si>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</si>
  <si>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</si>
  <si>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</si>
  <si>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</si>
  <si>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</si>
  <si>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</si>
  <si>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</si>
  <si>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</si>
  <si>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</si>
  <si>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</si>
  <si>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</si>
  <si>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</si>
  <si>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</si>
  <si>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</si>
  <si>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</si>
  <si>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</si>
  <si>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</si>
  <si>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</si>
  <si>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</si>
  <si>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</si>
  <si>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</si>
  <si>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</si>
  <si>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</si>
  <si>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</si>
  <si>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</si>
  <si>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</si>
  <si>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</si>
  <si>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</si>
  <si>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</si>
  <si>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</si>
  <si>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</si>
  <si>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</si>
  <si>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</si>
  <si>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</si>
  <si>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</si>
  <si>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</si>
  <si>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</si>
  <si>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</si>
  <si>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</si>
  <si>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</si>
  <si>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</si>
  <si>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</si>
  <si>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</si>
  <si>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</si>
  <si>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</si>
  <si>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</si>
  <si>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</si>
  <si>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</si>
  <si>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</si>
  <si>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</si>
  <si>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</si>
  <si>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</si>
  <si>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</si>
  <si>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</si>
  <si>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</si>
  <si>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</si>
  <si>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</si>
  <si>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</si>
  <si>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</si>
  <si>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</si>
  <si>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</si>
  <si>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</si>
  <si>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</si>
  <si>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</si>
  <si>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</si>
  <si>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</si>
  <si>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</si>
  <si>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</si>
  <si>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</si>
  <si>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</si>
  <si>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</si>
  <si>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</si>
  <si>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</si>
  <si>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</si>
  <si>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</si>
  <si>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</si>
  <si>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</si>
  <si>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</si>
  <si>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</si>
  <si>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</si>
  <si>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</si>
  <si>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</si>
  <si>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</si>
  <si>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</si>
  <si>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</si>
  <si>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</si>
  <si>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</si>
  <si>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</si>
  <si>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</si>
  <si>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</si>
  <si>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</si>
  <si>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</si>
  <si>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</si>
  <si>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</si>
  <si>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</si>
  <si>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</si>
  <si>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</si>
  <si>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</si>
  <si>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</si>
  <si>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</si>
  <si>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</si>
  <si>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</si>
  <si>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</si>
  <si>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</si>
  <si>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</si>
  <si>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</si>
  <si>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</si>
  <si>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</si>
  <si>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</si>
  <si>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</si>
  <si>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</si>
  <si>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</si>
  <si>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</si>
  <si>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</si>
  <si>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</si>
  <si>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</si>
  <si>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</si>
  <si>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</si>
  <si>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</si>
  <si>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</si>
  <si>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</si>
  <si>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</si>
  <si>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</si>
  <si>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</si>
  <si>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</si>
  <si>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</si>
  <si>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</si>
  <si>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</si>
  <si>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</si>
  <si>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</si>
  <si>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</si>
  <si>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</si>
  <si>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</si>
  <si>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</si>
  <si>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</si>
  <si>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</si>
  <si>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</si>
  <si>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</si>
  <si>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</si>
  <si>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</si>
  <si>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</si>
  <si>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</si>
  <si>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</si>
  <si>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</si>
  <si>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</si>
  <si>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</si>
  <si>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</si>
  <si>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</si>
  <si>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</si>
  <si>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</si>
  <si>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</si>
  <si>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</si>
  <si>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</si>
  <si>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</si>
  <si>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</si>
  <si>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</si>
  <si>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</si>
  <si>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</si>
  <si>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</si>
  <si>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</si>
  <si>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</si>
  <si>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</si>
  <si>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</si>
  <si>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</si>
  <si>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</si>
  <si>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</si>
  <si>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</si>
  <si>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</si>
  <si>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</si>
  <si>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</si>
  <si>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</si>
  <si>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</si>
  <si>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</si>
  <si>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</si>
  <si>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</si>
  <si>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</si>
  <si>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</si>
  <si>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</si>
  <si>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</si>
  <si>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</si>
  <si>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</si>
  <si>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</si>
  <si>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</si>
  <si>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</si>
  <si>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</si>
  <si>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</si>
  <si>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</si>
  <si>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</si>
  <si>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</si>
  <si>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</si>
  <si>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</si>
  <si>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</si>
  <si>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</si>
  <si>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</si>
  <si>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</si>
  <si>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</si>
  <si>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</si>
  <si>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</si>
  <si>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</si>
  <si>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</si>
  <si>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</si>
  <si>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</si>
  <si>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</si>
  <si>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</si>
  <si>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</si>
  <si>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</si>
  <si>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</si>
  <si>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</si>
  <si>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</si>
  <si>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</si>
  <si>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</si>
  <si>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</si>
  <si>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</si>
  <si>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</si>
  <si>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</si>
  <si>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</si>
  <si>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</si>
  <si>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</si>
  <si>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</si>
  <si>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</si>
  <si>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</si>
  <si>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</si>
  <si>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</si>
  <si>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</si>
  <si>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</si>
  <si>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</si>
  <si>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</si>
  <si>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</si>
  <si>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</si>
  <si>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</si>
  <si>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</si>
  <si>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</si>
  <si>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</si>
  <si>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</si>
  <si>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</si>
  <si>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</si>
  <si>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</si>
  <si>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</si>
  <si>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</si>
  <si>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</si>
  <si>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</si>
  <si>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</si>
  <si>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</si>
  <si>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</si>
  <si>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</si>
  <si>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</si>
  <si>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</si>
  <si>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</si>
  <si>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</si>
  <si>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</si>
  <si>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</si>
  <si>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</si>
  <si>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</si>
  <si>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</si>
  <si>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</si>
  <si>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</si>
  <si>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</si>
  <si>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</si>
  <si>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</si>
  <si>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</si>
  <si>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</si>
  <si>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</si>
  <si>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</si>
  <si>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</si>
  <si>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</si>
  <si>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</si>
  <si>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</si>
  <si>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</si>
  <si>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</si>
  <si>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</si>
  <si>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</si>
  <si>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</si>
  <si>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</si>
  <si>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</si>
  <si>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</si>
  <si>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</si>
  <si>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</si>
  <si>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</si>
  <si>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</si>
  <si>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</si>
  <si>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</si>
  <si>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</si>
  <si>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</si>
  <si>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</si>
  <si>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</si>
  <si>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</si>
  <si>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</si>
  <si>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</si>
  <si>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</si>
  <si>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</si>
  <si>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</si>
  <si>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</si>
  <si>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</si>
  <si>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</si>
  <si>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</si>
  <si>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</si>
  <si>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</si>
  <si>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</si>
  <si>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</si>
  <si>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</si>
  <si>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</si>
  <si>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</si>
  <si>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</si>
  <si>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</si>
  <si>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</si>
  <si>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</si>
  <si>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</si>
  <si>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</si>
  <si>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</si>
  <si>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</si>
  <si>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</si>
  <si>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</si>
  <si>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</si>
  <si>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</si>
  <si>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</si>
  <si>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</si>
  <si>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</si>
  <si>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</si>
  <si>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</si>
  <si>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</si>
  <si>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</si>
  <si>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</si>
  <si>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</si>
  <si>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</si>
  <si>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</si>
  <si>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</si>
  <si>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</si>
  <si>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</si>
  <si>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</si>
  <si>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</si>
  <si>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</si>
  <si>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</si>
  <si>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</si>
  <si>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</si>
  <si>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</si>
  <si>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</si>
  <si>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</si>
  <si>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</si>
  <si>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</si>
  <si>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</si>
  <si>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</si>
  <si>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</si>
  <si>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</si>
  <si>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</si>
  <si>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</si>
  <si>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</si>
  <si>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</si>
  <si>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</si>
  <si>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</si>
  <si>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</si>
  <si>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</si>
  <si>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</si>
  <si>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</si>
  <si>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</si>
  <si>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</si>
  <si>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</si>
  <si>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</si>
  <si>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</si>
  <si>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</si>
  <si>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</si>
  <si>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</si>
  <si>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</si>
  <si>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</si>
  <si>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</si>
  <si>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</si>
  <si>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</si>
  <si>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</si>
  <si>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</si>
  <si>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</si>
  <si>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</si>
  <si>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</si>
  <si>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</si>
  <si>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</si>
  <si>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</si>
  <si>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</si>
  <si>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</si>
  <si>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</si>
  <si>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</si>
  <si>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</si>
  <si>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</si>
  <si>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</si>
  <si>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</si>
  <si>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</si>
  <si>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</si>
  <si>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</si>
  <si>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</si>
  <si>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</si>
  <si>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</si>
  <si>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</si>
  <si>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</si>
  <si>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</si>
  <si>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</si>
  <si>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</si>
  <si>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</si>
  <si>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</si>
  <si>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</si>
  <si>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</si>
  <si>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</si>
  <si>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</si>
  <si>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</si>
  <si>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</si>
  <si>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</si>
  <si>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</si>
  <si>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</si>
  <si>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</si>
  <si>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</si>
  <si>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</si>
  <si>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</si>
  <si>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</si>
  <si>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</si>
  <si>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</si>
  <si>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</si>
  <si>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</si>
  <si>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</si>
  <si>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</si>
  <si>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</si>
  <si>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</si>
  <si>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</si>
  <si>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</si>
  <si>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</si>
  <si>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</si>
  <si>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</si>
  <si>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</si>
  <si>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</si>
  <si>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</si>
  <si>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</si>
  <si>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</si>
  <si>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</si>
  <si>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</si>
  <si>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</si>
  <si>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</si>
  <si>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</si>
  <si>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</si>
  <si>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</si>
  <si>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</si>
  <si>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</si>
  <si>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</si>
  <si>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</si>
  <si>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</si>
  <si>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</si>
  <si>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</si>
  <si>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</si>
  <si>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</si>
  <si>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</si>
  <si>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</si>
  <si>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</si>
  <si>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</si>
  <si>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</si>
  <si>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</si>
  <si>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</si>
  <si>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</si>
  <si>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</si>
  <si>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</si>
  <si>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</si>
  <si>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</si>
  <si>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</si>
  <si>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</si>
  <si>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</si>
  <si>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</si>
  <si>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</si>
  <si>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</si>
  <si>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</si>
  <si>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</si>
  <si>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</si>
  <si>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</si>
  <si>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</si>
  <si>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</si>
  <si>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</si>
  <si>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</si>
  <si>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</si>
  <si>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</si>
  <si>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</si>
  <si>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</si>
  <si>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</si>
  <si>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</si>
  <si>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</si>
  <si>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</si>
  <si>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</si>
  <si>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</si>
  <si>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</si>
  <si>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</si>
  <si>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</si>
  <si>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</si>
  <si>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</si>
  <si>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</si>
  <si>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</si>
  <si>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</si>
  <si>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</si>
  <si>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</si>
  <si>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</si>
  <si>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</si>
  <si>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</si>
  <si>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</si>
  <si>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</si>
  <si>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</si>
  <si>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</si>
  <si>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</si>
  <si>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</si>
  <si>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</si>
  <si>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</si>
  <si>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</si>
  <si>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</si>
  <si>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</si>
  <si>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</si>
  <si>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</si>
  <si>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</si>
  <si>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</si>
  <si>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</si>
  <si>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</si>
  <si>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</si>
  <si>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</si>
  <si>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</si>
  <si>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</si>
  <si>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</si>
  <si>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</si>
  <si>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</si>
  <si>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</si>
  <si>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</si>
  <si>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</si>
  <si>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</si>
  <si>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</si>
  <si>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</si>
  <si>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</si>
  <si>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</si>
  <si>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</si>
  <si>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</si>
  <si>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</si>
  <si>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</si>
  <si>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</si>
  <si>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</si>
  <si>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</si>
  <si>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</si>
  <si>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</si>
  <si>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</si>
  <si>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</si>
  <si>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</si>
  <si>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</si>
  <si>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</si>
  <si>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</si>
  <si>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</si>
  <si>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</si>
  <si>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</si>
  <si>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</si>
  <si>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</si>
  <si>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</si>
  <si>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</si>
  <si>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</si>
  <si>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</si>
  <si>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</si>
  <si>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</si>
  <si>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</si>
  <si>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</si>
  <si>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</si>
  <si>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</si>
  <si>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</si>
  <si>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</si>
  <si>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</si>
  <si>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</si>
  <si>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</si>
  <si>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</si>
  <si>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</si>
  <si>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</si>
  <si>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</si>
  <si>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</si>
  <si>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</si>
  <si>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</si>
  <si>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</si>
  <si>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</si>
  <si>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</si>
  <si>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</si>
  <si>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</si>
  <si>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</si>
  <si>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</si>
  <si>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</si>
  <si>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</si>
  <si>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</si>
  <si>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</si>
  <si>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</si>
  <si>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</si>
  <si>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</si>
  <si>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</si>
  <si>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</si>
  <si>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</si>
  <si>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</si>
  <si>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</si>
  <si>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</si>
  <si>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</si>
  <si>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</si>
  <si>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</si>
  <si>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</si>
  <si>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</si>
  <si>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</si>
  <si>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</si>
  <si>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</si>
  <si>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</si>
  <si>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</si>
  <si>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</si>
  <si>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</si>
  <si>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</si>
  <si>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</si>
  <si>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</si>
  <si>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</si>
  <si>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</si>
  <si>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</si>
  <si>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</si>
  <si>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</si>
  <si>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</si>
  <si>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</si>
  <si>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</si>
  <si>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</si>
  <si>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</si>
  <si>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</si>
  <si>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</si>
  <si>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</si>
  <si>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</si>
  <si>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</si>
  <si>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</si>
  <si>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</si>
  <si>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</si>
  <si>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</si>
  <si>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</si>
  <si>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</si>
  <si>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</si>
  <si>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</si>
  <si>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</si>
  <si>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</si>
  <si>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</si>
  <si>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</si>
  <si>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</si>
  <si>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</si>
  <si>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</si>
  <si>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</si>
  <si>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</si>
  <si>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</si>
  <si>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</si>
  <si>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</si>
  <si>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</si>
  <si>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</si>
  <si>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</si>
  <si>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</si>
  <si>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</si>
  <si>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</si>
  <si>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</si>
  <si>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</si>
  <si>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</si>
  <si>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</si>
  <si>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</si>
  <si>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</si>
  <si>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</si>
  <si>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</si>
  <si>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</si>
  <si>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</si>
  <si>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</si>
  <si>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</si>
  <si>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</si>
  <si>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</si>
  <si>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</si>
  <si>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</si>
  <si>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</si>
  <si>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</si>
  <si>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</si>
  <si>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</si>
  <si>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</si>
  <si>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</si>
  <si>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</si>
  <si>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</si>
  <si>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</si>
  <si>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</si>
  <si>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</si>
  <si>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</si>
  <si>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</si>
  <si>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</si>
  <si>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</si>
  <si>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</si>
  <si>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</si>
  <si>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</si>
  <si>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</si>
  <si>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</si>
  <si>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</si>
  <si>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</si>
  <si>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</si>
  <si>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</si>
  <si>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</si>
  <si>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</si>
  <si>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</si>
  <si>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</si>
  <si>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</si>
  <si>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</si>
  <si>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</si>
  <si>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</si>
  <si>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</si>
  <si>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</si>
  <si>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</si>
  <si>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</si>
  <si>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</si>
  <si>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</si>
  <si>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</si>
  <si>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</si>
  <si>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</si>
  <si>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</si>
  <si>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</si>
  <si>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</si>
  <si>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</si>
  <si>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</si>
  <si>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</si>
  <si>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</si>
  <si>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</si>
  <si>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</si>
  <si>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</si>
  <si>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</si>
  <si>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</si>
  <si>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</si>
  <si>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</si>
  <si>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</si>
  <si>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</si>
  <si>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</si>
  <si>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</si>
  <si>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</si>
  <si>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</si>
  <si>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</si>
  <si>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</si>
  <si>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</si>
  <si>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</si>
  <si>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</si>
  <si>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</si>
  <si>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</si>
  <si>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</si>
  <si>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</si>
  <si>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</si>
  <si>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</si>
  <si>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</si>
  <si>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</si>
  <si>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</si>
  <si>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</si>
  <si>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</si>
  <si>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</si>
  <si>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</si>
  <si>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</si>
  <si>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</si>
  <si>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</si>
  <si>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</si>
  <si>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</si>
  <si>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</si>
  <si>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</si>
  <si>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</si>
  <si>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</si>
  <si>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</si>
  <si>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</si>
  <si>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</si>
  <si>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</si>
  <si>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</si>
  <si>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</si>
  <si>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</si>
  <si>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</si>
  <si>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</si>
  <si>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</si>
  <si>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</si>
  <si>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</si>
  <si>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</si>
  <si>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</si>
  <si>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</si>
  <si>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</si>
  <si>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</si>
  <si>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</si>
  <si>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</si>
  <si>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</si>
  <si>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</si>
  <si>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</si>
  <si>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</si>
  <si>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</si>
  <si>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</si>
  <si>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</si>
  <si>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</si>
  <si>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</si>
  <si>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</si>
  <si>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</si>
  <si>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</si>
  <si>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</si>
  <si>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</si>
  <si>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</si>
  <si>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</si>
  <si>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</si>
  <si>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</si>
  <si>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</si>
  <si>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</si>
  <si>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</si>
  <si>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</si>
  <si>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</si>
  <si>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</si>
  <si>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</si>
  <si>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</si>
  <si>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</si>
  <si>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</si>
  <si>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</si>
  <si>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</si>
  <si>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</si>
  <si>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</si>
  <si>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</si>
  <si>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</si>
  <si>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</si>
  <si>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</si>
  <si>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</si>
  <si>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</si>
  <si>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</si>
  <si>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</si>
  <si>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</si>
  <si>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</si>
  <si>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</si>
  <si>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</si>
  <si>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</si>
  <si>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</si>
  <si>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</si>
  <si>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</si>
  <si>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</si>
  <si>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</si>
  <si>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</si>
  <si>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</si>
  <si>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</si>
  <si>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</si>
  <si>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</si>
  <si>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</si>
  <si>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</si>
  <si>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</si>
  <si>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</si>
  <si>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</si>
  <si>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</si>
  <si>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</si>
  <si>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</si>
  <si>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</si>
  <si>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</si>
  <si>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</si>
  <si>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</si>
  <si>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</si>
  <si>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</si>
  <si>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</si>
  <si>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</si>
  <si>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</si>
  <si>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</si>
  <si>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</si>
  <si>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</si>
  <si>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</si>
  <si>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</si>
  <si>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</si>
  <si>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</si>
  <si>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</si>
  <si>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</si>
  <si>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</si>
  <si>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</si>
  <si>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</si>
  <si>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</si>
  <si>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</si>
  <si>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</si>
  <si>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</si>
  <si>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</si>
  <si>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</si>
  <si>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</si>
  <si>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</si>
  <si>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</si>
  <si>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</si>
  <si>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</si>
  <si>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</si>
  <si>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</si>
  <si>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</si>
  <si>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</si>
  <si>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</si>
  <si>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</si>
  <si>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</si>
  <si>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</si>
  <si>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</si>
  <si>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</si>
  <si>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</si>
  <si>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</si>
  <si>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</si>
  <si>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</si>
  <si>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</si>
  <si>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</si>
  <si>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</si>
  <si>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</si>
  <si>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</si>
  <si>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</si>
  <si>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</si>
  <si>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</si>
  <si>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</si>
  <si>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</si>
  <si>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</si>
  <si>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</si>
  <si>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</si>
  <si>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</si>
  <si>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</si>
  <si>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</si>
  <si>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</si>
  <si>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</si>
  <si>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</si>
  <si>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</si>
  <si>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</si>
  <si>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</si>
  <si>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</si>
  <si>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</si>
  <si>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</si>
  <si>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</si>
  <si>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</si>
  <si>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</si>
  <si>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</si>
  <si>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</si>
  <si>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</si>
  <si>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</si>
  <si>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</si>
  <si>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</si>
  <si>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</si>
  <si>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</si>
  <si>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</si>
  <si>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</si>
  <si>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</si>
  <si>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</si>
  <si>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</si>
  <si>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</si>
  <si>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</si>
  <si>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</si>
  <si>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</si>
  <si>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</si>
  <si>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</si>
  <si>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</si>
  <si>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</si>
  <si>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</si>
  <si>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</si>
  <si>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</si>
  <si>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</si>
  <si>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</si>
  <si>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</si>
  <si>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</si>
  <si>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</si>
  <si>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</si>
  <si>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</si>
  <si>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</si>
  <si>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</si>
  <si>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</si>
  <si>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</si>
  <si>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</si>
  <si>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</si>
  <si>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</si>
  <si>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</si>
  <si>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</si>
  <si>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</si>
  <si>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</si>
  <si>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</si>
  <si>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</si>
  <si>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</si>
  <si>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</si>
  <si>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</si>
  <si>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</si>
  <si>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</si>
  <si>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</si>
  <si>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</si>
  <si>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</si>
  <si>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</si>
  <si>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</si>
  <si>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</si>
  <si>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</si>
  <si>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</si>
  <si>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</si>
  <si>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</si>
  <si>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</si>
  <si>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</si>
  <si>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</si>
  <si>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</si>
  <si>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</si>
  <si>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</si>
  <si>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</si>
  <si>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</si>
  <si>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</si>
  <si>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</si>
  <si>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</si>
  <si>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</si>
  <si>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</si>
  <si>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</si>
  <si>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</si>
  <si>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</si>
  <si>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</si>
  <si>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</si>
  <si>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</si>
  <si>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</si>
  <si>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</si>
  <si>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</si>
  <si>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</si>
  <si>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</si>
  <si>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</si>
  <si>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</si>
  <si>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</si>
  <si>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</si>
  <si>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</si>
  <si>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</si>
  <si>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</si>
  <si>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</si>
  <si>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</si>
  <si>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</si>
  <si>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</si>
  <si>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</si>
  <si>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</si>
  <si>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</si>
  <si>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</si>
  <si>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</si>
  <si>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</si>
  <si>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</si>
  <si>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</si>
  <si>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</si>
  <si>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</si>
  <si>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</si>
  <si>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</si>
  <si>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</si>
  <si>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</si>
  <si>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</si>
  <si>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</si>
  <si>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</si>
  <si>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</si>
  <si>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</si>
  <si>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</si>
  <si>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</si>
  <si>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</si>
  <si>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</si>
  <si>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</si>
  <si>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</si>
  <si>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</si>
  <si>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</si>
  <si>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</si>
  <si>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</si>
  <si>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</si>
  <si>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</si>
  <si>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</si>
  <si>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</si>
  <si>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</si>
  <si>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</si>
  <si>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</si>
  <si>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</si>
  <si>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</si>
  <si>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</si>
  <si>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</si>
  <si>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</si>
  <si>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</si>
  <si>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</si>
  <si>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</si>
  <si>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</si>
  <si>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</si>
  <si>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</si>
  <si>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</si>
  <si>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</si>
  <si>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</si>
  <si>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</si>
  <si>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</si>
  <si>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</si>
  <si>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</si>
  <si>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</si>
  <si>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</si>
  <si>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</si>
  <si>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</si>
  <si>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</si>
  <si>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</si>
  <si>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</si>
  <si>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</si>
  <si>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</si>
  <si>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</si>
  <si>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</si>
  <si>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</si>
  <si>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</si>
  <si>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</si>
  <si>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</si>
  <si>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</si>
  <si>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</si>
  <si>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</si>
  <si>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</si>
  <si>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</si>
  <si>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</si>
  <si>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</si>
  <si>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</si>
  <si>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</si>
  <si>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</si>
  <si>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</si>
  <si>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</si>
  <si>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</si>
  <si>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</si>
  <si>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</si>
  <si>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</si>
  <si>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</si>
  <si>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</si>
  <si>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</si>
  <si>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</si>
  <si>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</si>
  <si>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</si>
  <si>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</si>
  <si>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</si>
  <si>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</si>
  <si>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</si>
  <si>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</si>
  <si>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</si>
  <si>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</si>
  <si>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</si>
  <si>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</si>
  <si>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</si>
  <si>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</si>
  <si>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</si>
  <si>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</si>
  <si>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</si>
  <si>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</si>
  <si>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</si>
  <si>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</si>
  <si>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</si>
  <si>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</si>
  <si>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</si>
  <si>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</si>
  <si>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</si>
  <si>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</si>
  <si>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</si>
  <si>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</si>
  <si>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</si>
  <si>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</si>
  <si>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</si>
  <si>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</si>
  <si>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</si>
  <si>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</si>
  <si>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</si>
  <si>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</si>
  <si>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</si>
  <si>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</si>
  <si>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</si>
  <si>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</si>
  <si>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</si>
  <si>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</si>
  <si>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</si>
  <si>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Asm</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</si>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</sst>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8">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xf numFmtId="0" fontId="0" fillId="7" borderId="0" xfId="0" applyFill="1"/>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A5" zoomScale="70" zoomScaleNormal="70" workbookViewId="0">
      <selection activeCell="N22" sqref="N22"/>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10536</v>
      </c>
      <c r="E6" t="s">
        <v>10537</v>
      </c>
      <c r="F6" t="s">
        <v>10518</v>
      </c>
      <c r="G6" t="s">
        <v>10518</v>
      </c>
      <c r="H6" t="s">
        <v>10458</v>
      </c>
      <c r="J6" t="s">
        <v>10440</v>
      </c>
      <c r="L6" t="s">
        <v>10494</v>
      </c>
      <c r="N6" t="s">
        <v>10476</v>
      </c>
      <c r="O6" t="s">
        <v>10512</v>
      </c>
      <c r="P6" s="47" t="s">
        <v>10512</v>
      </c>
      <c r="Q6">
        <v>0</v>
      </c>
      <c r="R6" t="s">
        <v>10513</v>
      </c>
      <c r="S6" t="s">
        <v>48</v>
      </c>
      <c r="T6" t="s">
        <v>10434</v>
      </c>
      <c r="U6" t="str">
        <f t="shared" ref="U6" si="0">W6&amp;"__"&amp;X6</f>
        <v>HV_Tech__TStat</v>
      </c>
      <c r="V6" t="str">
        <f t="shared" ref="V6" si="1">Y6&amp;"__"&amp;Z6</f>
        <v>TStat__TStat</v>
      </c>
      <c r="W6" t="s">
        <v>92</v>
      </c>
      <c r="X6" t="s">
        <v>912</v>
      </c>
      <c r="Y6" t="s">
        <v>912</v>
      </c>
      <c r="Z6" t="s">
        <v>912</v>
      </c>
      <c r="AB6" t="s">
        <v>97</v>
      </c>
      <c r="AC6" t="s">
        <v>10517</v>
      </c>
      <c r="AE6">
        <f t="shared" ref="AE6:AE24" si="2">LEN(O6)</f>
        <v>3</v>
      </c>
    </row>
    <row r="7" spans="1:34" x14ac:dyDescent="0.35">
      <c r="A7" t="s">
        <v>10439</v>
      </c>
      <c r="B7" t="s">
        <v>10437</v>
      </c>
      <c r="C7" t="s">
        <v>10438</v>
      </c>
      <c r="D7" t="s">
        <v>10536</v>
      </c>
      <c r="E7" t="s">
        <v>10537</v>
      </c>
      <c r="F7" t="s">
        <v>10519</v>
      </c>
      <c r="G7" t="s">
        <v>10519</v>
      </c>
      <c r="H7" t="s">
        <v>10459</v>
      </c>
      <c r="J7" t="s">
        <v>10441</v>
      </c>
      <c r="L7" t="s">
        <v>10495</v>
      </c>
      <c r="N7" t="s">
        <v>10477</v>
      </c>
      <c r="O7" t="s">
        <v>10512</v>
      </c>
      <c r="P7" s="47" t="s">
        <v>10512</v>
      </c>
      <c r="Q7">
        <v>0</v>
      </c>
      <c r="R7" t="s">
        <v>10514</v>
      </c>
      <c r="S7" t="s">
        <v>48</v>
      </c>
      <c r="T7" t="s">
        <v>10434</v>
      </c>
      <c r="U7" t="str">
        <f t="shared" ref="U7:U24" si="3">W7&amp;"__"&amp;X7</f>
        <v>HV_Tech__TStat</v>
      </c>
      <c r="V7" t="str">
        <f t="shared" ref="V7:V24" si="4">Y7&amp;"__"&amp;Z7</f>
        <v>TStat__TStat</v>
      </c>
      <c r="W7" t="s">
        <v>92</v>
      </c>
      <c r="X7" t="s">
        <v>912</v>
      </c>
      <c r="Y7" t="s">
        <v>912</v>
      </c>
      <c r="Z7" t="s">
        <v>912</v>
      </c>
      <c r="AB7" t="s">
        <v>97</v>
      </c>
      <c r="AC7" t="s">
        <v>10517</v>
      </c>
      <c r="AE7">
        <f t="shared" si="2"/>
        <v>3</v>
      </c>
    </row>
    <row r="8" spans="1:34" x14ac:dyDescent="0.35">
      <c r="A8" t="s">
        <v>10439</v>
      </c>
      <c r="B8" t="s">
        <v>10437</v>
      </c>
      <c r="C8" t="s">
        <v>10438</v>
      </c>
      <c r="D8" t="s">
        <v>10536</v>
      </c>
      <c r="E8" t="s">
        <v>10537</v>
      </c>
      <c r="F8" t="s">
        <v>10520</v>
      </c>
      <c r="G8" t="s">
        <v>10520</v>
      </c>
      <c r="H8" t="s">
        <v>10460</v>
      </c>
      <c r="J8" t="s">
        <v>10442</v>
      </c>
      <c r="L8" t="s">
        <v>10496</v>
      </c>
      <c r="N8" t="s">
        <v>10478</v>
      </c>
      <c r="O8" t="s">
        <v>10512</v>
      </c>
      <c r="P8" s="47" t="s">
        <v>10512</v>
      </c>
      <c r="Q8">
        <v>0</v>
      </c>
      <c r="R8" t="s">
        <v>10515</v>
      </c>
      <c r="S8" t="s">
        <v>48</v>
      </c>
      <c r="T8" t="s">
        <v>10434</v>
      </c>
      <c r="U8" t="str">
        <f t="shared" si="3"/>
        <v>HV_Tech__TStat</v>
      </c>
      <c r="V8" t="str">
        <f t="shared" si="4"/>
        <v>TStat__TStat</v>
      </c>
      <c r="W8" t="s">
        <v>92</v>
      </c>
      <c r="X8" t="s">
        <v>912</v>
      </c>
      <c r="Y8" t="s">
        <v>912</v>
      </c>
      <c r="Z8" t="s">
        <v>912</v>
      </c>
      <c r="AB8" t="s">
        <v>97</v>
      </c>
      <c r="AC8" t="s">
        <v>10517</v>
      </c>
      <c r="AE8">
        <f t="shared" si="2"/>
        <v>3</v>
      </c>
    </row>
    <row r="9" spans="1:34" x14ac:dyDescent="0.35">
      <c r="A9" t="s">
        <v>10439</v>
      </c>
      <c r="B9" t="s">
        <v>10437</v>
      </c>
      <c r="C9" t="s">
        <v>10438</v>
      </c>
      <c r="D9" t="s">
        <v>10536</v>
      </c>
      <c r="E9" t="s">
        <v>10537</v>
      </c>
      <c r="F9" t="s">
        <v>10521</v>
      </c>
      <c r="G9" t="s">
        <v>10521</v>
      </c>
      <c r="H9" t="s">
        <v>10461</v>
      </c>
      <c r="J9" t="s">
        <v>10443</v>
      </c>
      <c r="L9" t="s">
        <v>10497</v>
      </c>
      <c r="N9" t="s">
        <v>10479</v>
      </c>
      <c r="O9" t="s">
        <v>10512</v>
      </c>
      <c r="P9" s="47" t="s">
        <v>10512</v>
      </c>
      <c r="Q9">
        <v>0</v>
      </c>
      <c r="R9" t="s">
        <v>10516</v>
      </c>
      <c r="S9" t="s">
        <v>48</v>
      </c>
      <c r="T9" t="s">
        <v>10434</v>
      </c>
      <c r="U9" t="str">
        <f t="shared" si="3"/>
        <v>HV_Tech__TStat</v>
      </c>
      <c r="V9" t="str">
        <f t="shared" si="4"/>
        <v>TStat__TStat</v>
      </c>
      <c r="W9" t="s">
        <v>92</v>
      </c>
      <c r="X9" t="s">
        <v>912</v>
      </c>
      <c r="Y9" t="s">
        <v>912</v>
      </c>
      <c r="Z9" t="s">
        <v>912</v>
      </c>
      <c r="AB9" t="s">
        <v>97</v>
      </c>
      <c r="AC9" t="s">
        <v>10517</v>
      </c>
      <c r="AE9">
        <f t="shared" si="2"/>
        <v>3</v>
      </c>
    </row>
    <row r="10" spans="1:34" x14ac:dyDescent="0.35">
      <c r="A10" t="s">
        <v>10439</v>
      </c>
      <c r="B10" t="s">
        <v>10437</v>
      </c>
      <c r="C10" t="s">
        <v>10438</v>
      </c>
      <c r="D10" t="s">
        <v>10536</v>
      </c>
      <c r="E10" t="s">
        <v>10537</v>
      </c>
      <c r="F10" t="s">
        <v>10522</v>
      </c>
      <c r="G10" t="s">
        <v>10522</v>
      </c>
      <c r="H10" t="s">
        <v>10462</v>
      </c>
      <c r="J10" t="s">
        <v>10444</v>
      </c>
      <c r="L10" t="s">
        <v>10498</v>
      </c>
      <c r="N10" t="s">
        <v>10480</v>
      </c>
      <c r="O10" t="s">
        <v>10512</v>
      </c>
      <c r="P10" s="47" t="s">
        <v>10512</v>
      </c>
      <c r="Q10">
        <v>0</v>
      </c>
      <c r="R10" t="s">
        <v>10513</v>
      </c>
      <c r="S10" t="s">
        <v>48</v>
      </c>
      <c r="T10" t="s">
        <v>10434</v>
      </c>
      <c r="U10" t="str">
        <f t="shared" si="3"/>
        <v>HV_Tech__TStat</v>
      </c>
      <c r="V10" t="str">
        <f t="shared" si="4"/>
        <v>TStat__TStat</v>
      </c>
      <c r="W10" t="s">
        <v>92</v>
      </c>
      <c r="X10" t="s">
        <v>912</v>
      </c>
      <c r="Y10" t="s">
        <v>912</v>
      </c>
      <c r="Z10" t="s">
        <v>912</v>
      </c>
      <c r="AB10" t="s">
        <v>97</v>
      </c>
      <c r="AC10" t="s">
        <v>10517</v>
      </c>
      <c r="AE10">
        <f t="shared" si="2"/>
        <v>3</v>
      </c>
    </row>
    <row r="11" spans="1:34" x14ac:dyDescent="0.35">
      <c r="A11" t="s">
        <v>10439</v>
      </c>
      <c r="B11" t="s">
        <v>10437</v>
      </c>
      <c r="C11" t="s">
        <v>10438</v>
      </c>
      <c r="D11" t="s">
        <v>10536</v>
      </c>
      <c r="E11" t="s">
        <v>10537</v>
      </c>
      <c r="F11" t="s">
        <v>10523</v>
      </c>
      <c r="G11" t="s">
        <v>10523</v>
      </c>
      <c r="H11" t="s">
        <v>10463</v>
      </c>
      <c r="J11" t="s">
        <v>10445</v>
      </c>
      <c r="L11" t="s">
        <v>10499</v>
      </c>
      <c r="N11" t="s">
        <v>10481</v>
      </c>
      <c r="O11" t="s">
        <v>10512</v>
      </c>
      <c r="P11" s="47" t="s">
        <v>10512</v>
      </c>
      <c r="Q11">
        <v>0</v>
      </c>
      <c r="R11" t="s">
        <v>10514</v>
      </c>
      <c r="S11" t="s">
        <v>48</v>
      </c>
      <c r="T11" t="s">
        <v>10434</v>
      </c>
      <c r="U11" t="str">
        <f t="shared" si="3"/>
        <v>HV_Tech__TStat</v>
      </c>
      <c r="V11" t="str">
        <f t="shared" si="4"/>
        <v>TStat__TStat</v>
      </c>
      <c r="W11" t="s">
        <v>92</v>
      </c>
      <c r="X11" t="s">
        <v>912</v>
      </c>
      <c r="Y11" t="s">
        <v>912</v>
      </c>
      <c r="Z11" t="s">
        <v>912</v>
      </c>
      <c r="AB11" t="s">
        <v>97</v>
      </c>
      <c r="AC11" t="s">
        <v>10517</v>
      </c>
      <c r="AE11">
        <f t="shared" si="2"/>
        <v>3</v>
      </c>
    </row>
    <row r="12" spans="1:34" x14ac:dyDescent="0.35">
      <c r="A12" t="s">
        <v>10439</v>
      </c>
      <c r="B12" t="s">
        <v>10437</v>
      </c>
      <c r="C12" t="s">
        <v>10438</v>
      </c>
      <c r="D12" t="s">
        <v>10536</v>
      </c>
      <c r="E12" t="s">
        <v>10537</v>
      </c>
      <c r="F12" t="s">
        <v>10524</v>
      </c>
      <c r="G12" t="s">
        <v>10524</v>
      </c>
      <c r="H12" t="s">
        <v>10464</v>
      </c>
      <c r="J12" t="s">
        <v>10446</v>
      </c>
      <c r="L12" t="s">
        <v>10500</v>
      </c>
      <c r="N12" t="s">
        <v>10482</v>
      </c>
      <c r="O12" t="s">
        <v>10512</v>
      </c>
      <c r="P12" s="47" t="s">
        <v>10512</v>
      </c>
      <c r="Q12">
        <v>0</v>
      </c>
      <c r="R12" t="s">
        <v>10515</v>
      </c>
      <c r="S12" t="s">
        <v>48</v>
      </c>
      <c r="T12" t="s">
        <v>10434</v>
      </c>
      <c r="U12" t="str">
        <f t="shared" si="3"/>
        <v>HV_Tech__TStat</v>
      </c>
      <c r="V12" t="str">
        <f t="shared" si="4"/>
        <v>TStat__TStat</v>
      </c>
      <c r="W12" t="s">
        <v>92</v>
      </c>
      <c r="X12" t="s">
        <v>912</v>
      </c>
      <c r="Y12" t="s">
        <v>912</v>
      </c>
      <c r="Z12" t="s">
        <v>912</v>
      </c>
      <c r="AB12" t="s">
        <v>97</v>
      </c>
      <c r="AC12" t="s">
        <v>10517</v>
      </c>
      <c r="AE12">
        <f t="shared" si="2"/>
        <v>3</v>
      </c>
    </row>
    <row r="13" spans="1:34" x14ac:dyDescent="0.35">
      <c r="A13" t="s">
        <v>10439</v>
      </c>
      <c r="B13" t="s">
        <v>10437</v>
      </c>
      <c r="C13" t="s">
        <v>10438</v>
      </c>
      <c r="D13" t="s">
        <v>10536</v>
      </c>
      <c r="E13" t="s">
        <v>10537</v>
      </c>
      <c r="F13" t="s">
        <v>10525</v>
      </c>
      <c r="G13" t="s">
        <v>10525</v>
      </c>
      <c r="H13" t="s">
        <v>10465</v>
      </c>
      <c r="J13" t="s">
        <v>10447</v>
      </c>
      <c r="L13" t="s">
        <v>10501</v>
      </c>
      <c r="N13" t="s">
        <v>10483</v>
      </c>
      <c r="O13" t="s">
        <v>10512</v>
      </c>
      <c r="P13" s="47" t="s">
        <v>10512</v>
      </c>
      <c r="Q13">
        <v>0</v>
      </c>
      <c r="R13" t="s">
        <v>10516</v>
      </c>
      <c r="S13" t="s">
        <v>48</v>
      </c>
      <c r="T13" t="s">
        <v>10434</v>
      </c>
      <c r="U13" t="str">
        <f t="shared" si="3"/>
        <v>HV_Tech__TStat</v>
      </c>
      <c r="V13" t="str">
        <f t="shared" si="4"/>
        <v>TStat__TStat</v>
      </c>
      <c r="W13" t="s">
        <v>92</v>
      </c>
      <c r="X13" t="s">
        <v>912</v>
      </c>
      <c r="Y13" t="s">
        <v>912</v>
      </c>
      <c r="Z13" t="s">
        <v>912</v>
      </c>
      <c r="AB13" t="s">
        <v>97</v>
      </c>
      <c r="AC13" t="s">
        <v>10517</v>
      </c>
      <c r="AE13">
        <f t="shared" si="2"/>
        <v>3</v>
      </c>
    </row>
    <row r="14" spans="1:34" x14ac:dyDescent="0.35">
      <c r="A14" t="s">
        <v>10439</v>
      </c>
      <c r="B14" t="s">
        <v>10437</v>
      </c>
      <c r="C14" t="s">
        <v>10438</v>
      </c>
      <c r="D14" t="s">
        <v>10536</v>
      </c>
      <c r="E14" t="s">
        <v>10537</v>
      </c>
      <c r="F14" t="s">
        <v>10526</v>
      </c>
      <c r="G14" t="s">
        <v>10526</v>
      </c>
      <c r="H14" t="s">
        <v>10466</v>
      </c>
      <c r="J14" t="s">
        <v>10448</v>
      </c>
      <c r="L14" t="s">
        <v>10502</v>
      </c>
      <c r="N14" t="s">
        <v>10484</v>
      </c>
      <c r="O14" t="s">
        <v>10512</v>
      </c>
      <c r="P14" s="47" t="s">
        <v>10512</v>
      </c>
      <c r="Q14">
        <v>0</v>
      </c>
      <c r="R14" t="s">
        <v>10513</v>
      </c>
      <c r="S14" t="s">
        <v>48</v>
      </c>
      <c r="T14" t="s">
        <v>10434</v>
      </c>
      <c r="U14" t="str">
        <f t="shared" si="3"/>
        <v>HV_Tech__TStat</v>
      </c>
      <c r="V14" t="str">
        <f t="shared" si="4"/>
        <v>TStat__TStat</v>
      </c>
      <c r="W14" t="s">
        <v>92</v>
      </c>
      <c r="X14" t="s">
        <v>912</v>
      </c>
      <c r="Y14" t="s">
        <v>912</v>
      </c>
      <c r="Z14" t="s">
        <v>912</v>
      </c>
      <c r="AB14" t="s">
        <v>97</v>
      </c>
      <c r="AC14" t="s">
        <v>10517</v>
      </c>
      <c r="AE14">
        <f t="shared" si="2"/>
        <v>3</v>
      </c>
    </row>
    <row r="15" spans="1:34" x14ac:dyDescent="0.35">
      <c r="A15" t="s">
        <v>10439</v>
      </c>
      <c r="B15" t="s">
        <v>10437</v>
      </c>
      <c r="C15" t="s">
        <v>10438</v>
      </c>
      <c r="D15" t="s">
        <v>10536</v>
      </c>
      <c r="E15" t="s">
        <v>10537</v>
      </c>
      <c r="F15" t="s">
        <v>10527</v>
      </c>
      <c r="G15" t="s">
        <v>10527</v>
      </c>
      <c r="H15" t="s">
        <v>10467</v>
      </c>
      <c r="J15" t="s">
        <v>10449</v>
      </c>
      <c r="L15" t="s">
        <v>10503</v>
      </c>
      <c r="N15" t="s">
        <v>10485</v>
      </c>
      <c r="O15" t="s">
        <v>10512</v>
      </c>
      <c r="P15" s="47" t="s">
        <v>10512</v>
      </c>
      <c r="Q15">
        <v>0</v>
      </c>
      <c r="R15" t="s">
        <v>10514</v>
      </c>
      <c r="S15" t="s">
        <v>48</v>
      </c>
      <c r="T15" t="s">
        <v>10434</v>
      </c>
      <c r="U15" t="str">
        <f t="shared" si="3"/>
        <v>HV_Tech__TStat</v>
      </c>
      <c r="V15" t="str">
        <f t="shared" si="4"/>
        <v>TStat__TStat</v>
      </c>
      <c r="W15" t="s">
        <v>92</v>
      </c>
      <c r="X15" t="s">
        <v>912</v>
      </c>
      <c r="Y15" t="s">
        <v>912</v>
      </c>
      <c r="Z15" t="s">
        <v>912</v>
      </c>
      <c r="AB15" t="s">
        <v>97</v>
      </c>
      <c r="AC15" t="s">
        <v>10517</v>
      </c>
      <c r="AE15">
        <f t="shared" si="2"/>
        <v>3</v>
      </c>
    </row>
    <row r="16" spans="1:34" x14ac:dyDescent="0.35">
      <c r="A16" t="s">
        <v>10439</v>
      </c>
      <c r="B16" t="s">
        <v>10437</v>
      </c>
      <c r="C16" t="s">
        <v>10438</v>
      </c>
      <c r="D16" t="s">
        <v>10536</v>
      </c>
      <c r="E16" t="s">
        <v>10537</v>
      </c>
      <c r="F16" t="s">
        <v>10528</v>
      </c>
      <c r="G16" t="s">
        <v>10528</v>
      </c>
      <c r="H16" t="s">
        <v>10468</v>
      </c>
      <c r="J16" t="s">
        <v>10450</v>
      </c>
      <c r="L16" t="s">
        <v>10504</v>
      </c>
      <c r="N16" t="s">
        <v>10486</v>
      </c>
      <c r="O16" t="s">
        <v>10512</v>
      </c>
      <c r="P16" s="47" t="s">
        <v>10512</v>
      </c>
      <c r="Q16">
        <v>0</v>
      </c>
      <c r="R16" t="s">
        <v>10515</v>
      </c>
      <c r="S16" t="s">
        <v>48</v>
      </c>
      <c r="T16" t="s">
        <v>10434</v>
      </c>
      <c r="U16" t="str">
        <f t="shared" si="3"/>
        <v>HV_Tech__TStat</v>
      </c>
      <c r="V16" t="str">
        <f t="shared" si="4"/>
        <v>TStat__TStat</v>
      </c>
      <c r="W16" t="s">
        <v>92</v>
      </c>
      <c r="X16" t="s">
        <v>912</v>
      </c>
      <c r="Y16" t="s">
        <v>912</v>
      </c>
      <c r="Z16" t="s">
        <v>912</v>
      </c>
      <c r="AB16" t="s">
        <v>97</v>
      </c>
      <c r="AC16" t="s">
        <v>10517</v>
      </c>
      <c r="AE16">
        <f t="shared" si="2"/>
        <v>3</v>
      </c>
    </row>
    <row r="17" spans="1:31" x14ac:dyDescent="0.35">
      <c r="A17" t="s">
        <v>10439</v>
      </c>
      <c r="B17" t="s">
        <v>10437</v>
      </c>
      <c r="C17" t="s">
        <v>10438</v>
      </c>
      <c r="D17" t="s">
        <v>10536</v>
      </c>
      <c r="E17" t="s">
        <v>10537</v>
      </c>
      <c r="F17" t="s">
        <v>10541</v>
      </c>
      <c r="G17" t="s">
        <v>10541</v>
      </c>
      <c r="H17" t="s">
        <v>10542</v>
      </c>
      <c r="J17" t="s">
        <v>10543</v>
      </c>
      <c r="L17" t="s">
        <v>10538</v>
      </c>
      <c r="N17" t="s">
        <v>10539</v>
      </c>
      <c r="O17" t="s">
        <v>10512</v>
      </c>
      <c r="P17" s="47" t="s">
        <v>10512</v>
      </c>
      <c r="Q17">
        <v>0</v>
      </c>
      <c r="R17" t="s">
        <v>10516</v>
      </c>
      <c r="S17" t="s">
        <v>48</v>
      </c>
      <c r="T17" t="s">
        <v>10434</v>
      </c>
      <c r="U17" t="str">
        <f t="shared" ref="U17" si="5">W17&amp;"__"&amp;X17</f>
        <v>HV_Tech__TStat</v>
      </c>
      <c r="V17" t="str">
        <f t="shared" ref="V17" si="6">Y17&amp;"__"&amp;Z17</f>
        <v>TStat__TStat</v>
      </c>
      <c r="W17" t="s">
        <v>92</v>
      </c>
      <c r="X17" t="s">
        <v>912</v>
      </c>
      <c r="Y17" t="s">
        <v>912</v>
      </c>
      <c r="Z17" t="s">
        <v>912</v>
      </c>
      <c r="AB17" t="s">
        <v>97</v>
      </c>
      <c r="AC17" t="s">
        <v>10517</v>
      </c>
      <c r="AE17">
        <f t="shared" ref="AE17" si="7">LEN(O17)</f>
        <v>3</v>
      </c>
    </row>
    <row r="18" spans="1:31" x14ac:dyDescent="0.35">
      <c r="A18" t="s">
        <v>10439</v>
      </c>
      <c r="B18" t="s">
        <v>10437</v>
      </c>
      <c r="C18" t="s">
        <v>10438</v>
      </c>
      <c r="D18" t="s">
        <v>10536</v>
      </c>
      <c r="E18" t="s">
        <v>10537</v>
      </c>
      <c r="F18" t="s">
        <v>10529</v>
      </c>
      <c r="G18" t="s">
        <v>10529</v>
      </c>
      <c r="H18" t="s">
        <v>10469</v>
      </c>
      <c r="J18" t="s">
        <v>10451</v>
      </c>
      <c r="L18" t="s">
        <v>10505</v>
      </c>
      <c r="N18" t="s">
        <v>10487</v>
      </c>
      <c r="O18" t="s">
        <v>10512</v>
      </c>
      <c r="P18" s="47" t="s">
        <v>10512</v>
      </c>
      <c r="Q18">
        <v>0</v>
      </c>
      <c r="R18" t="s">
        <v>10513</v>
      </c>
      <c r="S18" t="s">
        <v>48</v>
      </c>
      <c r="T18" t="s">
        <v>10434</v>
      </c>
      <c r="U18" t="str">
        <f t="shared" si="3"/>
        <v>HV_Tech__TStat</v>
      </c>
      <c r="V18" t="str">
        <f t="shared" si="4"/>
        <v>TStat__TStat</v>
      </c>
      <c r="W18" t="s">
        <v>92</v>
      </c>
      <c r="X18" t="s">
        <v>912</v>
      </c>
      <c r="Y18" t="s">
        <v>912</v>
      </c>
      <c r="Z18" t="s">
        <v>912</v>
      </c>
      <c r="AB18" t="s">
        <v>97</v>
      </c>
      <c r="AC18" t="s">
        <v>10517</v>
      </c>
      <c r="AE18">
        <f t="shared" si="2"/>
        <v>3</v>
      </c>
    </row>
    <row r="19" spans="1:31" x14ac:dyDescent="0.35">
      <c r="A19" t="s">
        <v>10439</v>
      </c>
      <c r="B19" t="s">
        <v>10437</v>
      </c>
      <c r="C19" t="s">
        <v>10438</v>
      </c>
      <c r="D19" t="s">
        <v>10536</v>
      </c>
      <c r="E19" t="s">
        <v>10537</v>
      </c>
      <c r="F19" t="s">
        <v>10530</v>
      </c>
      <c r="G19" t="s">
        <v>10530</v>
      </c>
      <c r="H19" t="s">
        <v>10470</v>
      </c>
      <c r="J19" t="s">
        <v>10452</v>
      </c>
      <c r="L19" t="s">
        <v>10506</v>
      </c>
      <c r="N19" t="s">
        <v>10488</v>
      </c>
      <c r="O19" t="s">
        <v>10512</v>
      </c>
      <c r="P19" s="47" t="s">
        <v>10512</v>
      </c>
      <c r="Q19">
        <v>0</v>
      </c>
      <c r="R19" t="s">
        <v>10514</v>
      </c>
      <c r="S19" t="s">
        <v>48</v>
      </c>
      <c r="T19" t="s">
        <v>10434</v>
      </c>
      <c r="U19" t="str">
        <f t="shared" si="3"/>
        <v>HV_Tech__TStat</v>
      </c>
      <c r="V19" t="str">
        <f t="shared" si="4"/>
        <v>TStat__TStat</v>
      </c>
      <c r="W19" t="s">
        <v>92</v>
      </c>
      <c r="X19" t="s">
        <v>912</v>
      </c>
      <c r="Y19" t="s">
        <v>912</v>
      </c>
      <c r="Z19" t="s">
        <v>912</v>
      </c>
      <c r="AB19" t="s">
        <v>97</v>
      </c>
      <c r="AC19" t="s">
        <v>10517</v>
      </c>
      <c r="AE19">
        <f t="shared" si="2"/>
        <v>3</v>
      </c>
    </row>
    <row r="20" spans="1:31" x14ac:dyDescent="0.35">
      <c r="A20" t="s">
        <v>10439</v>
      </c>
      <c r="B20" t="s">
        <v>10437</v>
      </c>
      <c r="C20" t="s">
        <v>10438</v>
      </c>
      <c r="D20" t="s">
        <v>10536</v>
      </c>
      <c r="E20" t="s">
        <v>10537</v>
      </c>
      <c r="F20" t="s">
        <v>10531</v>
      </c>
      <c r="G20" t="s">
        <v>10531</v>
      </c>
      <c r="H20" t="s">
        <v>10471</v>
      </c>
      <c r="J20" t="s">
        <v>10453</v>
      </c>
      <c r="L20" t="s">
        <v>10507</v>
      </c>
      <c r="N20" t="s">
        <v>10489</v>
      </c>
      <c r="O20" t="s">
        <v>10512</v>
      </c>
      <c r="P20" s="47" t="s">
        <v>10512</v>
      </c>
      <c r="Q20">
        <v>0</v>
      </c>
      <c r="R20" t="s">
        <v>10515</v>
      </c>
      <c r="S20" t="s">
        <v>48</v>
      </c>
      <c r="T20" t="s">
        <v>10434</v>
      </c>
      <c r="U20" t="str">
        <f t="shared" si="3"/>
        <v>HV_Tech__TStat</v>
      </c>
      <c r="V20" t="str">
        <f t="shared" si="4"/>
        <v>TStat__TStat</v>
      </c>
      <c r="W20" t="s">
        <v>92</v>
      </c>
      <c r="X20" t="s">
        <v>912</v>
      </c>
      <c r="Y20" t="s">
        <v>912</v>
      </c>
      <c r="Z20" t="s">
        <v>912</v>
      </c>
      <c r="AB20" t="s">
        <v>97</v>
      </c>
      <c r="AC20" t="s">
        <v>10517</v>
      </c>
      <c r="AE20">
        <f t="shared" si="2"/>
        <v>3</v>
      </c>
    </row>
    <row r="21" spans="1:31" x14ac:dyDescent="0.35">
      <c r="A21" t="s">
        <v>10439</v>
      </c>
      <c r="B21" t="s">
        <v>10437</v>
      </c>
      <c r="C21" t="s">
        <v>10438</v>
      </c>
      <c r="D21" t="s">
        <v>10536</v>
      </c>
      <c r="E21" t="s">
        <v>10537</v>
      </c>
      <c r="F21" t="s">
        <v>10532</v>
      </c>
      <c r="G21" t="s">
        <v>10532</v>
      </c>
      <c r="H21" t="s">
        <v>10472</v>
      </c>
      <c r="J21" t="s">
        <v>10454</v>
      </c>
      <c r="L21" t="s">
        <v>10508</v>
      </c>
      <c r="N21" t="s">
        <v>10490</v>
      </c>
      <c r="O21" t="s">
        <v>10512</v>
      </c>
      <c r="P21" s="47" t="s">
        <v>10512</v>
      </c>
      <c r="Q21">
        <v>0</v>
      </c>
      <c r="R21" t="s">
        <v>10516</v>
      </c>
      <c r="S21" t="s">
        <v>48</v>
      </c>
      <c r="T21" t="s">
        <v>10434</v>
      </c>
      <c r="U21" t="str">
        <f t="shared" si="3"/>
        <v>HV_Tech__TStat</v>
      </c>
      <c r="V21" t="str">
        <f t="shared" si="4"/>
        <v>TStat__TStat</v>
      </c>
      <c r="W21" t="s">
        <v>92</v>
      </c>
      <c r="X21" t="s">
        <v>912</v>
      </c>
      <c r="Y21" t="s">
        <v>912</v>
      </c>
      <c r="Z21" t="s">
        <v>912</v>
      </c>
      <c r="AB21" t="s">
        <v>97</v>
      </c>
      <c r="AC21" t="s">
        <v>10517</v>
      </c>
      <c r="AE21">
        <f t="shared" si="2"/>
        <v>3</v>
      </c>
    </row>
    <row r="22" spans="1:31" x14ac:dyDescent="0.35">
      <c r="A22" t="s">
        <v>10439</v>
      </c>
      <c r="B22" t="s">
        <v>10437</v>
      </c>
      <c r="C22" t="s">
        <v>10438</v>
      </c>
      <c r="D22" t="s">
        <v>10536</v>
      </c>
      <c r="E22" t="s">
        <v>10537</v>
      </c>
      <c r="F22" t="s">
        <v>10533</v>
      </c>
      <c r="G22" t="s">
        <v>10533</v>
      </c>
      <c r="H22" t="s">
        <v>10473</v>
      </c>
      <c r="J22" t="s">
        <v>10455</v>
      </c>
      <c r="L22" t="s">
        <v>10509</v>
      </c>
      <c r="N22" t="s">
        <v>10491</v>
      </c>
      <c r="O22" t="s">
        <v>10512</v>
      </c>
      <c r="P22" s="47" t="s">
        <v>10512</v>
      </c>
      <c r="Q22">
        <v>0</v>
      </c>
      <c r="R22" t="s">
        <v>10513</v>
      </c>
      <c r="S22" t="s">
        <v>48</v>
      </c>
      <c r="T22" t="s">
        <v>10434</v>
      </c>
      <c r="U22" t="str">
        <f t="shared" si="3"/>
        <v>HV_Tech__TStat</v>
      </c>
      <c r="V22" t="str">
        <f t="shared" si="4"/>
        <v>TStat__TStat</v>
      </c>
      <c r="W22" t="s">
        <v>92</v>
      </c>
      <c r="X22" t="s">
        <v>912</v>
      </c>
      <c r="Y22" t="s">
        <v>912</v>
      </c>
      <c r="Z22" t="s">
        <v>912</v>
      </c>
      <c r="AB22" t="s">
        <v>97</v>
      </c>
      <c r="AC22" t="s">
        <v>10517</v>
      </c>
      <c r="AE22">
        <f t="shared" si="2"/>
        <v>3</v>
      </c>
    </row>
    <row r="23" spans="1:31" x14ac:dyDescent="0.35">
      <c r="A23" t="s">
        <v>10439</v>
      </c>
      <c r="B23" t="s">
        <v>10437</v>
      </c>
      <c r="C23" t="s">
        <v>10438</v>
      </c>
      <c r="D23" t="s">
        <v>10536</v>
      </c>
      <c r="E23" t="s">
        <v>10537</v>
      </c>
      <c r="F23" t="s">
        <v>10534</v>
      </c>
      <c r="G23" t="s">
        <v>10534</v>
      </c>
      <c r="H23" t="s">
        <v>10474</v>
      </c>
      <c r="J23" t="s">
        <v>10456</v>
      </c>
      <c r="L23" t="s">
        <v>10510</v>
      </c>
      <c r="N23" t="s">
        <v>10492</v>
      </c>
      <c r="O23" t="s">
        <v>10512</v>
      </c>
      <c r="P23" s="47" t="s">
        <v>10512</v>
      </c>
      <c r="Q23">
        <v>0</v>
      </c>
      <c r="R23" t="s">
        <v>10514</v>
      </c>
      <c r="S23" t="s">
        <v>48</v>
      </c>
      <c r="T23" t="s">
        <v>10434</v>
      </c>
      <c r="U23" t="str">
        <f t="shared" si="3"/>
        <v>HV_Tech__TStat</v>
      </c>
      <c r="V23" t="str">
        <f t="shared" si="4"/>
        <v>TStat__TStat</v>
      </c>
      <c r="W23" t="s">
        <v>92</v>
      </c>
      <c r="X23" t="s">
        <v>912</v>
      </c>
      <c r="Y23" t="s">
        <v>912</v>
      </c>
      <c r="Z23" t="s">
        <v>912</v>
      </c>
      <c r="AB23" t="s">
        <v>97</v>
      </c>
      <c r="AC23" t="s">
        <v>10517</v>
      </c>
      <c r="AE23">
        <f t="shared" si="2"/>
        <v>3</v>
      </c>
    </row>
    <row r="24" spans="1:31" x14ac:dyDescent="0.35">
      <c r="A24" t="s">
        <v>10439</v>
      </c>
      <c r="B24" t="s">
        <v>10437</v>
      </c>
      <c r="C24" t="s">
        <v>10438</v>
      </c>
      <c r="D24" t="s">
        <v>10536</v>
      </c>
      <c r="E24" t="s">
        <v>10537</v>
      </c>
      <c r="F24" t="s">
        <v>10535</v>
      </c>
      <c r="G24" t="s">
        <v>10535</v>
      </c>
      <c r="H24" t="s">
        <v>10475</v>
      </c>
      <c r="J24" t="s">
        <v>10457</v>
      </c>
      <c r="L24" t="s">
        <v>10511</v>
      </c>
      <c r="N24" t="s">
        <v>10493</v>
      </c>
      <c r="O24" t="s">
        <v>10512</v>
      </c>
      <c r="P24" s="47" t="s">
        <v>10512</v>
      </c>
      <c r="Q24">
        <v>0</v>
      </c>
      <c r="R24" t="s">
        <v>10515</v>
      </c>
      <c r="S24" t="s">
        <v>48</v>
      </c>
      <c r="T24" t="s">
        <v>10434</v>
      </c>
      <c r="U24" t="str">
        <f t="shared" si="3"/>
        <v>HV_Tech__TStat</v>
      </c>
      <c r="V24" t="str">
        <f t="shared" si="4"/>
        <v>TStat__TStat</v>
      </c>
      <c r="W24" t="s">
        <v>92</v>
      </c>
      <c r="X24" t="s">
        <v>912</v>
      </c>
      <c r="Y24" t="s">
        <v>912</v>
      </c>
      <c r="Z24" t="s">
        <v>912</v>
      </c>
      <c r="AB24" t="s">
        <v>97</v>
      </c>
      <c r="AC24" t="s">
        <v>10517</v>
      </c>
      <c r="AE24">
        <f t="shared" si="2"/>
        <v>3</v>
      </c>
    </row>
    <row r="25" spans="1:31" x14ac:dyDescent="0.35">
      <c r="A25" t="s">
        <v>10439</v>
      </c>
      <c r="B25" t="s">
        <v>10437</v>
      </c>
      <c r="C25" t="s">
        <v>10438</v>
      </c>
      <c r="D25" t="s">
        <v>10536</v>
      </c>
      <c r="E25" t="s">
        <v>10537</v>
      </c>
      <c r="F25" t="s">
        <v>10540</v>
      </c>
      <c r="G25" t="s">
        <v>10540</v>
      </c>
      <c r="H25" t="s">
        <v>10544</v>
      </c>
      <c r="J25" t="s">
        <v>10545</v>
      </c>
      <c r="L25" t="s">
        <v>10546</v>
      </c>
      <c r="N25" t="s">
        <v>10547</v>
      </c>
      <c r="O25" t="s">
        <v>10512</v>
      </c>
      <c r="P25" s="47" t="s">
        <v>10512</v>
      </c>
      <c r="Q25">
        <v>0</v>
      </c>
      <c r="R25" t="s">
        <v>10516</v>
      </c>
      <c r="S25" t="s">
        <v>48</v>
      </c>
      <c r="T25" t="s">
        <v>10434</v>
      </c>
      <c r="U25" t="str">
        <f t="shared" ref="U25" si="8">W25&amp;"__"&amp;X25</f>
        <v>HV_Tech__TStat</v>
      </c>
      <c r="V25" t="str">
        <f t="shared" ref="V25" si="9">Y25&amp;"__"&amp;Z25</f>
        <v>TStat__TStat</v>
      </c>
      <c r="W25" t="s">
        <v>92</v>
      </c>
      <c r="X25" t="s">
        <v>912</v>
      </c>
      <c r="Y25" t="s">
        <v>912</v>
      </c>
      <c r="Z25" t="s">
        <v>912</v>
      </c>
      <c r="AB25" t="s">
        <v>97</v>
      </c>
      <c r="AC25" t="s">
        <v>10517</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2026-07-18T01:53:14Z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