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izi\Downloads\"/>
    </mc:Choice>
  </mc:AlternateContent>
  <xr:revisionPtr revIDLastSave="0" documentId="8_{D7B00CB3-AACD-4298-9EF5-3FBEA9F8B119}" xr6:coauthVersionLast="47" xr6:coauthVersionMax="47" xr10:uidLastSave="{00000000-0000-0000-0000-000000000000}"/>
  <bookViews>
    <workbookView xWindow="-120" yWindow="-120" windowWidth="29040" windowHeight="15720" xr2:uid="{5CB36433-D6AD-4573-8E69-1C81AA82549D}"/>
  </bookViews>
  <sheets>
    <sheet name="Design flow rate" sheetId="1" r:id="rId1"/>
    <sheet name="Min flow rate" sheetId="2" r:id="rId2"/>
    <sheet name="Combined Runs" sheetId="7" r:id="rId3"/>
    <sheet name="Central Plant_Ex" sheetId="3" r:id="rId4"/>
    <sheet name="Central Plant_New" sheetId="4" r:id="rId5"/>
    <sheet name="Central Plant_Htl_Ex" sheetId="5" r:id="rId6"/>
    <sheet name="Central Plant_Htl_New" sheetId="6" r:id="rId7"/>
  </sheets>
  <definedNames>
    <definedName name="_xlnm._FilterDatabase" localSheetId="2" hidden="1">'Combined Runs'!$A$1:$AJ$577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8" i="1" l="1"/>
  <c r="R18" i="2" s="1"/>
  <c r="R43" i="2" s="1"/>
  <c r="R19" i="1"/>
  <c r="R19" i="2" s="1"/>
  <c r="R44" i="2" s="1"/>
  <c r="R20" i="1"/>
  <c r="R20" i="2" s="1"/>
  <c r="R45" i="2" s="1"/>
  <c r="R21" i="1"/>
  <c r="R21" i="2" s="1"/>
  <c r="R46" i="2" s="1"/>
  <c r="R22" i="1"/>
  <c r="R22" i="2" s="1"/>
  <c r="R47" i="2" s="1"/>
  <c r="R23" i="1"/>
  <c r="R23" i="2" s="1"/>
  <c r="R48" i="2" s="1"/>
  <c r="R24" i="1"/>
  <c r="R24" i="2" s="1"/>
  <c r="R49" i="2" s="1"/>
  <c r="R25" i="1"/>
  <c r="R25" i="2" s="1"/>
  <c r="R50" i="2" s="1"/>
  <c r="R26" i="1"/>
  <c r="R26" i="2" s="1"/>
  <c r="R51" i="2" s="1"/>
  <c r="Q18" i="1"/>
  <c r="Q18" i="2" s="1"/>
  <c r="Q43" i="2" s="1"/>
  <c r="Q19" i="1"/>
  <c r="Q19" i="2" s="1"/>
  <c r="Q44" i="2" s="1"/>
  <c r="Q20" i="1"/>
  <c r="Q20" i="2" s="1"/>
  <c r="Q45" i="2" s="1"/>
  <c r="Q21" i="1"/>
  <c r="Q21" i="2" s="1"/>
  <c r="Q46" i="2" s="1"/>
  <c r="Q22" i="1"/>
  <c r="Q22" i="2" s="1"/>
  <c r="Q47" i="2" s="1"/>
  <c r="Q23" i="1"/>
  <c r="Q23" i="2" s="1"/>
  <c r="Q48" i="2" s="1"/>
  <c r="Q24" i="1"/>
  <c r="Q24" i="2" s="1"/>
  <c r="Q49" i="2" s="1"/>
  <c r="Q25" i="1"/>
  <c r="Q25" i="2" s="1"/>
  <c r="Q50" i="2" s="1"/>
  <c r="Q26" i="1"/>
  <c r="Q26" i="2" s="1"/>
  <c r="Q51" i="2" s="1"/>
  <c r="P18" i="1"/>
  <c r="P18" i="2" s="1"/>
  <c r="P43" i="2" s="1"/>
  <c r="P19" i="1"/>
  <c r="P19" i="2" s="1"/>
  <c r="P44" i="2" s="1"/>
  <c r="P20" i="1"/>
  <c r="P20" i="2" s="1"/>
  <c r="P45" i="2" s="1"/>
  <c r="P21" i="1"/>
  <c r="P21" i="2" s="1"/>
  <c r="P46" i="2" s="1"/>
  <c r="P22" i="1"/>
  <c r="P22" i="2" s="1"/>
  <c r="P47" i="2" s="1"/>
  <c r="P23" i="1"/>
  <c r="P23" i="2" s="1"/>
  <c r="P48" i="2" s="1"/>
  <c r="P24" i="1"/>
  <c r="P24" i="2" s="1"/>
  <c r="P49" i="2" s="1"/>
  <c r="P25" i="1"/>
  <c r="P25" i="2" s="1"/>
  <c r="P50" i="2" s="1"/>
  <c r="P26" i="1"/>
  <c r="P26" i="2" s="1"/>
  <c r="P51" i="2" s="1"/>
  <c r="O18" i="1"/>
  <c r="O18" i="2" s="1"/>
  <c r="O43" i="2" s="1"/>
  <c r="O19" i="1"/>
  <c r="O19" i="2" s="1"/>
  <c r="O44" i="2" s="1"/>
  <c r="O20" i="1"/>
  <c r="O20" i="2" s="1"/>
  <c r="O45" i="2" s="1"/>
  <c r="O21" i="1"/>
  <c r="O21" i="2" s="1"/>
  <c r="O46" i="2" s="1"/>
  <c r="O22" i="1"/>
  <c r="O22" i="2" s="1"/>
  <c r="O47" i="2" s="1"/>
  <c r="O23" i="1"/>
  <c r="O23" i="2" s="1"/>
  <c r="O48" i="2" s="1"/>
  <c r="O24" i="1"/>
  <c r="O24" i="2" s="1"/>
  <c r="O49" i="2" s="1"/>
  <c r="O25" i="1"/>
  <c r="O25" i="2" s="1"/>
  <c r="O50" i="2" s="1"/>
  <c r="O26" i="1"/>
  <c r="O26" i="2" s="1"/>
  <c r="O51" i="2" s="1"/>
  <c r="N18" i="1"/>
  <c r="N18" i="2" s="1"/>
  <c r="N43" i="2" s="1"/>
  <c r="N19" i="1"/>
  <c r="N19" i="2" s="1"/>
  <c r="N44" i="2" s="1"/>
  <c r="N20" i="1"/>
  <c r="N20" i="2" s="1"/>
  <c r="N45" i="2" s="1"/>
  <c r="N21" i="1"/>
  <c r="N21" i="2" s="1"/>
  <c r="N46" i="2" s="1"/>
  <c r="N22" i="1"/>
  <c r="N22" i="2" s="1"/>
  <c r="N47" i="2" s="1"/>
  <c r="N23" i="1"/>
  <c r="N23" i="2" s="1"/>
  <c r="N48" i="2" s="1"/>
  <c r="N24" i="1"/>
  <c r="N24" i="2" s="1"/>
  <c r="N49" i="2" s="1"/>
  <c r="N25" i="1"/>
  <c r="N25" i="2" s="1"/>
  <c r="N50" i="2" s="1"/>
  <c r="N26" i="1"/>
  <c r="N26" i="2" s="1"/>
  <c r="N51" i="2" s="1"/>
  <c r="M18" i="1"/>
  <c r="M18" i="2" s="1"/>
  <c r="M43" i="2" s="1"/>
  <c r="M19" i="1"/>
  <c r="M19" i="2" s="1"/>
  <c r="M44" i="2" s="1"/>
  <c r="M20" i="1"/>
  <c r="M20" i="2" s="1"/>
  <c r="M45" i="2" s="1"/>
  <c r="M21" i="1"/>
  <c r="M21" i="2" s="1"/>
  <c r="M46" i="2" s="1"/>
  <c r="M22" i="1"/>
  <c r="M22" i="2" s="1"/>
  <c r="M47" i="2" s="1"/>
  <c r="M23" i="1"/>
  <c r="M23" i="2" s="1"/>
  <c r="M48" i="2" s="1"/>
  <c r="M24" i="1"/>
  <c r="M24" i="2" s="1"/>
  <c r="M49" i="2" s="1"/>
  <c r="M25" i="1"/>
  <c r="M25" i="2" s="1"/>
  <c r="M50" i="2" s="1"/>
  <c r="M26" i="1"/>
  <c r="M26" i="2" s="1"/>
  <c r="M51" i="2" s="1"/>
  <c r="L18" i="1"/>
  <c r="L19" i="1"/>
  <c r="L19" i="2" s="1"/>
  <c r="L44" i="2" s="1"/>
  <c r="L20" i="1"/>
  <c r="L20" i="2" s="1"/>
  <c r="L45" i="2" s="1"/>
  <c r="L21" i="1"/>
  <c r="L21" i="2" s="1"/>
  <c r="L46" i="2" s="1"/>
  <c r="L22" i="1"/>
  <c r="L22" i="2" s="1"/>
  <c r="L47" i="2" s="1"/>
  <c r="L23" i="1"/>
  <c r="L23" i="2" s="1"/>
  <c r="L48" i="2" s="1"/>
  <c r="L24" i="1"/>
  <c r="L24" i="2" s="1"/>
  <c r="L49" i="2" s="1"/>
  <c r="L25" i="1"/>
  <c r="L25" i="2" s="1"/>
  <c r="L50" i="2" s="1"/>
  <c r="L26" i="1"/>
  <c r="L26" i="2" s="1"/>
  <c r="L51" i="2" s="1"/>
  <c r="K18" i="1"/>
  <c r="K18" i="2" s="1"/>
  <c r="K43" i="2" s="1"/>
  <c r="K19" i="1"/>
  <c r="K19" i="2" s="1"/>
  <c r="K44" i="2" s="1"/>
  <c r="K20" i="1"/>
  <c r="K20" i="2" s="1"/>
  <c r="K45" i="2" s="1"/>
  <c r="K21" i="1"/>
  <c r="K21" i="2" s="1"/>
  <c r="K46" i="2" s="1"/>
  <c r="K22" i="1"/>
  <c r="K22" i="2" s="1"/>
  <c r="K47" i="2" s="1"/>
  <c r="K23" i="1"/>
  <c r="K23" i="2" s="1"/>
  <c r="K48" i="2" s="1"/>
  <c r="K24" i="1"/>
  <c r="K24" i="2" s="1"/>
  <c r="K49" i="2" s="1"/>
  <c r="K25" i="1"/>
  <c r="K25" i="2" s="1"/>
  <c r="K50" i="2" s="1"/>
  <c r="K26" i="1"/>
  <c r="K26" i="2" s="1"/>
  <c r="K51" i="2" s="1"/>
  <c r="J18" i="1"/>
  <c r="J18" i="2" s="1"/>
  <c r="J43" i="2" s="1"/>
  <c r="J19" i="1"/>
  <c r="J19" i="2" s="1"/>
  <c r="J44" i="2" s="1"/>
  <c r="J20" i="1"/>
  <c r="J20" i="2" s="1"/>
  <c r="J45" i="2" s="1"/>
  <c r="J21" i="1"/>
  <c r="J21" i="2" s="1"/>
  <c r="J46" i="2" s="1"/>
  <c r="J22" i="1"/>
  <c r="J22" i="2" s="1"/>
  <c r="J47" i="2" s="1"/>
  <c r="J23" i="1"/>
  <c r="J23" i="2" s="1"/>
  <c r="J48" i="2" s="1"/>
  <c r="J24" i="1"/>
  <c r="J24" i="2" s="1"/>
  <c r="J49" i="2" s="1"/>
  <c r="J25" i="1"/>
  <c r="J25" i="2" s="1"/>
  <c r="J50" i="2" s="1"/>
  <c r="J26" i="1"/>
  <c r="J26" i="2" s="1"/>
  <c r="J51" i="2" s="1"/>
  <c r="I18" i="1"/>
  <c r="I18" i="2" s="1"/>
  <c r="I43" i="2" s="1"/>
  <c r="I19" i="1"/>
  <c r="I19" i="2" s="1"/>
  <c r="I44" i="2" s="1"/>
  <c r="I20" i="1"/>
  <c r="I20" i="2" s="1"/>
  <c r="I45" i="2" s="1"/>
  <c r="I21" i="1"/>
  <c r="I21" i="2" s="1"/>
  <c r="I46" i="2" s="1"/>
  <c r="I22" i="1"/>
  <c r="I22" i="2" s="1"/>
  <c r="I47" i="2" s="1"/>
  <c r="I23" i="1"/>
  <c r="I23" i="2" s="1"/>
  <c r="I48" i="2" s="1"/>
  <c r="I24" i="1"/>
  <c r="I24" i="2" s="1"/>
  <c r="I49" i="2" s="1"/>
  <c r="I25" i="1"/>
  <c r="I25" i="2" s="1"/>
  <c r="I50" i="2" s="1"/>
  <c r="I26" i="1"/>
  <c r="I26" i="2" s="1"/>
  <c r="I51" i="2" s="1"/>
  <c r="H18" i="1"/>
  <c r="H19" i="1"/>
  <c r="H19" i="2" s="1"/>
  <c r="H44" i="2" s="1"/>
  <c r="H20" i="1"/>
  <c r="H20" i="2" s="1"/>
  <c r="H45" i="2" s="1"/>
  <c r="H21" i="1"/>
  <c r="H21" i="2" s="1"/>
  <c r="H46" i="2" s="1"/>
  <c r="H22" i="1"/>
  <c r="H22" i="2" s="1"/>
  <c r="H47" i="2" s="1"/>
  <c r="H23" i="1"/>
  <c r="H23" i="2" s="1"/>
  <c r="H48" i="2" s="1"/>
  <c r="H24" i="1"/>
  <c r="H24" i="2" s="1"/>
  <c r="H49" i="2" s="1"/>
  <c r="H25" i="1"/>
  <c r="H25" i="2" s="1"/>
  <c r="H50" i="2" s="1"/>
  <c r="H26" i="1"/>
  <c r="H26" i="2" s="1"/>
  <c r="H51" i="2" s="1"/>
  <c r="G18" i="1"/>
  <c r="G19" i="1"/>
  <c r="G19" i="2" s="1"/>
  <c r="G44" i="2" s="1"/>
  <c r="G20" i="1"/>
  <c r="G20" i="2" s="1"/>
  <c r="G45" i="2" s="1"/>
  <c r="G21" i="1"/>
  <c r="G21" i="2" s="1"/>
  <c r="G46" i="2" s="1"/>
  <c r="G22" i="1"/>
  <c r="G22" i="2" s="1"/>
  <c r="G47" i="2" s="1"/>
  <c r="G23" i="1"/>
  <c r="G23" i="2" s="1"/>
  <c r="G48" i="2" s="1"/>
  <c r="G24" i="1"/>
  <c r="G24" i="2" s="1"/>
  <c r="G49" i="2" s="1"/>
  <c r="G25" i="1"/>
  <c r="G25" i="2" s="1"/>
  <c r="G50" i="2" s="1"/>
  <c r="G26" i="1"/>
  <c r="G26" i="2" s="1"/>
  <c r="G51" i="2" s="1"/>
  <c r="F18" i="1"/>
  <c r="F18" i="2" s="1"/>
  <c r="F43" i="2" s="1"/>
  <c r="F19" i="1"/>
  <c r="F19" i="2" s="1"/>
  <c r="F44" i="2" s="1"/>
  <c r="F20" i="1"/>
  <c r="F20" i="2" s="1"/>
  <c r="F45" i="2" s="1"/>
  <c r="F21" i="1"/>
  <c r="F21" i="2" s="1"/>
  <c r="F46" i="2" s="1"/>
  <c r="F22" i="1"/>
  <c r="F22" i="2" s="1"/>
  <c r="F47" i="2" s="1"/>
  <c r="F23" i="1"/>
  <c r="F23" i="2" s="1"/>
  <c r="F48" i="2" s="1"/>
  <c r="F24" i="1"/>
  <c r="F24" i="2" s="1"/>
  <c r="F49" i="2" s="1"/>
  <c r="F25" i="1"/>
  <c r="F25" i="2" s="1"/>
  <c r="F50" i="2" s="1"/>
  <c r="F26" i="1"/>
  <c r="F26" i="2" s="1"/>
  <c r="F51" i="2" s="1"/>
  <c r="E18" i="1"/>
  <c r="E18" i="2" s="1"/>
  <c r="E43" i="2" s="1"/>
  <c r="E19" i="1"/>
  <c r="E19" i="2" s="1"/>
  <c r="E44" i="2" s="1"/>
  <c r="E20" i="1"/>
  <c r="E20" i="2" s="1"/>
  <c r="E45" i="2" s="1"/>
  <c r="E21" i="1"/>
  <c r="E21" i="2" s="1"/>
  <c r="E46" i="2" s="1"/>
  <c r="E22" i="1"/>
  <c r="E22" i="2" s="1"/>
  <c r="E47" i="2" s="1"/>
  <c r="E23" i="1"/>
  <c r="E23" i="2" s="1"/>
  <c r="E48" i="2" s="1"/>
  <c r="E24" i="1"/>
  <c r="E24" i="2" s="1"/>
  <c r="E49" i="2" s="1"/>
  <c r="E25" i="1"/>
  <c r="E25" i="2" s="1"/>
  <c r="E50" i="2" s="1"/>
  <c r="E26" i="1"/>
  <c r="E26" i="2" s="1"/>
  <c r="E51" i="2" s="1"/>
  <c r="D18" i="1"/>
  <c r="D18" i="2" s="1"/>
  <c r="D43" i="2" s="1"/>
  <c r="D19" i="1"/>
  <c r="D19" i="2" s="1"/>
  <c r="D44" i="2" s="1"/>
  <c r="D20" i="1"/>
  <c r="D20" i="2" s="1"/>
  <c r="D45" i="2" s="1"/>
  <c r="D21" i="1"/>
  <c r="D21" i="2" s="1"/>
  <c r="D46" i="2" s="1"/>
  <c r="D22" i="1"/>
  <c r="D22" i="2" s="1"/>
  <c r="D47" i="2" s="1"/>
  <c r="D23" i="1"/>
  <c r="D23" i="2" s="1"/>
  <c r="D48" i="2" s="1"/>
  <c r="D24" i="1"/>
  <c r="D24" i="2" s="1"/>
  <c r="D49" i="2" s="1"/>
  <c r="D25" i="1"/>
  <c r="D25" i="2" s="1"/>
  <c r="D50" i="2" s="1"/>
  <c r="D26" i="1"/>
  <c r="D26" i="2" s="1"/>
  <c r="D51" i="2" s="1"/>
  <c r="C18" i="1"/>
  <c r="C19" i="1"/>
  <c r="C20" i="1"/>
  <c r="C21" i="1"/>
  <c r="C22" i="1"/>
  <c r="C23" i="1"/>
  <c r="C24" i="1"/>
  <c r="C25" i="1"/>
  <c r="C26" i="1"/>
  <c r="G18" i="2"/>
  <c r="G43" i="2" s="1"/>
  <c r="H18" i="2"/>
  <c r="H43" i="2" s="1"/>
  <c r="L18" i="2"/>
  <c r="L43" i="2" s="1"/>
  <c r="C19" i="2"/>
  <c r="C44" i="2" s="1"/>
  <c r="R5" i="1"/>
  <c r="R5" i="2" s="1"/>
  <c r="R30" i="2" s="1"/>
  <c r="R6" i="1"/>
  <c r="R6" i="2" s="1"/>
  <c r="R31" i="2" s="1"/>
  <c r="R7" i="1"/>
  <c r="R7" i="2" s="1"/>
  <c r="R32" i="2" s="1"/>
  <c r="R8" i="1"/>
  <c r="R8" i="2" s="1"/>
  <c r="R33" i="2" s="1"/>
  <c r="R9" i="1"/>
  <c r="R9" i="2" s="1"/>
  <c r="R34" i="2" s="1"/>
  <c r="R10" i="1"/>
  <c r="R10" i="2" s="1"/>
  <c r="R35" i="2" s="1"/>
  <c r="R11" i="1"/>
  <c r="R11" i="2" s="1"/>
  <c r="R36" i="2" s="1"/>
  <c r="R12" i="1"/>
  <c r="R12" i="2" s="1"/>
  <c r="R37" i="2" s="1"/>
  <c r="R13" i="1"/>
  <c r="R13" i="2" s="1"/>
  <c r="R38" i="2" s="1"/>
  <c r="Q5" i="1"/>
  <c r="Q5" i="2" s="1"/>
  <c r="Q30" i="2" s="1"/>
  <c r="Q6" i="1"/>
  <c r="Q6" i="2" s="1"/>
  <c r="Q31" i="2" s="1"/>
  <c r="Q7" i="1"/>
  <c r="Q7" i="2" s="1"/>
  <c r="Q32" i="2" s="1"/>
  <c r="Q8" i="1"/>
  <c r="Q8" i="2" s="1"/>
  <c r="Q33" i="2" s="1"/>
  <c r="Q9" i="1"/>
  <c r="Q9" i="2" s="1"/>
  <c r="Q34" i="2" s="1"/>
  <c r="Q10" i="1"/>
  <c r="Q10" i="2" s="1"/>
  <c r="Q35" i="2" s="1"/>
  <c r="Q11" i="1"/>
  <c r="Q11" i="2" s="1"/>
  <c r="Q36" i="2" s="1"/>
  <c r="Q12" i="1"/>
  <c r="Q12" i="2" s="1"/>
  <c r="Q37" i="2" s="1"/>
  <c r="Q13" i="1"/>
  <c r="Q13" i="2" s="1"/>
  <c r="Q38" i="2" s="1"/>
  <c r="P5" i="1"/>
  <c r="P5" i="2" s="1"/>
  <c r="P30" i="2" s="1"/>
  <c r="P6" i="1"/>
  <c r="P6" i="2" s="1"/>
  <c r="P31" i="2" s="1"/>
  <c r="P7" i="1"/>
  <c r="P7" i="2" s="1"/>
  <c r="P32" i="2" s="1"/>
  <c r="P8" i="1"/>
  <c r="P8" i="2" s="1"/>
  <c r="P33" i="2" s="1"/>
  <c r="P9" i="1"/>
  <c r="P9" i="2" s="1"/>
  <c r="P34" i="2" s="1"/>
  <c r="P10" i="1"/>
  <c r="P10" i="2" s="1"/>
  <c r="P35" i="2" s="1"/>
  <c r="P11" i="1"/>
  <c r="P11" i="2" s="1"/>
  <c r="P36" i="2" s="1"/>
  <c r="P12" i="1"/>
  <c r="P12" i="2" s="1"/>
  <c r="P37" i="2" s="1"/>
  <c r="P13" i="1"/>
  <c r="P13" i="2" s="1"/>
  <c r="P38" i="2" s="1"/>
  <c r="O5" i="1"/>
  <c r="O5" i="2" s="1"/>
  <c r="O30" i="2" s="1"/>
  <c r="O6" i="1"/>
  <c r="O6" i="2" s="1"/>
  <c r="O31" i="2" s="1"/>
  <c r="O7" i="1"/>
  <c r="O7" i="2" s="1"/>
  <c r="O32" i="2" s="1"/>
  <c r="O8" i="1"/>
  <c r="O8" i="2" s="1"/>
  <c r="O33" i="2" s="1"/>
  <c r="O9" i="1"/>
  <c r="O9" i="2" s="1"/>
  <c r="O34" i="2" s="1"/>
  <c r="O10" i="1"/>
  <c r="O10" i="2" s="1"/>
  <c r="O35" i="2" s="1"/>
  <c r="O11" i="1"/>
  <c r="O11" i="2" s="1"/>
  <c r="O36" i="2" s="1"/>
  <c r="O12" i="1"/>
  <c r="O12" i="2" s="1"/>
  <c r="O37" i="2" s="1"/>
  <c r="O13" i="1"/>
  <c r="O13" i="2" s="1"/>
  <c r="O38" i="2" s="1"/>
  <c r="N5" i="1"/>
  <c r="N5" i="2" s="1"/>
  <c r="N30" i="2" s="1"/>
  <c r="N6" i="1"/>
  <c r="N6" i="2" s="1"/>
  <c r="N31" i="2" s="1"/>
  <c r="N7" i="1"/>
  <c r="N7" i="2" s="1"/>
  <c r="N32" i="2" s="1"/>
  <c r="N8" i="1"/>
  <c r="N8" i="2" s="1"/>
  <c r="N33" i="2" s="1"/>
  <c r="N9" i="1"/>
  <c r="N9" i="2" s="1"/>
  <c r="N34" i="2" s="1"/>
  <c r="N10" i="1"/>
  <c r="N10" i="2" s="1"/>
  <c r="N35" i="2" s="1"/>
  <c r="N11" i="1"/>
  <c r="N11" i="2" s="1"/>
  <c r="N36" i="2" s="1"/>
  <c r="N12" i="1"/>
  <c r="N12" i="2" s="1"/>
  <c r="N37" i="2" s="1"/>
  <c r="N13" i="1"/>
  <c r="N13" i="2" s="1"/>
  <c r="N38" i="2" s="1"/>
  <c r="M5" i="1"/>
  <c r="M5" i="2" s="1"/>
  <c r="M30" i="2" s="1"/>
  <c r="M6" i="1"/>
  <c r="M6" i="2" s="1"/>
  <c r="M31" i="2" s="1"/>
  <c r="M7" i="1"/>
  <c r="M7" i="2" s="1"/>
  <c r="M32" i="2" s="1"/>
  <c r="M8" i="1"/>
  <c r="M8" i="2" s="1"/>
  <c r="M33" i="2" s="1"/>
  <c r="M9" i="1"/>
  <c r="M9" i="2" s="1"/>
  <c r="M34" i="2" s="1"/>
  <c r="M10" i="1"/>
  <c r="M10" i="2" s="1"/>
  <c r="M35" i="2" s="1"/>
  <c r="M11" i="1"/>
  <c r="M11" i="2" s="1"/>
  <c r="M36" i="2" s="1"/>
  <c r="M12" i="1"/>
  <c r="M12" i="2" s="1"/>
  <c r="M37" i="2" s="1"/>
  <c r="M13" i="1"/>
  <c r="M13" i="2" s="1"/>
  <c r="M38" i="2" s="1"/>
  <c r="L5" i="1"/>
  <c r="L5" i="2" s="1"/>
  <c r="L30" i="2" s="1"/>
  <c r="L6" i="1"/>
  <c r="L6" i="2" s="1"/>
  <c r="L31" i="2" s="1"/>
  <c r="L7" i="1"/>
  <c r="L7" i="2" s="1"/>
  <c r="L32" i="2" s="1"/>
  <c r="L8" i="1"/>
  <c r="L8" i="2" s="1"/>
  <c r="L33" i="2" s="1"/>
  <c r="L9" i="1"/>
  <c r="L9" i="2" s="1"/>
  <c r="L34" i="2" s="1"/>
  <c r="L10" i="1"/>
  <c r="L10" i="2" s="1"/>
  <c r="L35" i="2" s="1"/>
  <c r="L11" i="1"/>
  <c r="L11" i="2" s="1"/>
  <c r="L36" i="2" s="1"/>
  <c r="L12" i="1"/>
  <c r="L12" i="2" s="1"/>
  <c r="L37" i="2" s="1"/>
  <c r="L13" i="1"/>
  <c r="L13" i="2" s="1"/>
  <c r="L38" i="2" s="1"/>
  <c r="K5" i="1"/>
  <c r="K5" i="2" s="1"/>
  <c r="K30" i="2" s="1"/>
  <c r="K6" i="1"/>
  <c r="K6" i="2" s="1"/>
  <c r="K31" i="2" s="1"/>
  <c r="K7" i="1"/>
  <c r="K7" i="2" s="1"/>
  <c r="K32" i="2" s="1"/>
  <c r="K8" i="1"/>
  <c r="K8" i="2" s="1"/>
  <c r="K33" i="2" s="1"/>
  <c r="K9" i="1"/>
  <c r="K9" i="2" s="1"/>
  <c r="K34" i="2" s="1"/>
  <c r="K10" i="1"/>
  <c r="K10" i="2" s="1"/>
  <c r="K35" i="2" s="1"/>
  <c r="K11" i="1"/>
  <c r="K11" i="2" s="1"/>
  <c r="K36" i="2" s="1"/>
  <c r="K12" i="1"/>
  <c r="K12" i="2" s="1"/>
  <c r="K37" i="2" s="1"/>
  <c r="K13" i="1"/>
  <c r="K13" i="2" s="1"/>
  <c r="K38" i="2" s="1"/>
  <c r="J5" i="1"/>
  <c r="J5" i="2" s="1"/>
  <c r="J30" i="2" s="1"/>
  <c r="J6" i="1"/>
  <c r="J6" i="2" s="1"/>
  <c r="J31" i="2" s="1"/>
  <c r="J7" i="1"/>
  <c r="J7" i="2" s="1"/>
  <c r="J32" i="2" s="1"/>
  <c r="J8" i="1"/>
  <c r="J8" i="2" s="1"/>
  <c r="J33" i="2" s="1"/>
  <c r="J9" i="1"/>
  <c r="J9" i="2" s="1"/>
  <c r="J34" i="2" s="1"/>
  <c r="J10" i="1"/>
  <c r="J10" i="2" s="1"/>
  <c r="J35" i="2" s="1"/>
  <c r="J11" i="1"/>
  <c r="J11" i="2" s="1"/>
  <c r="J36" i="2" s="1"/>
  <c r="J12" i="1"/>
  <c r="J12" i="2" s="1"/>
  <c r="J37" i="2" s="1"/>
  <c r="J13" i="1"/>
  <c r="J13" i="2" s="1"/>
  <c r="J38" i="2" s="1"/>
  <c r="I5" i="1"/>
  <c r="I5" i="2" s="1"/>
  <c r="I30" i="2" s="1"/>
  <c r="I6" i="1"/>
  <c r="I6" i="2" s="1"/>
  <c r="I31" i="2" s="1"/>
  <c r="I7" i="1"/>
  <c r="I7" i="2" s="1"/>
  <c r="I32" i="2" s="1"/>
  <c r="I8" i="1"/>
  <c r="I8" i="2" s="1"/>
  <c r="I33" i="2" s="1"/>
  <c r="I9" i="1"/>
  <c r="I9" i="2" s="1"/>
  <c r="I34" i="2" s="1"/>
  <c r="I10" i="1"/>
  <c r="I10" i="2" s="1"/>
  <c r="I35" i="2" s="1"/>
  <c r="I11" i="1"/>
  <c r="I11" i="2" s="1"/>
  <c r="I36" i="2" s="1"/>
  <c r="I12" i="1"/>
  <c r="I12" i="2" s="1"/>
  <c r="I37" i="2" s="1"/>
  <c r="I13" i="1"/>
  <c r="I13" i="2" s="1"/>
  <c r="I38" i="2" s="1"/>
  <c r="H5" i="1"/>
  <c r="H5" i="2" s="1"/>
  <c r="H30" i="2" s="1"/>
  <c r="H6" i="1"/>
  <c r="H6" i="2" s="1"/>
  <c r="H31" i="2" s="1"/>
  <c r="H7" i="1"/>
  <c r="H7" i="2" s="1"/>
  <c r="H32" i="2" s="1"/>
  <c r="H8" i="1"/>
  <c r="H8" i="2" s="1"/>
  <c r="H33" i="2" s="1"/>
  <c r="H9" i="1"/>
  <c r="H9" i="2" s="1"/>
  <c r="H34" i="2" s="1"/>
  <c r="H10" i="1"/>
  <c r="H10" i="2" s="1"/>
  <c r="H35" i="2" s="1"/>
  <c r="H11" i="1"/>
  <c r="H11" i="2" s="1"/>
  <c r="H36" i="2" s="1"/>
  <c r="H12" i="1"/>
  <c r="H12" i="2" s="1"/>
  <c r="H37" i="2" s="1"/>
  <c r="H13" i="1"/>
  <c r="H13" i="2" s="1"/>
  <c r="H38" i="2" s="1"/>
  <c r="G5" i="1"/>
  <c r="G5" i="2" s="1"/>
  <c r="G30" i="2" s="1"/>
  <c r="G6" i="1"/>
  <c r="G6" i="2" s="1"/>
  <c r="G31" i="2" s="1"/>
  <c r="G7" i="1"/>
  <c r="G7" i="2" s="1"/>
  <c r="G32" i="2" s="1"/>
  <c r="G8" i="1"/>
  <c r="G8" i="2" s="1"/>
  <c r="G33" i="2" s="1"/>
  <c r="G9" i="1"/>
  <c r="G9" i="2" s="1"/>
  <c r="G34" i="2" s="1"/>
  <c r="G10" i="1"/>
  <c r="G10" i="2" s="1"/>
  <c r="G35" i="2" s="1"/>
  <c r="G11" i="1"/>
  <c r="G11" i="2" s="1"/>
  <c r="G36" i="2" s="1"/>
  <c r="G12" i="1"/>
  <c r="G12" i="2" s="1"/>
  <c r="G37" i="2" s="1"/>
  <c r="G13" i="1"/>
  <c r="G13" i="2" s="1"/>
  <c r="G38" i="2" s="1"/>
  <c r="F5" i="1"/>
  <c r="F6" i="1"/>
  <c r="F6" i="2" s="1"/>
  <c r="F31" i="2" s="1"/>
  <c r="F7" i="1"/>
  <c r="F7" i="2" s="1"/>
  <c r="F32" i="2" s="1"/>
  <c r="F8" i="1"/>
  <c r="F8" i="2" s="1"/>
  <c r="F33" i="2" s="1"/>
  <c r="F9" i="1"/>
  <c r="F9" i="2" s="1"/>
  <c r="F34" i="2" s="1"/>
  <c r="F10" i="1"/>
  <c r="F10" i="2" s="1"/>
  <c r="F35" i="2" s="1"/>
  <c r="F11" i="1"/>
  <c r="F11" i="2" s="1"/>
  <c r="F36" i="2" s="1"/>
  <c r="F12" i="1"/>
  <c r="F12" i="2" s="1"/>
  <c r="F37" i="2" s="1"/>
  <c r="F13" i="1"/>
  <c r="F13" i="2" s="1"/>
  <c r="F38" i="2" s="1"/>
  <c r="E5" i="1"/>
  <c r="E6" i="1"/>
  <c r="E6" i="2" s="1"/>
  <c r="E31" i="2" s="1"/>
  <c r="E7" i="1"/>
  <c r="E7" i="2" s="1"/>
  <c r="E32" i="2" s="1"/>
  <c r="E8" i="1"/>
  <c r="E8" i="2" s="1"/>
  <c r="E33" i="2" s="1"/>
  <c r="E9" i="1"/>
  <c r="E9" i="2" s="1"/>
  <c r="E34" i="2" s="1"/>
  <c r="E10" i="1"/>
  <c r="E10" i="2" s="1"/>
  <c r="E35" i="2" s="1"/>
  <c r="E11" i="1"/>
  <c r="E11" i="2" s="1"/>
  <c r="E36" i="2" s="1"/>
  <c r="E12" i="1"/>
  <c r="E12" i="2" s="1"/>
  <c r="E37" i="2" s="1"/>
  <c r="E13" i="1"/>
  <c r="E13" i="2" s="1"/>
  <c r="E38" i="2" s="1"/>
  <c r="D5" i="1"/>
  <c r="D5" i="2" s="1"/>
  <c r="D30" i="2" s="1"/>
  <c r="D6" i="1"/>
  <c r="D6" i="2" s="1"/>
  <c r="D31" i="2" s="1"/>
  <c r="D7" i="1"/>
  <c r="D7" i="2" s="1"/>
  <c r="D32" i="2" s="1"/>
  <c r="D8" i="1"/>
  <c r="D8" i="2" s="1"/>
  <c r="D33" i="2" s="1"/>
  <c r="D9" i="1"/>
  <c r="D9" i="2" s="1"/>
  <c r="D34" i="2" s="1"/>
  <c r="D10" i="1"/>
  <c r="D10" i="2" s="1"/>
  <c r="D35" i="2" s="1"/>
  <c r="D11" i="1"/>
  <c r="D11" i="2" s="1"/>
  <c r="D36" i="2" s="1"/>
  <c r="D12" i="1"/>
  <c r="D12" i="2" s="1"/>
  <c r="D37" i="2" s="1"/>
  <c r="D13" i="1"/>
  <c r="D13" i="2" s="1"/>
  <c r="D38" i="2" s="1"/>
  <c r="E5" i="2"/>
  <c r="E30" i="2" s="1"/>
  <c r="F5" i="2"/>
  <c r="F30" i="2" s="1"/>
  <c r="C5" i="1"/>
  <c r="C6" i="1"/>
  <c r="C7" i="1"/>
  <c r="C8" i="1"/>
  <c r="C9" i="1"/>
  <c r="C10" i="1"/>
  <c r="C11" i="1"/>
  <c r="C12" i="1"/>
  <c r="C13" i="1"/>
  <c r="U18" i="1" l="1"/>
  <c r="U18" i="2" s="1"/>
  <c r="T18" i="1"/>
  <c r="T18" i="2" s="1"/>
  <c r="T19" i="1"/>
  <c r="T19" i="2" s="1"/>
  <c r="U19" i="1"/>
  <c r="U19" i="2" s="1"/>
  <c r="U20" i="1"/>
  <c r="U20" i="2" s="1"/>
  <c r="T20" i="1"/>
  <c r="T20" i="2" s="1"/>
  <c r="U21" i="1"/>
  <c r="U21" i="2" s="1"/>
  <c r="T21" i="1"/>
  <c r="T21" i="2" s="1"/>
  <c r="U22" i="1"/>
  <c r="U22" i="2" s="1"/>
  <c r="T22" i="1"/>
  <c r="T22" i="2" s="1"/>
  <c r="T23" i="1"/>
  <c r="T23" i="2" s="1"/>
  <c r="U23" i="1"/>
  <c r="U23" i="2" s="1"/>
  <c r="U24" i="1"/>
  <c r="U24" i="2" s="1"/>
  <c r="T24" i="1"/>
  <c r="T24" i="2" s="1"/>
  <c r="T25" i="1"/>
  <c r="T25" i="2" s="1"/>
  <c r="U25" i="1"/>
  <c r="U25" i="2" s="1"/>
  <c r="U26" i="1"/>
  <c r="U26" i="2" s="1"/>
  <c r="T26" i="1"/>
  <c r="T26" i="2" s="1"/>
  <c r="S19" i="1"/>
  <c r="S19" i="2" s="1"/>
  <c r="S21" i="1"/>
  <c r="S21" i="2" s="1"/>
  <c r="C21" i="2"/>
  <c r="C46" i="2" s="1"/>
  <c r="S22" i="1"/>
  <c r="S22" i="2" s="1"/>
  <c r="C22" i="2"/>
  <c r="C47" i="2" s="1"/>
  <c r="S23" i="1"/>
  <c r="S23" i="2" s="1"/>
  <c r="C23" i="2"/>
  <c r="C48" i="2" s="1"/>
  <c r="C18" i="2"/>
  <c r="C43" i="2" s="1"/>
  <c r="S18" i="1"/>
  <c r="S18" i="2" s="1"/>
  <c r="C20" i="2"/>
  <c r="C45" i="2" s="1"/>
  <c r="S20" i="1"/>
  <c r="S20" i="2" s="1"/>
  <c r="C24" i="2"/>
  <c r="C49" i="2" s="1"/>
  <c r="S24" i="1"/>
  <c r="S24" i="2" s="1"/>
  <c r="C25" i="2"/>
  <c r="C50" i="2" s="1"/>
  <c r="S25" i="1"/>
  <c r="S25" i="2" s="1"/>
  <c r="C26" i="2"/>
  <c r="C51" i="2" s="1"/>
  <c r="S26" i="1"/>
  <c r="S26" i="2" s="1"/>
  <c r="S5" i="1"/>
  <c r="S5" i="2" s="1"/>
  <c r="U5" i="1"/>
  <c r="U5" i="2" s="1"/>
  <c r="T5" i="1"/>
  <c r="T5" i="2" s="1"/>
  <c r="S6" i="1"/>
  <c r="S6" i="2" s="1"/>
  <c r="U6" i="1"/>
  <c r="U6" i="2" s="1"/>
  <c r="T6" i="1"/>
  <c r="T6" i="2" s="1"/>
  <c r="S7" i="1"/>
  <c r="S7" i="2" s="1"/>
  <c r="U7" i="1"/>
  <c r="U7" i="2" s="1"/>
  <c r="T7" i="1"/>
  <c r="T7" i="2" s="1"/>
  <c r="S8" i="1"/>
  <c r="S8" i="2" s="1"/>
  <c r="U8" i="1"/>
  <c r="U8" i="2" s="1"/>
  <c r="T8" i="1"/>
  <c r="T8" i="2" s="1"/>
  <c r="S9" i="1"/>
  <c r="S9" i="2" s="1"/>
  <c r="U9" i="1"/>
  <c r="U9" i="2" s="1"/>
  <c r="T9" i="1"/>
  <c r="T9" i="2" s="1"/>
  <c r="S10" i="1"/>
  <c r="S10" i="2" s="1"/>
  <c r="U10" i="1"/>
  <c r="U10" i="2" s="1"/>
  <c r="T10" i="1"/>
  <c r="T10" i="2" s="1"/>
  <c r="S11" i="1"/>
  <c r="S11" i="2" s="1"/>
  <c r="U11" i="1"/>
  <c r="U11" i="2" s="1"/>
  <c r="T11" i="1"/>
  <c r="T11" i="2" s="1"/>
  <c r="S12" i="1"/>
  <c r="S12" i="2" s="1"/>
  <c r="U12" i="1"/>
  <c r="U12" i="2" s="1"/>
  <c r="T12" i="1"/>
  <c r="T12" i="2" s="1"/>
  <c r="S13" i="1"/>
  <c r="S13" i="2" s="1"/>
  <c r="U13" i="1"/>
  <c r="U13" i="2" s="1"/>
  <c r="T13" i="1"/>
  <c r="T13" i="2" s="1"/>
  <c r="C7" i="2" l="1"/>
  <c r="C32" i="2" s="1"/>
  <c r="C13" i="2"/>
  <c r="C38" i="2" s="1"/>
  <c r="C8" i="2"/>
  <c r="C33" i="2" s="1"/>
  <c r="C9" i="2"/>
  <c r="C34" i="2" s="1"/>
  <c r="C10" i="2"/>
  <c r="C35" i="2" s="1"/>
  <c r="C11" i="2"/>
  <c r="C36" i="2" s="1"/>
  <c r="C12" i="2"/>
  <c r="C37" i="2" s="1"/>
  <c r="C6" i="2"/>
  <c r="C31" i="2" s="1"/>
  <c r="C5" i="2"/>
  <c r="C30" i="2" s="1"/>
</calcChain>
</file>

<file path=xl/sharedStrings.xml><?xml version="1.0" encoding="utf-8"?>
<sst xmlns="http://schemas.openxmlformats.org/spreadsheetml/2006/main" count="2640" uniqueCount="654">
  <si>
    <t>Building Type</t>
  </si>
  <si>
    <t xml:space="preserve">Tech ID </t>
  </si>
  <si>
    <t>NE-Chiller-PumpCtrl-Full-Std</t>
  </si>
  <si>
    <t>ECC</t>
  </si>
  <si>
    <t>Ese</t>
  </si>
  <si>
    <t>Eun</t>
  </si>
  <si>
    <t>Hsp</t>
  </si>
  <si>
    <t>Nrs</t>
  </si>
  <si>
    <t>OfL</t>
  </si>
  <si>
    <t>OfS</t>
  </si>
  <si>
    <t>Rt3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</si>
  <si>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</si>
  <si>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</si>
  <si>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</si>
  <si>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</si>
  <si>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</si>
  <si>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</si>
  <si>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</si>
  <si>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</si>
  <si>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</si>
  <si>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</si>
  <si>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</si>
  <si>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</si>
  <si>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</si>
  <si>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</si>
  <si>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</si>
  <si>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</si>
  <si>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File Name</t>
  </si>
  <si>
    <t>BldgLoc</t>
  </si>
  <si>
    <t>CHW Pump Power (Constant)</t>
  </si>
  <si>
    <t>CW Pump Power (Constant)</t>
  </si>
  <si>
    <t>CHW Pump Power (Variable)</t>
  </si>
  <si>
    <t>CW Pump Power (Variable)</t>
  </si>
  <si>
    <t>CW Design Flow Rate (constant) (m3/s)</t>
  </si>
  <si>
    <t>Electricity/Heating</t>
  </si>
  <si>
    <t>Electricity/Cooling</t>
  </si>
  <si>
    <t>Electricity/Interior Lighting</t>
  </si>
  <si>
    <t>Electricity/Exterior Lighting</t>
  </si>
  <si>
    <t>Electricity/Interior Equipment</t>
  </si>
  <si>
    <t>Electricity/Exterior Equipment</t>
  </si>
  <si>
    <t>Electricity/Fans</t>
  </si>
  <si>
    <t>Electricity/Pumps</t>
  </si>
  <si>
    <t>Electricity/Heat Rejection</t>
  </si>
  <si>
    <t>Electricity/Humidification</t>
  </si>
  <si>
    <t>Electricity/Heat Recovery</t>
  </si>
  <si>
    <t>Electricity/Water Systems</t>
  </si>
  <si>
    <t>Electricity/Refrigeration</t>
  </si>
  <si>
    <t>Electricity/Generators</t>
  </si>
  <si>
    <t>Natural Gas/Heating</t>
  </si>
  <si>
    <t>Natural Gas/Cooling</t>
  </si>
  <si>
    <t>Natural Gas/Interior Lighting</t>
  </si>
  <si>
    <t>Natural Gas/Exterior Lighting</t>
  </si>
  <si>
    <t>Natural Gas/Interior Equipment</t>
  </si>
  <si>
    <t>Natural Gas/Exterior Equipment</t>
  </si>
  <si>
    <t>Natural Gas/Fans</t>
  </si>
  <si>
    <t>Natural Gas/Pumps</t>
  </si>
  <si>
    <t>Natural Gas/Heat Rejection</t>
  </si>
  <si>
    <t>Natural Gas/Humidification</t>
  </si>
  <si>
    <t>Natural Gas/Heat Recovery</t>
  </si>
  <si>
    <t>Natural Gas/Water Systems</t>
  </si>
  <si>
    <t>Natural Gas/Refrigeration</t>
  </si>
  <si>
    <t>Natural Gas/Generators</t>
  </si>
  <si>
    <t>Electricity:Facility [J](Hourly)</t>
  </si>
  <si>
    <t>runs/CZ16/Rt3&amp;0&amp;cPVVE&amp;Ex&amp;Chiller__PumpCtrl/NE-Chiller-PumpCtrl-Full-Std/instance-out.sql</t>
  </si>
  <si>
    <t>runs/CZ16/Rt3&amp;0&amp;cPVVE&amp;Ex&amp;Chiller__PumpCtrl/NE-Chiller-CHWPumpCtrl-Full-Msr/instance-out.sql</t>
  </si>
  <si>
    <t>runs/CZ16/OfS&amp;0&amp;cPVVE&amp;Ex&amp;Chiller__PumpCtrl/NE-Chiller-CHWPumpCtrl-Full-Msr/instance-out.sql</t>
  </si>
  <si>
    <t>runs/CZ16/Nrs&amp;0&amp;cPVVE&amp;Ex&amp;Chiller__PumpCtrl/NE-Chiller-CHWPumpCtrl-Full-Msr/instance-out.sql</t>
  </si>
  <si>
    <t>runs/CZ16/OfL&amp;0&amp;cPVVE&amp;Ex&amp;Chiller__PumpCtrl/NE-Chiller-CHWPumpCtrl-Full-Msr/instance-out.sql</t>
  </si>
  <si>
    <t>runs/CZ16/OfS&amp;0&amp;cPVVE&amp;Ex&amp;Chiller__PumpCtrl/NE-Chiller-PumpCtrl-Full-Std/instance-out.sql</t>
  </si>
  <si>
    <t>runs/CZ16/OfL&amp;0&amp;cPVVE&amp;Ex&amp;Chiller__PumpCtrl/NE-Chiller-PumpCtrl-Full-Std/instance-out.sql</t>
  </si>
  <si>
    <t>runs/CZ16/Nrs&amp;0&amp;cPVVE&amp;Ex&amp;Chiller__PumpCtrl/NE-Chiller-PumpCtrl-Full-Std/instance-out.sql</t>
  </si>
  <si>
    <t>runs/CZ16/Hsp&amp;0&amp;cPVVE&amp;Ex&amp;Chiller__PumpCtrl/NE-Chiller-PumpCtrl-Full-Std/instance-out.sql</t>
  </si>
  <si>
    <t>runs/CZ16/Hsp&amp;0&amp;cPVVE&amp;Ex&amp;Chiller__PumpCtrl/NE-Chiller-CHWPumpCtrl-Full-Msr/instance-out.sql</t>
  </si>
  <si>
    <t>runs/CZ16/EUn&amp;0&amp;cPVVE&amp;Ex&amp;Chiller__PumpCtrl/NE-Chiller-CHWPumpCtrl-Full-Msr/instance-out.sql</t>
  </si>
  <si>
    <t>runs/CZ16/ESe&amp;0&amp;cPVVE&amp;Ex&amp;Chiller__PumpCtrl/NE-Chiller-CHWPumpCtrl-Full-Msr/instance-out.sql</t>
  </si>
  <si>
    <t>runs/CZ16/ESe&amp;0&amp;cPVVE&amp;Ex&amp;Chiller__PumpCtrl/NE-Chiller-PumpCtrl-Full-Std/instance-out.sql</t>
  </si>
  <si>
    <t>runs/CZ16/ECC&amp;0&amp;cPVVE&amp;Ex&amp;Chiller__PumpCtrl/NE-Chiller-CHWPumpCtrl-Full-Msr/instance-out.sql</t>
  </si>
  <si>
    <t>runs/CZ15/Rt3&amp;0&amp;cPVVE&amp;Ex&amp;Chiller__PumpCtrl/NE-Chiller-PumpCtrl-Full-Std/instance-out.sql</t>
  </si>
  <si>
    <t>runs/CZ15/OfS&amp;0&amp;cPVVE&amp;Ex&amp;Chiller__PumpCtrl/NE-Chiller-CHWPumpCtrl-Full-Msr/instance-out.sql</t>
  </si>
  <si>
    <t>runs/CZ16/EUn&amp;0&amp;cPVVE&amp;Ex&amp;Chiller__PumpCtrl/NE-Chiller-PumpCtrl-Full-Std/instance-out.sql</t>
  </si>
  <si>
    <t>runs/CZ15/Rt3&amp;0&amp;cPVVE&amp;Ex&amp;Chiller__PumpCtrl/NE-Chiller-CHWPumpCtrl-Full-Msr/instance-out.sql</t>
  </si>
  <si>
    <t>runs/CZ16/ECC&amp;0&amp;cPVVE&amp;Ex&amp;Chiller__PumpCtrl/NE-Chiller-PumpCtrl-Full-Std/instance-out.sql</t>
  </si>
  <si>
    <t>runs/CZ15/OfL&amp;0&amp;cPVVE&amp;Ex&amp;Chiller__PumpCtrl/NE-Chiller-CHWPumpCtrl-Full-Msr/instance-out.sql</t>
  </si>
  <si>
    <t>runs/CZ15/OfS&amp;0&amp;cPVVE&amp;Ex&amp;Chiller__PumpCtrl/NE-Chiller-PumpCtrl-Full-Std/instance-out.sql</t>
  </si>
  <si>
    <t>runs/CZ15/OfL&amp;0&amp;cPVVE&amp;Ex&amp;Chiller__PumpCtrl/NE-Chiller-PumpCtrl-Full-Std/instance-out.sql</t>
  </si>
  <si>
    <t>runs/CZ15/Nrs&amp;0&amp;cPVVE&amp;Ex&amp;Chiller__PumpCtrl/NE-Chiller-CHWPumpCtrl-Full-Msr/instance-out.sql</t>
  </si>
  <si>
    <t>runs/CZ15/Nrs&amp;0&amp;cPVVE&amp;Ex&amp;Chiller__PumpCtrl/NE-Chiller-PumpCtrl-Full-Std/instance-out.sql</t>
  </si>
  <si>
    <t>runs/CZ15/Hsp&amp;0&amp;cPVVE&amp;Ex&amp;Chiller__PumpCtrl/NE-Chiller-PumpCtrl-Full-Std/instance-out.sql</t>
  </si>
  <si>
    <t>runs/CZ15/ESe&amp;0&amp;cPVVE&amp;Ex&amp;Chiller__PumpCtrl/NE-Chiller-PumpCtrl-Full-Std/instance-out.sql</t>
  </si>
  <si>
    <t>runs/CZ15/ESe&amp;0&amp;cPVVE&amp;Ex&amp;Chiller__PumpCtrl/NE-Chiller-CHWPumpCtrl-Full-Msr/instance-out.sql</t>
  </si>
  <si>
    <t>runs/CZ15/Hsp&amp;0&amp;cPVVE&amp;Ex&amp;Chiller__PumpCtrl/NE-Chiller-CHWPumpCtrl-Full-Msr/instance-out.sql</t>
  </si>
  <si>
    <t>runs/CZ15/ECC&amp;0&amp;cPVVE&amp;Ex&amp;Chiller__PumpCtrl/NE-Chiller-CHWPumpCtrl-Full-Msr/instance-out.sql</t>
  </si>
  <si>
    <t>runs/CZ15/ECC&amp;0&amp;cPVVE&amp;Ex&amp;Chiller__PumpCtrl/NE-Chiller-PumpCtrl-Full-Std/instance-out.sql</t>
  </si>
  <si>
    <t>runs/CZ14/Rt3&amp;0&amp;cPVVE&amp;Ex&amp;Chiller__PumpCtrl/NE-Chiller-CHWPumpCtrl-Full-Msr/instance-out.sql</t>
  </si>
  <si>
    <t>runs/CZ15/EUn&amp;0&amp;cPVVE&amp;Ex&amp;Chiller__PumpCtrl/NE-Chiller-CHWPumpCtrl-Full-Msr/instance-out.sql</t>
  </si>
  <si>
    <t>runs/CZ14/Rt3&amp;0&amp;cPVVE&amp;Ex&amp;Chiller__PumpCtrl/NE-Chiller-PumpCtrl-Full-Std/instance-out.sql</t>
  </si>
  <si>
    <t>runs/CZ15/EUn&amp;0&amp;cPVVE&amp;Ex&amp;Chiller__PumpCtrl/NE-Chiller-PumpCtrl-Full-Std/instance-out.sql</t>
  </si>
  <si>
    <t>runs/CZ14/OfS&amp;0&amp;cPVVE&amp;Ex&amp;Chiller__PumpCtrl/NE-Chiller-CHWPumpCtrl-Full-Msr/instance-out.sql</t>
  </si>
  <si>
    <t>runs/CZ14/OfL&amp;0&amp;cPVVE&amp;Ex&amp;Chiller__PumpCtrl/NE-Chiller-CHWPumpCtrl-Full-Msr/instance-out.sql</t>
  </si>
  <si>
    <t>runs/CZ14/OfS&amp;0&amp;cPVVE&amp;Ex&amp;Chiller__PumpCtrl/NE-Chiller-PumpCtrl-Full-Std/instance-out.sql</t>
  </si>
  <si>
    <t>runs/CZ14/Nrs&amp;0&amp;cPVVE&amp;Ex&amp;Chiller__PumpCtrl/NE-Chiller-CHWPumpCtrl-Full-Msr/instance-out.sql</t>
  </si>
  <si>
    <t>runs/CZ14/Nrs&amp;0&amp;cPVVE&amp;Ex&amp;Chiller__PumpCtrl/NE-Chiller-PumpCtrl-Full-Std/instance-out.sql</t>
  </si>
  <si>
    <t>runs/CZ14/OfL&amp;0&amp;cPVVE&amp;Ex&amp;Chiller__PumpCtrl/NE-Chiller-PumpCtrl-Full-Std/instance-out.sql</t>
  </si>
  <si>
    <t>runs/CZ14/Hsp&amp;0&amp;cPVVE&amp;Ex&amp;Chiller__PumpCtrl/NE-Chiller-PumpCtrl-Full-Std/instance-out.sql</t>
  </si>
  <si>
    <t>runs/CZ14/ECC&amp;0&amp;cPVVE&amp;Ex&amp;Chiller__PumpCtrl/NE-Chiller-CHWPumpCtrl-Full-Msr/instance-out.sql</t>
  </si>
  <si>
    <t>runs/CZ14/EUn&amp;0&amp;cPVVE&amp;Ex&amp;Chiller__PumpCtrl/NE-Chiller-PumpCtrl-Full-Std/instance-out.sql</t>
  </si>
  <si>
    <t>runs/CZ14/ESe&amp;0&amp;cPVVE&amp;Ex&amp;Chiller__PumpCtrl/NE-Chiller-CHWPumpCtrl-Full-Msr/instance-out.sql</t>
  </si>
  <si>
    <t>runs/CZ14/Hsp&amp;0&amp;cPVVE&amp;Ex&amp;Chiller__PumpCtrl/NE-Chiller-CHWPumpCtrl-Full-Msr/instance-out.sql</t>
  </si>
  <si>
    <t>runs/CZ14/ESe&amp;0&amp;cPVVE&amp;Ex&amp;Chiller__PumpCtrl/NE-Chiller-PumpCtrl-Full-Std/instance-out.sql</t>
  </si>
  <si>
    <t>runs/CZ14/EUn&amp;0&amp;cPVVE&amp;Ex&amp;Chiller__PumpCtrl/NE-Chiller-CHWPumpCtrl-Full-Msr/instance-out.sql</t>
  </si>
  <si>
    <t>runs/CZ14/ECC&amp;0&amp;cPVVE&amp;Ex&amp;Chiller__PumpCtrl/NE-Chiller-PumpCtrl-Full-Std/instance-out.sql</t>
  </si>
  <si>
    <t>runs/CZ13/Rt3&amp;0&amp;cPVVE&amp;Ex&amp;Chiller__PumpCtrl/NE-Chiller-CHWPumpCtrl-Full-Msr/instance-out.sql</t>
  </si>
  <si>
    <t>runs/CZ13/OfS&amp;0&amp;cPVVE&amp;Ex&amp;Chiller__PumpCtrl/NE-Chiller-PumpCtrl-Full-Std/instance-out.sql</t>
  </si>
  <si>
    <t>runs/CZ13/OfS&amp;0&amp;cPVVE&amp;Ex&amp;Chiller__PumpCtrl/NE-Chiller-CHWPumpCtrl-Full-Msr/instance-out.sql</t>
  </si>
  <si>
    <t>runs/CZ13/Nrs&amp;0&amp;cPVVE&amp;Ex&amp;Chiller__PumpCtrl/NE-Chiller-CHWPumpCtrl-Full-Msr/instance-out.sql</t>
  </si>
  <si>
    <t>runs/CZ13/Rt3&amp;0&amp;cPVVE&amp;Ex&amp;Chiller__PumpCtrl/NE-Chiller-PumpCtrl-Full-Std/instance-out.sql</t>
  </si>
  <si>
    <t>runs/CZ13/OfL&amp;0&amp;cPVVE&amp;Ex&amp;Chiller__PumpCtrl/NE-Chiller-CHWPumpCtrl-Full-Msr/instance-out.sql</t>
  </si>
  <si>
    <t>runs/CZ13/OfL&amp;0&amp;cPVVE&amp;Ex&amp;Chiller__PumpCtrl/NE-Chiller-PumpCtrl-Full-Std/instance-out.sql</t>
  </si>
  <si>
    <t>runs/CZ13/Nrs&amp;0&amp;cPVVE&amp;Ex&amp;Chiller__PumpCtrl/NE-Chiller-PumpCtrl-Full-Std/instance-out.sql</t>
  </si>
  <si>
    <t>runs/CZ13/Hsp&amp;0&amp;cPVVE&amp;Ex&amp;Chiller__PumpCtrl/NE-Chiller-PumpCtrl-Full-Std/instance-out.sql</t>
  </si>
  <si>
    <t>runs/CZ13/Hsp&amp;0&amp;cPVVE&amp;Ex&amp;Chiller__PumpCtrl/NE-Chiller-CHWPumpCtrl-Full-Msr/instance-out.sql</t>
  </si>
  <si>
    <t>runs/CZ13/EUn&amp;0&amp;cPVVE&amp;Ex&amp;Chiller__PumpCtrl/NE-Chiller-CHWPumpCtrl-Full-Msr/instance-out.sql</t>
  </si>
  <si>
    <t>runs/CZ13/ESe&amp;0&amp;cPVVE&amp;Ex&amp;Chiller__PumpCtrl/NE-Chiller-CHWPumpCtrl-Full-Msr/instance-out.sql</t>
  </si>
  <si>
    <t>runs/CZ13/EUn&amp;0&amp;cPVVE&amp;Ex&amp;Chiller__PumpCtrl/NE-Chiller-PumpCtrl-Full-Std/instance-out.sql</t>
  </si>
  <si>
    <t>runs/CZ13/ECC&amp;0&amp;cPVVE&amp;Ex&amp;Chiller__PumpCtrl/NE-Chiller-PumpCtrl-Full-Std/instance-out.sql</t>
  </si>
  <si>
    <t>runs/CZ12/Rt3&amp;0&amp;cPVVE&amp;Ex&amp;Chiller__PumpCtrl/NE-Chiller-PumpCtrl-Full-Std/instance-out.sql</t>
  </si>
  <si>
    <t>runs/CZ12/OfS&amp;0&amp;cPVVE&amp;Ex&amp;Chiller__PumpCtrl/NE-Chiller-CHWPumpCtrl-Full-Msr/instance-out.sql</t>
  </si>
  <si>
    <t>runs/CZ13/ESe&amp;0&amp;cPVVE&amp;Ex&amp;Chiller__PumpCtrl/NE-Chiller-PumpCtrl-Full-Std/instance-out.sql</t>
  </si>
  <si>
    <t>runs/CZ12/Rt3&amp;0&amp;cPVVE&amp;Ex&amp;Chiller__PumpCtrl/NE-Chiller-CHWPumpCtrl-Full-Msr/instance-out.sql</t>
  </si>
  <si>
    <t>runs/CZ13/ECC&amp;0&amp;cPVVE&amp;Ex&amp;Chiller__PumpCtrl/NE-Chiller-CHWPumpCtrl-Full-Msr/instance-out.sql</t>
  </si>
  <si>
    <t>runs/CZ12/OfS&amp;0&amp;cPVVE&amp;Ex&amp;Chiller__PumpCtrl/NE-Chiller-PumpCtrl-Full-Std/instance-out.sql</t>
  </si>
  <si>
    <t>runs/CZ12/OfL&amp;0&amp;cPVVE&amp;Ex&amp;Chiller__PumpCtrl/NE-Chiller-PumpCtrl-Full-Std/instance-out.sql</t>
  </si>
  <si>
    <t>runs/CZ12/OfL&amp;0&amp;cPVVE&amp;Ex&amp;Chiller__PumpCtrl/NE-Chiller-CHWPumpCtrl-Full-Msr/instance-out.sql</t>
  </si>
  <si>
    <t>runs/CZ12/Nrs&amp;0&amp;cPVVE&amp;Ex&amp;Chiller__PumpCtrl/NE-Chiller-CHWPumpCtrl-Full-Msr/instance-out.sql</t>
  </si>
  <si>
    <t>runs/CZ12/Nrs&amp;0&amp;cPVVE&amp;Ex&amp;Chiller__PumpCtrl/NE-Chiller-PumpCtrl-Full-Std/instance-out.sql</t>
  </si>
  <si>
    <t>runs/CZ12/Hsp&amp;0&amp;cPVVE&amp;Ex&amp;Chiller__PumpCtrl/NE-Chiller-CHWPumpCtrl-Full-Msr/instance-out.sql</t>
  </si>
  <si>
    <t>runs/CZ12/Hsp&amp;0&amp;cPVVE&amp;Ex&amp;Chiller__PumpCtrl/NE-Chiller-PumpCtrl-Full-Std/instance-out.sql</t>
  </si>
  <si>
    <t>runs/CZ12/ESe&amp;0&amp;cPVVE&amp;Ex&amp;Chiller__PumpCtrl/NE-Chiller-CHWPumpCtrl-Full-Msr/instance-out.sql</t>
  </si>
  <si>
    <t>runs/CZ12/ESe&amp;0&amp;cPVVE&amp;Ex&amp;Chiller__PumpCtrl/NE-Chiller-PumpCtrl-Full-Std/instance-out.sql</t>
  </si>
  <si>
    <t>runs/CZ12/EUn&amp;0&amp;cPVVE&amp;Ex&amp;Chiller__PumpCtrl/NE-Chiller-CHWPumpCtrl-Full-Msr/instance-out.sql</t>
  </si>
  <si>
    <t>runs/CZ12/EUn&amp;0&amp;cPVVE&amp;Ex&amp;Chiller__PumpCtrl/NE-Chiller-PumpCtrl-Full-Std/instance-out.sql</t>
  </si>
  <si>
    <t>runs/CZ12/ECC&amp;0&amp;cPVVE&amp;Ex&amp;Chiller__PumpCtrl/NE-Chiller-CHWPumpCtrl-Full-Msr/instance-out.sql</t>
  </si>
  <si>
    <t>runs/CZ12/ECC&amp;0&amp;cPVVE&amp;Ex&amp;Chiller__PumpCtrl/NE-Chiller-PumpCtrl-Full-Std/instance-out.sql</t>
  </si>
  <si>
    <t>runs/CZ11/Rt3&amp;0&amp;cPVVE&amp;Ex&amp;Chiller__PumpCtrl/NE-Chiller-PumpCtrl-Full-Std/instance-out.sql</t>
  </si>
  <si>
    <t>runs/CZ11/Rt3&amp;0&amp;cPVVE&amp;Ex&amp;Chiller__PumpCtrl/NE-Chiller-CHWPumpCtrl-Full-Msr/instance-out.sql</t>
  </si>
  <si>
    <t>runs/CZ11/OfS&amp;0&amp;cPVVE&amp;Ex&amp;Chiller__PumpCtrl/NE-Chiller-CHWPumpCtrl-Full-Msr/instance-out.sql</t>
  </si>
  <si>
    <t>runs/CZ11/OfL&amp;0&amp;cPVVE&amp;Ex&amp;Chiller__PumpCtrl/NE-Chiller-CHWPumpCtrl-Full-Msr/instance-out.sql</t>
  </si>
  <si>
    <t>runs/CZ11/OfS&amp;0&amp;cPVVE&amp;Ex&amp;Chiller__PumpCtrl/NE-Chiller-PumpCtrl-Full-Std/instance-out.sql</t>
  </si>
  <si>
    <t>runs/CZ11/OfL&amp;0&amp;cPVVE&amp;Ex&amp;Chiller__PumpCtrl/NE-Chiller-PumpCtrl-Full-Std/instance-out.sql</t>
  </si>
  <si>
    <t>runs/CZ11/Nrs&amp;0&amp;cPVVE&amp;Ex&amp;Chiller__PumpCtrl/NE-Chiller-CHWPumpCtrl-Full-Msr/instance-out.sql</t>
  </si>
  <si>
    <t>runs/CZ11/Nrs&amp;0&amp;cPVVE&amp;Ex&amp;Chiller__PumpCtrl/NE-Chiller-PumpCtrl-Full-Std/instance-out.sql</t>
  </si>
  <si>
    <t>runs/CZ11/Hsp&amp;0&amp;cPVVE&amp;Ex&amp;Chiller__PumpCtrl/NE-Chiller-CHWPumpCtrl-Full-Msr/instance-out.sql</t>
  </si>
  <si>
    <t>runs/CZ11/Hsp&amp;0&amp;cPVVE&amp;Ex&amp;Chiller__PumpCtrl/NE-Chiller-PumpCtrl-Full-Std/instance-out.sql</t>
  </si>
  <si>
    <t>runs/CZ11/ESe&amp;0&amp;cPVVE&amp;Ex&amp;Chiller__PumpCtrl/NE-Chiller-CHWPumpCtrl-Full-Msr/instance-out.sql</t>
  </si>
  <si>
    <t>runs/CZ11/ESe&amp;0&amp;cPVVE&amp;Ex&amp;Chiller__PumpCtrl/NE-Chiller-PumpCtrl-Full-Std/instance-out.sql</t>
  </si>
  <si>
    <t>runs/CZ11/EUn&amp;0&amp;cPVVE&amp;Ex&amp;Chiller__PumpCtrl/NE-Chiller-CHWPumpCtrl-Full-Msr/instance-out.sql</t>
  </si>
  <si>
    <t>runs/CZ11/ECC&amp;0&amp;cPVVE&amp;Ex&amp;Chiller__PumpCtrl/NE-Chiller-PumpCtrl-Full-Std/instance-out.sql</t>
  </si>
  <si>
    <t>runs/CZ11/EUn&amp;0&amp;cPVVE&amp;Ex&amp;Chiller__PumpCtrl/NE-Chiller-PumpCtrl-Full-Std/instance-out.sql</t>
  </si>
  <si>
    <t>runs/CZ10/Rt3&amp;0&amp;cPVVE&amp;Ex&amp;Chiller__PumpCtrl/NE-Chiller-PumpCtrl-Full-Std/instance-out.sql</t>
  </si>
  <si>
    <t>runs/CZ11/ECC&amp;0&amp;cPVVE&amp;Ex&amp;Chiller__PumpCtrl/NE-Chiller-CHWPumpCtrl-Full-Msr/instance-out.sql</t>
  </si>
  <si>
    <t>runs/CZ10/Rt3&amp;0&amp;cPVVE&amp;Ex&amp;Chiller__PumpCtrl/NE-Chiller-CHWPumpCtrl-Full-Msr/instance-out.sql</t>
  </si>
  <si>
    <t>runs/CZ10/OfL&amp;0&amp;cPVVE&amp;Ex&amp;Chiller__PumpCtrl/NE-Chiller-CHWPumpCtrl-Full-Msr/instance-out.sql</t>
  </si>
  <si>
    <t>runs/CZ10/OfS&amp;0&amp;cPVVE&amp;Ex&amp;Chiller__PumpCtrl/NE-Chiller-CHWPumpCtrl-Full-Msr/instance-out.sql</t>
  </si>
  <si>
    <t>runs/CZ10/OfL&amp;0&amp;cPVVE&amp;Ex&amp;Chiller__PumpCtrl/NE-Chiller-PumpCtrl-Full-Std/instance-out.sql</t>
  </si>
  <si>
    <t>runs/CZ10/OfS&amp;0&amp;cPVVE&amp;Ex&amp;Chiller__PumpCtrl/NE-Chiller-PumpCtrl-Full-Std/instance-out.sql</t>
  </si>
  <si>
    <t>runs/CZ10/Nrs&amp;0&amp;cPVVE&amp;Ex&amp;Chiller__PumpCtrl/NE-Chiller-CHWPumpCtrl-Full-Msr/instance-out.sql</t>
  </si>
  <si>
    <t>runs/CZ10/Nrs&amp;0&amp;cPVVE&amp;Ex&amp;Chiller__PumpCtrl/NE-Chiller-PumpCtrl-Full-Std/instance-out.sql</t>
  </si>
  <si>
    <t>runs/CZ10/Hsp&amp;0&amp;cPVVE&amp;Ex&amp;Chiller__PumpCtrl/NE-Chiller-PumpCtrl-Full-Std/instance-out.sql</t>
  </si>
  <si>
    <t>runs/CZ10/Hsp&amp;0&amp;cPVVE&amp;Ex&amp;Chiller__PumpCtrl/NE-Chiller-CHWPumpCtrl-Full-Msr/instance-out.sql</t>
  </si>
  <si>
    <t>runs/CZ10/ESe&amp;0&amp;cPVVE&amp;Ex&amp;Chiller__PumpCtrl/NE-Chiller-CHWPumpCtrl-Full-Msr/instance-out.sql</t>
  </si>
  <si>
    <t>runs/CZ10/ESe&amp;0&amp;cPVVE&amp;Ex&amp;Chiller__PumpCtrl/NE-Chiller-PumpCtrl-Full-Std/instance-out.sql</t>
  </si>
  <si>
    <t>runs/CZ10/EUn&amp;0&amp;cPVVE&amp;Ex&amp;Chiller__PumpCtrl/NE-Chiller-PumpCtrl-Full-Std/instance-out.sql</t>
  </si>
  <si>
    <t>runs/CZ09/Rt3&amp;0&amp;cPVVE&amp;Ex&amp;Chiller__PumpCtrl/NE-Chiller-CHWPumpCtrl-Full-Msr/instance-out.sql</t>
  </si>
  <si>
    <t>runs/CZ10/ECC&amp;0&amp;cPVVE&amp;Ex&amp;Chiller__PumpCtrl/NE-Chiller-CHWPumpCtrl-Full-Msr/instance-out.sql</t>
  </si>
  <si>
    <t>runs/CZ10/EUn&amp;0&amp;cPVVE&amp;Ex&amp;Chiller__PumpCtrl/NE-Chiller-CHWPumpCtrl-Full-Msr/instance-out.sql</t>
  </si>
  <si>
    <t>runs/CZ10/ECC&amp;0&amp;cPVVE&amp;Ex&amp;Chiller__PumpCtrl/NE-Chiller-PumpCtrl-Full-Std/instance-out.sql</t>
  </si>
  <si>
    <t>runs/CZ09/Rt3&amp;0&amp;cPVVE&amp;Ex&amp;Chiller__PumpCtrl/NE-Chiller-PumpCtrl-Full-Std/instance-out.sql</t>
  </si>
  <si>
    <t>runs/CZ09/OfL&amp;0&amp;cPVVE&amp;Ex&amp;Chiller__PumpCtrl/NE-Chiller-CHWPumpCtrl-Full-Msr/instance-out.sql</t>
  </si>
  <si>
    <t>runs/CZ09/OfS&amp;0&amp;cPVVE&amp;Ex&amp;Chiller__PumpCtrl/NE-Chiller-CHWPumpCtrl-Full-Msr/instance-out.sql</t>
  </si>
  <si>
    <t>runs/CZ09/OfS&amp;0&amp;cPVVE&amp;Ex&amp;Chiller__PumpCtrl/NE-Chiller-PumpCtrl-Full-Std/instance-out.sql</t>
  </si>
  <si>
    <t>runs/CZ09/OfL&amp;0&amp;cPVVE&amp;Ex&amp;Chiller__PumpCtrl/NE-Chiller-PumpCtrl-Full-Std/instance-out.sql</t>
  </si>
  <si>
    <t>runs/CZ09/Hsp&amp;0&amp;cPVVE&amp;Ex&amp;Chiller__PumpCtrl/NE-Chiller-CHWPumpCtrl-Full-Msr/instance-out.sql</t>
  </si>
  <si>
    <t>runs/CZ09/Nrs&amp;0&amp;cPVVE&amp;Ex&amp;Chiller__PumpCtrl/NE-Chiller-CHWPumpCtrl-Full-Msr/instance-out.sql</t>
  </si>
  <si>
    <t>runs/CZ09/Nrs&amp;0&amp;cPVVE&amp;Ex&amp;Chiller__PumpCtrl/NE-Chiller-PumpCtrl-Full-Std/instance-out.sql</t>
  </si>
  <si>
    <t>runs/CZ09/Hsp&amp;0&amp;cPVVE&amp;Ex&amp;Chiller__PumpCtrl/NE-Chiller-PumpCtrl-Full-Std/instance-out.sql</t>
  </si>
  <si>
    <t>runs/CZ09/EUn&amp;0&amp;cPVVE&amp;Ex&amp;Chiller__PumpCtrl/NE-Chiller-CHWPumpCtrl-Full-Msr/instance-out.sql</t>
  </si>
  <si>
    <t>runs/CZ09/ESe&amp;0&amp;cPVVE&amp;Ex&amp;Chiller__PumpCtrl/NE-Chiller-CHWPumpCtrl-Full-Msr/instance-out.sql</t>
  </si>
  <si>
    <t>runs/CZ09/ESe&amp;0&amp;cPVVE&amp;Ex&amp;Chiller__PumpCtrl/NE-Chiller-PumpCtrl-Full-Std/instance-out.sql</t>
  </si>
  <si>
    <t>runs/CZ09/EUn&amp;0&amp;cPVVE&amp;Ex&amp;Chiller__PumpCtrl/NE-Chiller-PumpCtrl-Full-Std/instance-out.sql</t>
  </si>
  <si>
    <t>runs/CZ09/ECC&amp;0&amp;cPVVE&amp;Ex&amp;Chiller__PumpCtrl/NE-Chiller-CHWPumpCtrl-Full-Msr/instance-out.sql</t>
  </si>
  <si>
    <t>runs/CZ08/Rt3&amp;0&amp;cPVVE&amp;Ex&amp;Chiller__PumpCtrl/NE-Chiller-CHWPumpCtrl-Full-Msr/instance-out.sql</t>
  </si>
  <si>
    <t>runs/CZ08/OfS&amp;0&amp;cPVVE&amp;Ex&amp;Chiller__PumpCtrl/NE-Chiller-CHWPumpCtrl-Full-Msr/instance-out.sql</t>
  </si>
  <si>
    <t>runs/CZ09/ECC&amp;0&amp;cPVVE&amp;Ex&amp;Chiller__PumpCtrl/NE-Chiller-PumpCtrl-Full-Std/instance-out.sql</t>
  </si>
  <si>
    <t>runs/CZ08/OfS&amp;0&amp;cPVVE&amp;Ex&amp;Chiller__PumpCtrl/NE-Chiller-PumpCtrl-Full-Std/instance-out.sql</t>
  </si>
  <si>
    <t>runs/CZ08/Rt3&amp;0&amp;cPVVE&amp;Ex&amp;Chiller__PumpCtrl/NE-Chiller-PumpCtrl-Full-Std/instance-out.sql</t>
  </si>
  <si>
    <t>runs/CZ08/OfL&amp;0&amp;cPVVE&amp;Ex&amp;Chiller__PumpCtrl/NE-Chiller-PumpCtrl-Full-Std/instance-out.sql</t>
  </si>
  <si>
    <t>runs/CZ08/Nrs&amp;0&amp;cPVVE&amp;Ex&amp;Chiller__PumpCtrl/NE-Chiller-CHWPumpCtrl-Full-Msr/instance-out.sql</t>
  </si>
  <si>
    <t>runs/CZ08/OfL&amp;0&amp;cPVVE&amp;Ex&amp;Chiller__PumpCtrl/NE-Chiller-CHWPumpCtrl-Full-Msr/instance-out.sql</t>
  </si>
  <si>
    <t>runs/CZ08/Nrs&amp;0&amp;cPVVE&amp;Ex&amp;Chiller__PumpCtrl/NE-Chiller-PumpCtrl-Full-Std/instance-out.sql</t>
  </si>
  <si>
    <t>runs/CZ08/Hsp&amp;0&amp;cPVVE&amp;Ex&amp;Chiller__PumpCtrl/NE-Chiller-CHWPumpCtrl-Full-Msr/instance-out.sql</t>
  </si>
  <si>
    <t>runs/CZ08/Hsp&amp;0&amp;cPVVE&amp;Ex&amp;Chiller__PumpCtrl/NE-Chiller-PumpCtrl-Full-Std/instance-out.sql</t>
  </si>
  <si>
    <t>runs/CZ08/ESe&amp;0&amp;cPVVE&amp;Ex&amp;Chiller__PumpCtrl/NE-Chiller-CHWPumpCtrl-Full-Msr/instance-out.sql</t>
  </si>
  <si>
    <t>runs/CZ08/ESe&amp;0&amp;cPVVE&amp;Ex&amp;Chiller__PumpCtrl/NE-Chiller-PumpCtrl-Full-Std/instance-out.sql</t>
  </si>
  <si>
    <t>runs/CZ08/EUn&amp;0&amp;cPVVE&amp;Ex&amp;Chiller__PumpCtrl/NE-Chiller-CHWPumpCtrl-Full-Msr/instance-out.sql</t>
  </si>
  <si>
    <t>runs/CZ07/Rt3&amp;0&amp;cPVVE&amp;Ex&amp;Chiller__PumpCtrl/NE-Chiller-CHWPumpCtrl-Full-Msr/instance-out.sql</t>
  </si>
  <si>
    <t>runs/CZ08/ECC&amp;0&amp;cPVVE&amp;Ex&amp;Chiller__PumpCtrl/NE-Chiller-CHWPumpCtrl-Full-Msr/instance-out.sql</t>
  </si>
  <si>
    <t>runs/CZ07/Rt3&amp;0&amp;cPVVE&amp;Ex&amp;Chiller__PumpCtrl/NE-Chiller-PumpCtrl-Full-Std/instance-out.sql</t>
  </si>
  <si>
    <t>runs/CZ08/EUn&amp;0&amp;cPVVE&amp;Ex&amp;Chiller__PumpCtrl/NE-Chiller-PumpCtrl-Full-Std/instance-out.sql</t>
  </si>
  <si>
    <t>runs/CZ08/ECC&amp;0&amp;cPVVE&amp;Ex&amp;Chiller__PumpCtrl/NE-Chiller-PumpCtrl-Full-Std/instance-out.sql</t>
  </si>
  <si>
    <t>runs/CZ07/OfS&amp;0&amp;cPVVE&amp;Ex&amp;Chiller__PumpCtrl/NE-Chiller-CHWPumpCtrl-Full-Msr/instance-out.sql</t>
  </si>
  <si>
    <t>runs/CZ07/OfS&amp;0&amp;cPVVE&amp;Ex&amp;Chiller__PumpCtrl/NE-Chiller-PumpCtrl-Full-Std/instance-out.sql</t>
  </si>
  <si>
    <t>runs/CZ07/OfL&amp;0&amp;cPVVE&amp;Ex&amp;Chiller__PumpCtrl/NE-Chiller-PumpCtrl-Full-Std/instance-out.sql</t>
  </si>
  <si>
    <t>runs/CZ07/OfL&amp;0&amp;cPVVE&amp;Ex&amp;Chiller__PumpCtrl/NE-Chiller-CHWPumpCtrl-Full-Msr/instance-out.sql</t>
  </si>
  <si>
    <t>runs/CZ07/Nrs&amp;0&amp;cPVVE&amp;Ex&amp;Chiller__PumpCtrl/NE-Chiller-CHWPumpCtrl-Full-Msr/instance-out.sql</t>
  </si>
  <si>
    <t>runs/CZ07/Nrs&amp;0&amp;cPVVE&amp;Ex&amp;Chiller__PumpCtrl/NE-Chiller-PumpCtrl-Full-Std/instance-out.sql</t>
  </si>
  <si>
    <t>runs/CZ07/Hsp&amp;0&amp;cPVVE&amp;Ex&amp;Chiller__PumpCtrl/NE-Chiller-CHWPumpCtrl-Full-Msr/instance-out.sql</t>
  </si>
  <si>
    <t>runs/CZ07/ESe&amp;0&amp;cPVVE&amp;Ex&amp;Chiller__PumpCtrl/NE-Chiller-PumpCtrl-Full-Std/instance-out.sql</t>
  </si>
  <si>
    <t>runs/CZ07/Hsp&amp;0&amp;cPVVE&amp;Ex&amp;Chiller__PumpCtrl/NE-Chiller-PumpCtrl-Full-Std/instance-out.sql</t>
  </si>
  <si>
    <t>runs/CZ07/ESe&amp;0&amp;cPVVE&amp;Ex&amp;Chiller__PumpCtrl/NE-Chiller-CHWPumpCtrl-Full-Msr/instance-out.sql</t>
  </si>
  <si>
    <t>runs/CZ07/ECC&amp;0&amp;cPVVE&amp;Ex&amp;Chiller__PumpCtrl/NE-Chiller-CHWPumpCtrl-Full-Msr/instance-out.sql</t>
  </si>
  <si>
    <t>runs/CZ07/EUn&amp;0&amp;cPVVE&amp;Ex&amp;Chiller__PumpCtrl/NE-Chiller-PumpCtrl-Full-Std/instance-out.sql</t>
  </si>
  <si>
    <t>runs/CZ07/EUn&amp;0&amp;cPVVE&amp;Ex&amp;Chiller__PumpCtrl/NE-Chiller-CHWPumpCtrl-Full-Msr/instance-out.sql</t>
  </si>
  <si>
    <t>runs/CZ07/ECC&amp;0&amp;cPVVE&amp;Ex&amp;Chiller__PumpCtrl/NE-Chiller-PumpCtrl-Full-Std/instance-out.sql</t>
  </si>
  <si>
    <t>runs/CZ06/Rt3&amp;0&amp;cPVVE&amp;Ex&amp;Chiller__PumpCtrl/NE-Chiller-CHWPumpCtrl-Full-Msr/instance-out.sql</t>
  </si>
  <si>
    <t>runs/CZ06/OfS&amp;0&amp;cPVVE&amp;Ex&amp;Chiller__PumpCtrl/NE-Chiller-CHWPumpCtrl-Full-Msr/instance-out.sql</t>
  </si>
  <si>
    <t>runs/CZ06/Rt3&amp;0&amp;cPVVE&amp;Ex&amp;Chiller__PumpCtrl/NE-Chiller-PumpCtrl-Full-Std/instance-out.sql</t>
  </si>
  <si>
    <t>runs/CZ06/OfS&amp;0&amp;cPVVE&amp;Ex&amp;Chiller__PumpCtrl/NE-Chiller-PumpCtrl-Full-Std/instance-out.sql</t>
  </si>
  <si>
    <t>runs/CZ06/OfL&amp;0&amp;cPVVE&amp;Ex&amp;Chiller__PumpCtrl/NE-Chiller-CHWPumpCtrl-Full-Msr/instance-out.sql</t>
  </si>
  <si>
    <t>runs/CZ06/Nrs&amp;0&amp;cPVVE&amp;Ex&amp;Chiller__PumpCtrl/NE-Chiller-CHWPumpCtrl-Full-Msr/instance-out.sql</t>
  </si>
  <si>
    <t>runs/CZ06/OfL&amp;0&amp;cPVVE&amp;Ex&amp;Chiller__PumpCtrl/NE-Chiller-PumpCtrl-Full-Std/instance-out.sql</t>
  </si>
  <si>
    <t>runs/CZ06/Nrs&amp;0&amp;cPVVE&amp;Ex&amp;Chiller__PumpCtrl/NE-Chiller-PumpCtrl-Full-Std/instance-out.sql</t>
  </si>
  <si>
    <t>runs/CZ06/Hsp&amp;0&amp;cPVVE&amp;Ex&amp;Chiller__PumpCtrl/NE-Chiller-CHWPumpCtrl-Full-Msr/instance-out.sql</t>
  </si>
  <si>
    <t>runs/CZ06/ESe&amp;0&amp;cPVVE&amp;Ex&amp;Chiller__PumpCtrl/NE-Chiller-PumpCtrl-Full-Std/instance-out.sql</t>
  </si>
  <si>
    <t>runs/CZ06/ECC&amp;0&amp;cPVVE&amp;Ex&amp;Chiller__PumpCtrl/NE-Chiller-CHWPumpCtrl-Full-Msr/instance-out.sql</t>
  </si>
  <si>
    <t>runs/CZ06/ESe&amp;0&amp;cPVVE&amp;Ex&amp;Chiller__PumpCtrl/NE-Chiller-CHWPumpCtrl-Full-Msr/instance-out.sql</t>
  </si>
  <si>
    <t>runs/CZ06/Hsp&amp;0&amp;cPVVE&amp;Ex&amp;Chiller__PumpCtrl/NE-Chiller-PumpCtrl-Full-Std/instance-out.sql</t>
  </si>
  <si>
    <t>runs/CZ06/EUn&amp;0&amp;cPVVE&amp;Ex&amp;Chiller__PumpCtrl/NE-Chiller-CHWPumpCtrl-Full-Msr/instance-out.sql</t>
  </si>
  <si>
    <t>runs/CZ06/EUn&amp;0&amp;cPVVE&amp;Ex&amp;Chiller__PumpCtrl/NE-Chiller-PumpCtrl-Full-Std/instance-out.sql</t>
  </si>
  <si>
    <t>runs/CZ06/ECC&amp;0&amp;cPVVE&amp;Ex&amp;Chiller__PumpCtrl/NE-Chiller-PumpCtrl-Full-Std/instance-out.sql</t>
  </si>
  <si>
    <t>runs/CZ05/Rt3&amp;0&amp;cPVVE&amp;Ex&amp;Chiller__PumpCtrl/NE-Chiller-CHWPumpCtrl-Full-Msr/instance-out.sql</t>
  </si>
  <si>
    <t>runs/CZ05/OfS&amp;0&amp;cPVVE&amp;Ex&amp;Chiller__PumpCtrl/NE-Chiller-CHWPumpCtrl-Full-Msr/instance-out.sql</t>
  </si>
  <si>
    <t>runs/CZ05/OfS&amp;0&amp;cPVVE&amp;Ex&amp;Chiller__PumpCtrl/NE-Chiller-PumpCtrl-Full-Std/instance-out.sql</t>
  </si>
  <si>
    <t>runs/CZ05/Rt3&amp;0&amp;cPVVE&amp;Ex&amp;Chiller__PumpCtrl/NE-Chiller-PumpCtrl-Full-Std/instance-out.sql</t>
  </si>
  <si>
    <t>runs/CZ05/OfL&amp;0&amp;cPVVE&amp;Ex&amp;Chiller__PumpCtrl/NE-Chiller-CHWPumpCtrl-Full-Msr/instance-out.sql</t>
  </si>
  <si>
    <t>runs/CZ05/OfL&amp;0&amp;cPVVE&amp;Ex&amp;Chiller__PumpCtrl/NE-Chiller-PumpCtrl-Full-Std/instance-out.sql</t>
  </si>
  <si>
    <t>runs/CZ05/Nrs&amp;0&amp;cPVVE&amp;Ex&amp;Chiller__PumpCtrl/NE-Chiller-PumpCtrl-Full-Std/instance-out.sql</t>
  </si>
  <si>
    <t>runs/CZ05/Nrs&amp;0&amp;cPVVE&amp;Ex&amp;Chiller__PumpCtrl/NE-Chiller-CHWPumpCtrl-Full-Msr/instance-out.sql</t>
  </si>
  <si>
    <t>runs/CZ05/Hsp&amp;0&amp;cPVVE&amp;Ex&amp;Chiller__PumpCtrl/NE-Chiller-CHWPumpCtrl-Full-Msr/instance-out.sql</t>
  </si>
  <si>
    <t>runs/CZ05/Hsp&amp;0&amp;cPVVE&amp;Ex&amp;Chiller__PumpCtrl/NE-Chiller-PumpCtrl-Full-Std/instance-out.sql</t>
  </si>
  <si>
    <t>runs/CZ05/ESe&amp;0&amp;cPVVE&amp;Ex&amp;Chiller__PumpCtrl/NE-Chiller-CHWPumpCtrl-Full-Msr/instance-out.sql</t>
  </si>
  <si>
    <t>runs/CZ05/ECC&amp;0&amp;cPVVE&amp;Ex&amp;Chiller__PumpCtrl/NE-Chiller-PumpCtrl-Full-Std/instance-out.sql</t>
  </si>
  <si>
    <t>runs/CZ05/ESe&amp;0&amp;cPVVE&amp;Ex&amp;Chiller__PumpCtrl/NE-Chiller-PumpCtrl-Full-Std/instance-out.sql</t>
  </si>
  <si>
    <t>runs/CZ05/EUn&amp;0&amp;cPVVE&amp;Ex&amp;Chiller__PumpCtrl/NE-Chiller-CHWPumpCtrl-Full-Msr/instance-out.sql</t>
  </si>
  <si>
    <t>runs/CZ05/ECC&amp;0&amp;cPVVE&amp;Ex&amp;Chiller__PumpCtrl/NE-Chiller-CHWPumpCtrl-Full-Msr/instance-out.sql</t>
  </si>
  <si>
    <t>runs/CZ05/EUn&amp;0&amp;cPVVE&amp;Ex&amp;Chiller__PumpCtrl/NE-Chiller-PumpCtrl-Full-Std/instance-out.sql</t>
  </si>
  <si>
    <t>runs/CZ04/Rt3&amp;0&amp;cPVVE&amp;Ex&amp;Chiller__PumpCtrl/NE-Chiller-PumpCtrl-Full-Std/instance-out.sql</t>
  </si>
  <si>
    <t>runs/CZ04/Rt3&amp;0&amp;cPVVE&amp;Ex&amp;Chiller__PumpCtrl/NE-Chiller-CHWPumpCtrl-Full-Msr/instance-out.sql</t>
  </si>
  <si>
    <t>runs/CZ04/OfL&amp;0&amp;cPVVE&amp;Ex&amp;Chiller__PumpCtrl/NE-Chiller-CHWPumpCtrl-Full-Msr/instance-out.sql</t>
  </si>
  <si>
    <t>runs/CZ04/OfS&amp;0&amp;cPVVE&amp;Ex&amp;Chiller__PumpCtrl/NE-Chiller-CHWPumpCtrl-Full-Msr/instance-out.sql</t>
  </si>
  <si>
    <t>runs/CZ04/OfS&amp;0&amp;cPVVE&amp;Ex&amp;Chiller__PumpCtrl/NE-Chiller-PumpCtrl-Full-Std/instance-out.sql</t>
  </si>
  <si>
    <t>runs/CZ04/Nrs&amp;0&amp;cPVVE&amp;Ex&amp;Chiller__PumpCtrl/NE-Chiller-CHWPumpCtrl-Full-Msr/instance-out.sql</t>
  </si>
  <si>
    <t>runs/CZ04/OfL&amp;0&amp;cPVVE&amp;Ex&amp;Chiller__PumpCtrl/NE-Chiller-PumpCtrl-Full-Std/instance-out.sql</t>
  </si>
  <si>
    <t>runs/CZ04/Nrs&amp;0&amp;cPVVE&amp;Ex&amp;Chiller__PumpCtrl/NE-Chiller-PumpCtrl-Full-Std/instance-out.sql</t>
  </si>
  <si>
    <t>runs/CZ04/Hsp&amp;0&amp;cPVVE&amp;Ex&amp;Chiller__PumpCtrl/NE-Chiller-CHWPumpCtrl-Full-Msr/instance-out.sql</t>
  </si>
  <si>
    <t>runs/CZ04/Hsp&amp;0&amp;cPVVE&amp;Ex&amp;Chiller__PumpCtrl/NE-Chiller-PumpCtrl-Full-Std/instance-out.sql</t>
  </si>
  <si>
    <t>runs/CZ04/ESe&amp;0&amp;cPVVE&amp;Ex&amp;Chiller__PumpCtrl/NE-Chiller-PumpCtrl-Full-Std/instance-out.sql</t>
  </si>
  <si>
    <t>runs/CZ04/ESe&amp;0&amp;cPVVE&amp;Ex&amp;Chiller__PumpCtrl/NE-Chiller-CHWPumpCtrl-Full-Msr/instance-out.sql</t>
  </si>
  <si>
    <t>runs/CZ04/EUn&amp;0&amp;cPVVE&amp;Ex&amp;Chiller__PumpCtrl/NE-Chiller-PumpCtrl-Full-Std/instance-out.sql</t>
  </si>
  <si>
    <t>runs/CZ04/EUn&amp;0&amp;cPVVE&amp;Ex&amp;Chiller__PumpCtrl/NE-Chiller-CHWPumpCtrl-Full-Msr/instance-out.sql</t>
  </si>
  <si>
    <t>runs/CZ03/Rt3&amp;0&amp;cPVVE&amp;Ex&amp;Chiller__PumpCtrl/NE-Chiller-PumpCtrl-Full-Std/instance-out.sql</t>
  </si>
  <si>
    <t>runs/CZ04/ECC&amp;0&amp;cPVVE&amp;Ex&amp;Chiller__PumpCtrl/NE-Chiller-CHWPumpCtrl-Full-Msr/instance-out.sql</t>
  </si>
  <si>
    <t>runs/CZ04/ECC&amp;0&amp;cPVVE&amp;Ex&amp;Chiller__PumpCtrl/NE-Chiller-PumpCtrl-Full-Std/instance-out.sql</t>
  </si>
  <si>
    <t>runs/CZ03/Rt3&amp;0&amp;cPVVE&amp;Ex&amp;Chiller__PumpCtrl/NE-Chiller-CHWPumpCtrl-Full-Msr/instance-out.sql</t>
  </si>
  <si>
    <t>runs/CZ03/OfS&amp;0&amp;cPVVE&amp;Ex&amp;Chiller__PumpCtrl/NE-Chiller-CHWPumpCtrl-Full-Msr/instance-out.sql</t>
  </si>
  <si>
    <t>runs/CZ03/OfS&amp;0&amp;cPVVE&amp;Ex&amp;Chiller__PumpCtrl/NE-Chiller-PumpCtrl-Full-Std/instance-out.sql</t>
  </si>
  <si>
    <t>runs/CZ03/Nrs&amp;0&amp;cPVVE&amp;Ex&amp;Chiller__PumpCtrl/NE-Chiller-CHWPumpCtrl-Full-Msr/instance-out.sql</t>
  </si>
  <si>
    <t>runs/CZ03/OfL&amp;0&amp;cPVVE&amp;Ex&amp;Chiller__PumpCtrl/NE-Chiller-PumpCtrl-Full-Std/instance-out.sql</t>
  </si>
  <si>
    <t>runs/CZ03/OfL&amp;0&amp;cPVVE&amp;Ex&amp;Chiller__PumpCtrl/NE-Chiller-CHWPumpCtrl-Full-Msr/instance-out.sql</t>
  </si>
  <si>
    <t>runs/CZ03/Nrs&amp;0&amp;cPVVE&amp;Ex&amp;Chiller__PumpCtrl/NE-Chiller-PumpCtrl-Full-Std/instance-out.sql</t>
  </si>
  <si>
    <t>runs/CZ03/Hsp&amp;0&amp;cPVVE&amp;Ex&amp;Chiller__PumpCtrl/NE-Chiller-PumpCtrl-Full-Std/instance-out.sql</t>
  </si>
  <si>
    <t>runs/CZ03/Hsp&amp;0&amp;cPVVE&amp;Ex&amp;Chiller__PumpCtrl/NE-Chiller-CHWPumpCtrl-Full-Msr/instance-out.sql</t>
  </si>
  <si>
    <t>runs/CZ03/ESe&amp;0&amp;cPVVE&amp;Ex&amp;Chiller__PumpCtrl/NE-Chiller-PumpCtrl-Full-Std/instance-out.sql</t>
  </si>
  <si>
    <t>runs/CZ03/ESe&amp;0&amp;cPVVE&amp;Ex&amp;Chiller__PumpCtrl/NE-Chiller-CHWPumpCtrl-Full-Msr/instance-out.sql</t>
  </si>
  <si>
    <t>runs/CZ03/ECC&amp;0&amp;cPVVE&amp;Ex&amp;Chiller__PumpCtrl/NE-Chiller-CHWPumpCtrl-Full-Msr/instance-out.sql</t>
  </si>
  <si>
    <t>runs/CZ03/EUn&amp;0&amp;cPVVE&amp;Ex&amp;Chiller__PumpCtrl/NE-Chiller-CHWPumpCtrl-Full-Msr/instance-out.sql</t>
  </si>
  <si>
    <t>runs/CZ03/EUn&amp;0&amp;cPVVE&amp;Ex&amp;Chiller__PumpCtrl/NE-Chiller-PumpCtrl-Full-Std/instance-out.sql</t>
  </si>
  <si>
    <t>runs/CZ03/ECC&amp;0&amp;cPVVE&amp;Ex&amp;Chiller__PumpCtrl/NE-Chiller-PumpCtrl-Full-Std/instance-out.sql</t>
  </si>
  <si>
    <t>runs/CZ02/OfS&amp;0&amp;cPVVE&amp;Ex&amp;Chiller__PumpCtrl/NE-Chiller-CHWPumpCtrl-Full-Msr/instance-out.sql</t>
  </si>
  <si>
    <t>runs/CZ02/Rt3&amp;0&amp;cPVVE&amp;Ex&amp;Chiller__PumpCtrl/NE-Chiller-CHWPumpCtrl-Full-Msr/instance-out.sql</t>
  </si>
  <si>
    <t>runs/CZ02/Rt3&amp;0&amp;cPVVE&amp;Ex&amp;Chiller__PumpCtrl/NE-Chiller-PumpCtrl-Full-Std/instance-out.sql</t>
  </si>
  <si>
    <t>runs/CZ02/OfS&amp;0&amp;cPVVE&amp;Ex&amp;Chiller__PumpCtrl/NE-Chiller-PumpCtrl-Full-Std/instance-out.sql</t>
  </si>
  <si>
    <t>runs/CZ02/Nrs&amp;0&amp;cPVVE&amp;Ex&amp;Chiller__PumpCtrl/NE-Chiller-CHWPumpCtrl-Full-Msr/instance-out.sql</t>
  </si>
  <si>
    <t>runs/CZ02/Nrs&amp;0&amp;cPVVE&amp;Ex&amp;Chiller__PumpCtrl/NE-Chiller-PumpCtrl-Full-Std/instance-out.sql</t>
  </si>
  <si>
    <t>runs/CZ02/OfL&amp;0&amp;cPVVE&amp;Ex&amp;Chiller__PumpCtrl/NE-Chiller-PumpCtrl-Full-Std/instance-out.sql</t>
  </si>
  <si>
    <t>runs/CZ02/OfL&amp;0&amp;cPVVE&amp;Ex&amp;Chiller__PumpCtrl/NE-Chiller-CHWPumpCtrl-Full-Msr/instance-out.sql</t>
  </si>
  <si>
    <t>runs/CZ02/Hsp&amp;0&amp;cPVVE&amp;Ex&amp;Chiller__PumpCtrl/NE-Chiller-CHWPumpCtrl-Full-Msr/instance-out.sql</t>
  </si>
  <si>
    <t>runs/CZ02/Hsp&amp;0&amp;cPVVE&amp;Ex&amp;Chiller__PumpCtrl/NE-Chiller-PumpCtrl-Full-Std/instance-out.sql</t>
  </si>
  <si>
    <t>runs/CZ02/EUn&amp;0&amp;cPVVE&amp;Ex&amp;Chiller__PumpCtrl/NE-Chiller-CHWPumpCtrl-Full-Msr/instance-out.sql</t>
  </si>
  <si>
    <t>runs/CZ02/ESe&amp;0&amp;cPVVE&amp;Ex&amp;Chiller__PumpCtrl/NE-Chiller-CHWPumpCtrl-Full-Msr/instance-out.sql</t>
  </si>
  <si>
    <t>runs/CZ02/ECC&amp;0&amp;cPVVE&amp;Ex&amp;Chiller__PumpCtrl/NE-Chiller-CHWPumpCtrl-Full-Msr/instance-out.sql</t>
  </si>
  <si>
    <t>runs/CZ02/EUn&amp;0&amp;cPVVE&amp;Ex&amp;Chiller__PumpCtrl/NE-Chiller-PumpCtrl-Full-Std/instance-out.sql</t>
  </si>
  <si>
    <t>runs/CZ02/ECC&amp;0&amp;cPVVE&amp;Ex&amp;Chiller__PumpCtrl/NE-Chiller-PumpCtrl-Full-Std/instance-out.sql</t>
  </si>
  <si>
    <t>runs/CZ01/Rt3&amp;0&amp;cPVVE&amp;Ex&amp;Chiller__PumpCtrl/NE-Chiller-CHWPumpCtrl-Full-Msr/instance-out.sql</t>
  </si>
  <si>
    <t>runs/CZ01/Rt3&amp;0&amp;cPVVE&amp;Ex&amp;Chiller__PumpCtrl/NE-Chiller-PumpCtrl-Full-Std/instance-out.sql</t>
  </si>
  <si>
    <t>runs/CZ02/ESe&amp;0&amp;cPVVE&amp;Ex&amp;Chiller__PumpCtrl/NE-Chiller-PumpCtrl-Full-Std/instance-out.sql</t>
  </si>
  <si>
    <t>runs/CZ01/OfS&amp;0&amp;cPVVE&amp;Ex&amp;Chiller__PumpCtrl/NE-Chiller-CHWPumpCtrl-Full-Msr/instance-out.sql</t>
  </si>
  <si>
    <t>runs/CZ01/OfS&amp;0&amp;cPVVE&amp;Ex&amp;Chiller__PumpCtrl/NE-Chiller-PumpCtrl-Full-Std/instance-out.sql</t>
  </si>
  <si>
    <t>runs/CZ01/Nrs&amp;0&amp;cPVVE&amp;Ex&amp;Chiller__PumpCtrl/NE-Chiller-CHWPumpCtrl-Full-Msr/instance-out.sql</t>
  </si>
  <si>
    <t>runs/CZ01/Nrs&amp;0&amp;cPVVE&amp;Ex&amp;Chiller__PumpCtrl/NE-Chiller-PumpCtrl-Full-Std/instance-out.sql</t>
  </si>
  <si>
    <t>runs/CZ01/OfL&amp;0&amp;cPVVE&amp;Ex&amp;Chiller__PumpCtrl/NE-Chiller-CHWPumpCtrl-Full-Msr/instance-out.sql</t>
  </si>
  <si>
    <t>runs/CZ01/OfL&amp;0&amp;cPVVE&amp;Ex&amp;Chiller__PumpCtrl/NE-Chiller-PumpCtrl-Full-Std/instance-out.sql</t>
  </si>
  <si>
    <t>runs/CZ01/Hsp&amp;0&amp;cPVVE&amp;Ex&amp;Chiller__PumpCtrl/NE-Chiller-PumpCtrl-Full-Std/instance-out.sql</t>
  </si>
  <si>
    <t>runs/CZ01/Hsp&amp;0&amp;cPVVE&amp;Ex&amp;Chiller__PumpCtrl/NE-Chiller-CHWPumpCtrl-Full-Msr/instance-out.sql</t>
  </si>
  <si>
    <t>runs/CZ01/ESe&amp;0&amp;cPVVE&amp;Ex&amp;Chiller__PumpCtrl/NE-Chiller-CHWPumpCtrl-Full-Msr/instance-out.sql</t>
  </si>
  <si>
    <t>runs/CZ01/ESe&amp;0&amp;cPVVE&amp;Ex&amp;Chiller__PumpCtrl/NE-Chiller-PumpCtrl-Full-Std/instance-out.sql</t>
  </si>
  <si>
    <t>runs/CZ01/ECC&amp;0&amp;cPVVE&amp;Ex&amp;Chiller__PumpCtrl/NE-Chiller-PumpCtrl-Full-Std/instance-out.sql</t>
  </si>
  <si>
    <t>runs/CZ01/EUn&amp;0&amp;cPVVE&amp;Ex&amp;Chiller__PumpCtrl/NE-Chiller-PumpCtrl-Full-Std/instance-out.sql</t>
  </si>
  <si>
    <t>runs/CZ01/ECC&amp;0&amp;cPVVE&amp;Ex&amp;Chiller__PumpCtrl/NE-Chiller-CHWPumpCtrl-Full-Msr/instance-out.sql</t>
  </si>
  <si>
    <t>runs/CZ01/EUn&amp;0&amp;cPVVE&amp;Ex&amp;Chiller__PumpCtrl/NE-Chiller-CHWPumpCtrl-Full-Msr/instance-out.sql</t>
  </si>
  <si>
    <t>runs/CZ16/Rt3&amp;0&amp;cPVVE&amp;New&amp;Chiller__PumpCtrl/NE-Chiller-CHWPumpCtrl-Full-Msr/instance-out.sql</t>
  </si>
  <si>
    <t>runs/CZ16/Rt3&amp;0&amp;cPVVE&amp;New&amp;Chiller__PumpCtrl/NE-Chiller-PumpCtrl-Full-Std/instance-out.sql</t>
  </si>
  <si>
    <t>runs/CZ16/OfS&amp;0&amp;cPVVE&amp;New&amp;Chiller__PumpCtrl/NE-Chiller-CHWPumpCtrl-Full-Msr/instance-out.sql</t>
  </si>
  <si>
    <t>runs/CZ16/OfS&amp;0&amp;cPVVE&amp;New&amp;Chiller__PumpCtrl/NE-Chiller-PumpCtrl-Full-Std/instance-out.sql</t>
  </si>
  <si>
    <t>runs/CZ16/Nrs&amp;0&amp;cPVVE&amp;New&amp;Chiller__PumpCtrl/NE-Chiller-CHWPumpCtrl-Full-Msr/instance-out.sql</t>
  </si>
  <si>
    <t>runs/CZ16/OfL&amp;0&amp;cPVVE&amp;New&amp;Chiller__PumpCtrl/NE-Chiller-PumpCtrl-Full-Std/instance-out.sql</t>
  </si>
  <si>
    <t>runs/CZ16/OfL&amp;0&amp;cPVVE&amp;New&amp;Chiller__PumpCtrl/NE-Chiller-CHWPumpCtrl-Full-Msr/instance-out.sql</t>
  </si>
  <si>
    <t>runs/CZ16/Nrs&amp;0&amp;cPVVE&amp;New&amp;Chiller__PumpCtrl/NE-Chiller-PumpCtrl-Full-Std/instance-out.sql</t>
  </si>
  <si>
    <t>runs/CZ16/Hsp&amp;0&amp;cPVVE&amp;New&amp;Chiller__PumpCtrl/NE-Chiller-PumpCtrl-Full-Std/instance-out.sql</t>
  </si>
  <si>
    <t>runs/CZ16/Hsp&amp;0&amp;cPVVE&amp;New&amp;Chiller__PumpCtrl/NE-Chiller-CHWPumpCtrl-Full-Msr/instance-out.sql</t>
  </si>
  <si>
    <t>runs/CZ16/EUn&amp;0&amp;cPVVE&amp;New&amp;Chiller__PumpCtrl/NE-Chiller-CHWPumpCtrl-Full-Msr/instance-out.sql</t>
  </si>
  <si>
    <t>runs/CZ16/EUn&amp;0&amp;cPVVE&amp;New&amp;Chiller__PumpCtrl/NE-Chiller-PumpCtrl-Full-Std/instance-out.sql</t>
  </si>
  <si>
    <t>runs/CZ16/ESe&amp;0&amp;cPVVE&amp;New&amp;Chiller__PumpCtrl/NE-Chiller-PumpCtrl-Full-Std/instance-out.sql</t>
  </si>
  <si>
    <t>runs/CZ16/ESe&amp;0&amp;cPVVE&amp;New&amp;Chiller__PumpCtrl/NE-Chiller-CHWPumpCtrl-Full-Msr/instance-out.sql</t>
  </si>
  <si>
    <t>runs/CZ16/ECC&amp;0&amp;cPVVE&amp;New&amp;Chiller__PumpCtrl/NE-Chiller-CHWPumpCtrl-Full-Msr/instance-out.sql</t>
  </si>
  <si>
    <t>runs/CZ16/ECC&amp;0&amp;cPVVE&amp;New&amp;Chiller__PumpCtrl/NE-Chiller-PumpCtrl-Full-Std/instance-out.sql</t>
  </si>
  <si>
    <t>runs/CZ15/Rt3&amp;0&amp;cPVVE&amp;New&amp;Chiller__PumpCtrl/NE-Chiller-CHWPumpCtrl-Full-Msr/instance-out.sql</t>
  </si>
  <si>
    <t>runs/CZ15/Rt3&amp;0&amp;cPVVE&amp;New&amp;Chiller__PumpCtrl/NE-Chiller-PumpCtrl-Full-Std/instance-out.sql</t>
  </si>
  <si>
    <t>runs/CZ15/OfS&amp;0&amp;cPVVE&amp;New&amp;Chiller__PumpCtrl/NE-Chiller-PumpCtrl-Full-Std/instance-out.sql</t>
  </si>
  <si>
    <t>runs/CZ15/OfS&amp;0&amp;cPVVE&amp;New&amp;Chiller__PumpCtrl/NE-Chiller-CHWPumpCtrl-Full-Msr/instance-out.sql</t>
  </si>
  <si>
    <t>runs/CZ15/OfL&amp;0&amp;cPVVE&amp;New&amp;Chiller__PumpCtrl/NE-Chiller-PumpCtrl-Full-Std/instance-out.sql</t>
  </si>
  <si>
    <t>runs/CZ15/OfL&amp;0&amp;cPVVE&amp;New&amp;Chiller__PumpCtrl/NE-Chiller-CHWPumpCtrl-Full-Msr/instance-out.sql</t>
  </si>
  <si>
    <t>runs/CZ15/Nrs&amp;0&amp;cPVVE&amp;New&amp;Chiller__PumpCtrl/NE-Chiller-CHWPumpCtrl-Full-Msr/instance-out.sql</t>
  </si>
  <si>
    <t>runs/CZ15/Nrs&amp;0&amp;cPVVE&amp;New&amp;Chiller__PumpCtrl/NE-Chiller-PumpCtrl-Full-Std/instance-out.sql</t>
  </si>
  <si>
    <t>runs/CZ15/Hsp&amp;0&amp;cPVVE&amp;New&amp;Chiller__PumpCtrl/NE-Chiller-CHWPumpCtrl-Full-Msr/instance-out.sql</t>
  </si>
  <si>
    <t>runs/CZ15/Hsp&amp;0&amp;cPVVE&amp;New&amp;Chiller__PumpCtrl/NE-Chiller-PumpCtrl-Full-Std/instance-out.sql</t>
  </si>
  <si>
    <t>runs/CZ15/ESe&amp;0&amp;cPVVE&amp;New&amp;Chiller__PumpCtrl/NE-Chiller-CHWPumpCtrl-Full-Msr/instance-out.sql</t>
  </si>
  <si>
    <t>runs/CZ15/ESe&amp;0&amp;cPVVE&amp;New&amp;Chiller__PumpCtrl/NE-Chiller-PumpCtrl-Full-Std/instance-out.sql</t>
  </si>
  <si>
    <t>runs/CZ15/EUn&amp;0&amp;cPVVE&amp;New&amp;Chiller__PumpCtrl/NE-Chiller-CHWPumpCtrl-Full-Msr/instance-out.sql</t>
  </si>
  <si>
    <t>runs/CZ15/ECC&amp;0&amp;cPVVE&amp;New&amp;Chiller__PumpCtrl/NE-Chiller-CHWPumpCtrl-Full-Msr/instance-out.sql</t>
  </si>
  <si>
    <t>runs/CZ15/ECC&amp;0&amp;cPVVE&amp;New&amp;Chiller__PumpCtrl/NE-Chiller-PumpCtrl-Full-Std/instance-out.sql</t>
  </si>
  <si>
    <t>runs/CZ15/EUn&amp;0&amp;cPVVE&amp;New&amp;Chiller__PumpCtrl/NE-Chiller-PumpCtrl-Full-Std/instance-out.sql</t>
  </si>
  <si>
    <t>runs/CZ14/Rt3&amp;0&amp;cPVVE&amp;New&amp;Chiller__PumpCtrl/NE-Chiller-PumpCtrl-Full-Std/instance-out.sql</t>
  </si>
  <si>
    <t>runs/CZ14/Rt3&amp;0&amp;cPVVE&amp;New&amp;Chiller__PumpCtrl/NE-Chiller-CHWPumpCtrl-Full-Msr/instance-out.sql</t>
  </si>
  <si>
    <t>runs/CZ14/OfS&amp;0&amp;cPVVE&amp;New&amp;Chiller__PumpCtrl/NE-Chiller-PumpCtrl-Full-Std/instance-out.sql</t>
  </si>
  <si>
    <t>runs/CZ14/OfS&amp;0&amp;cPVVE&amp;New&amp;Chiller__PumpCtrl/NE-Chiller-CHWPumpCtrl-Full-Msr/instance-out.sql</t>
  </si>
  <si>
    <t>runs/CZ14/OfL&amp;0&amp;cPVVE&amp;New&amp;Chiller__PumpCtrl/NE-Chiller-CHWPumpCtrl-Full-Msr/instance-out.sql</t>
  </si>
  <si>
    <t>runs/CZ14/OfL&amp;0&amp;cPVVE&amp;New&amp;Chiller__PumpCtrl/NE-Chiller-PumpCtrl-Full-Std/instance-out.sql</t>
  </si>
  <si>
    <t>runs/CZ14/Nrs&amp;0&amp;cPVVE&amp;New&amp;Chiller__PumpCtrl/NE-Chiller-CHWPumpCtrl-Full-Msr/instance-out.sql</t>
  </si>
  <si>
    <t>runs/CZ14/Nrs&amp;0&amp;cPVVE&amp;New&amp;Chiller__PumpCtrl/NE-Chiller-PumpCtrl-Full-Std/instance-out.sql</t>
  </si>
  <si>
    <t>runs/CZ14/Hsp&amp;0&amp;cPVVE&amp;New&amp;Chiller__PumpCtrl/NE-Chiller-CHWPumpCtrl-Full-Msr/instance-out.sql</t>
  </si>
  <si>
    <t>runs/CZ14/Hsp&amp;0&amp;cPVVE&amp;New&amp;Chiller__PumpCtrl/NE-Chiller-PumpCtrl-Full-Std/instance-out.sql</t>
  </si>
  <si>
    <t>runs/CZ14/ESe&amp;0&amp;cPVVE&amp;New&amp;Chiller__PumpCtrl/NE-Chiller-CHWPumpCtrl-Full-Msr/instance-out.sql</t>
  </si>
  <si>
    <t>runs/CZ14/EUn&amp;0&amp;cPVVE&amp;New&amp;Chiller__PumpCtrl/NE-Chiller-CHWPumpCtrl-Full-Msr/instance-out.sql</t>
  </si>
  <si>
    <t>runs/CZ14/ECC&amp;0&amp;cPVVE&amp;New&amp;Chiller__PumpCtrl/NE-Chiller-PumpCtrl-Full-Std/instance-out.sql</t>
  </si>
  <si>
    <t>runs/CZ14/EUn&amp;0&amp;cPVVE&amp;New&amp;Chiller__PumpCtrl/NE-Chiller-PumpCtrl-Full-Std/instance-out.sql</t>
  </si>
  <si>
    <t>runs/CZ14/ECC&amp;0&amp;cPVVE&amp;New&amp;Chiller__PumpCtrl/NE-Chiller-CHWPumpCtrl-Full-Msr/instance-out.sql</t>
  </si>
  <si>
    <t>runs/CZ14/ESe&amp;0&amp;cPVVE&amp;New&amp;Chiller__PumpCtrl/NE-Chiller-PumpCtrl-Full-Std/instance-out.sql</t>
  </si>
  <si>
    <t>runs/CZ13/Rt3&amp;0&amp;cPVVE&amp;New&amp;Chiller__PumpCtrl/NE-Chiller-CHWPumpCtrl-Full-Msr/instance-out.sql</t>
  </si>
  <si>
    <t>runs/CZ13/OfS&amp;0&amp;cPVVE&amp;New&amp;Chiller__PumpCtrl/NE-Chiller-CHWPumpCtrl-Full-Msr/instance-out.sql</t>
  </si>
  <si>
    <t>runs/CZ13/Rt3&amp;0&amp;cPVVE&amp;New&amp;Chiller__PumpCtrl/NE-Chiller-PumpCtrl-Full-Std/instance-out.sql</t>
  </si>
  <si>
    <t>runs/CZ13/OfS&amp;0&amp;cPVVE&amp;New&amp;Chiller__PumpCtrl/NE-Chiller-PumpCtrl-Full-Std/instance-out.sql</t>
  </si>
  <si>
    <t>runs/CZ13/OfL&amp;0&amp;cPVVE&amp;New&amp;Chiller__PumpCtrl/NE-Chiller-CHWPumpCtrl-Full-Msr/instance-out.sql</t>
  </si>
  <si>
    <t>runs/CZ13/OfL&amp;0&amp;cPVVE&amp;New&amp;Chiller__PumpCtrl/NE-Chiller-PumpCtrl-Full-Std/instance-out.sql</t>
  </si>
  <si>
    <t>runs/CZ13/Nrs&amp;0&amp;cPVVE&amp;New&amp;Chiller__PumpCtrl/NE-Chiller-CHWPumpCtrl-Full-Msr/instance-out.sql</t>
  </si>
  <si>
    <t>runs/CZ13/Nrs&amp;0&amp;cPVVE&amp;New&amp;Chiller__PumpCtrl/NE-Chiller-PumpCtrl-Full-Std/instance-out.sql</t>
  </si>
  <si>
    <t>runs/CZ13/Hsp&amp;0&amp;cPVVE&amp;New&amp;Chiller__PumpCtrl/NE-Chiller-CHWPumpCtrl-Full-Msr/instance-out.sql</t>
  </si>
  <si>
    <t>runs/CZ13/Hsp&amp;0&amp;cPVVE&amp;New&amp;Chiller__PumpCtrl/NE-Chiller-PumpCtrl-Full-Std/instance-out.sql</t>
  </si>
  <si>
    <t>runs/CZ13/ESe&amp;0&amp;cPVVE&amp;New&amp;Chiller__PumpCtrl/NE-Chiller-CHWPumpCtrl-Full-Msr/instance-out.sql</t>
  </si>
  <si>
    <t>runs/CZ13/EUn&amp;0&amp;cPVVE&amp;New&amp;Chiller__PumpCtrl/NE-Chiller-CHWPumpCtrl-Full-Msr/instance-out.sql</t>
  </si>
  <si>
    <t>runs/CZ13/ESe&amp;0&amp;cPVVE&amp;New&amp;Chiller__PumpCtrl/NE-Chiller-PumpCtrl-Full-Std/instance-out.sql</t>
  </si>
  <si>
    <t>runs/CZ13/EUn&amp;0&amp;cPVVE&amp;New&amp;Chiller__PumpCtrl/NE-Chiller-PumpCtrl-Full-Std/instance-out.sql</t>
  </si>
  <si>
    <t>runs/CZ13/ECC&amp;0&amp;cPVVE&amp;New&amp;Chiller__PumpCtrl/NE-Chiller-CHWPumpCtrl-Full-Msr/instance-out.sql</t>
  </si>
  <si>
    <t>runs/CZ13/ECC&amp;0&amp;cPVVE&amp;New&amp;Chiller__PumpCtrl/NE-Chiller-PumpCtrl-Full-Std/instance-out.sql</t>
  </si>
  <si>
    <t>runs/CZ12/Rt3&amp;0&amp;cPVVE&amp;New&amp;Chiller__PumpCtrl/NE-Chiller-CHWPumpCtrl-Full-Msr/instance-out.sql</t>
  </si>
  <si>
    <t>runs/CZ12/Rt3&amp;0&amp;cPVVE&amp;New&amp;Chiller__PumpCtrl/NE-Chiller-PumpCtrl-Full-Std/instance-out.sql</t>
  </si>
  <si>
    <t>runs/CZ12/OfS&amp;0&amp;cPVVE&amp;New&amp;Chiller__PumpCtrl/NE-Chiller-PumpCtrl-Full-Std/instance-out.sql</t>
  </si>
  <si>
    <t>runs/CZ12/OfS&amp;0&amp;cPVVE&amp;New&amp;Chiller__PumpCtrl/NE-Chiller-CHWPumpCtrl-Full-Msr/instance-out.sql</t>
  </si>
  <si>
    <t>runs/CZ12/OfL&amp;0&amp;cPVVE&amp;New&amp;Chiller__PumpCtrl/NE-Chiller-PumpCtrl-Full-Std/instance-out.sql</t>
  </si>
  <si>
    <t>runs/CZ12/Nrs&amp;0&amp;cPVVE&amp;New&amp;Chiller__PumpCtrl/NE-Chiller-PumpCtrl-Full-Std/instance-out.sql</t>
  </si>
  <si>
    <t>runs/CZ12/Nrs&amp;0&amp;cPVVE&amp;New&amp;Chiller__PumpCtrl/NE-Chiller-CHWPumpCtrl-Full-Msr/instance-out.sql</t>
  </si>
  <si>
    <t>runs/CZ12/OfL&amp;0&amp;cPVVE&amp;New&amp;Chiller__PumpCtrl/NE-Chiller-CHWPumpCtrl-Full-Msr/instance-out.sql</t>
  </si>
  <si>
    <t>runs/CZ12/Hsp&amp;0&amp;cPVVE&amp;New&amp;Chiller__PumpCtrl/NE-Chiller-CHWPumpCtrl-Full-Msr/instance-out.sql</t>
  </si>
  <si>
    <t>runs/CZ12/Hsp&amp;0&amp;cPVVE&amp;New&amp;Chiller__PumpCtrl/NE-Chiller-PumpCtrl-Full-Std/instance-out.sql</t>
  </si>
  <si>
    <t>runs/CZ12/ESe&amp;0&amp;cPVVE&amp;New&amp;Chiller__PumpCtrl/NE-Chiller-PumpCtrl-Full-Std/instance-out.sql</t>
  </si>
  <si>
    <t>runs/CZ12/ESe&amp;0&amp;cPVVE&amp;New&amp;Chiller__PumpCtrl/NE-Chiller-CHWPumpCtrl-Full-Msr/instance-out.sql</t>
  </si>
  <si>
    <t>runs/CZ12/EUn&amp;0&amp;cPVVE&amp;New&amp;Chiller__PumpCtrl/NE-Chiller-CHWPumpCtrl-Full-Msr/instance-out.sql</t>
  </si>
  <si>
    <t>runs/CZ12/EUn&amp;0&amp;cPVVE&amp;New&amp;Chiller__PumpCtrl/NE-Chiller-PumpCtrl-Full-Std/instance-out.sql</t>
  </si>
  <si>
    <t>runs/CZ12/ECC&amp;0&amp;cPVVE&amp;New&amp;Chiller__PumpCtrl/NE-Chiller-PumpCtrl-Full-Std/instance-out.sql</t>
  </si>
  <si>
    <t>runs/CZ12/ECC&amp;0&amp;cPVVE&amp;New&amp;Chiller__PumpCtrl/NE-Chiller-CHWPumpCtrl-Full-Msr/instance-out.sql</t>
  </si>
  <si>
    <t>runs/CZ11/Rt3&amp;0&amp;cPVVE&amp;New&amp;Chiller__PumpCtrl/NE-Chiller-PumpCtrl-Full-Std/instance-out.sql</t>
  </si>
  <si>
    <t>runs/CZ11/Rt3&amp;0&amp;cPVVE&amp;New&amp;Chiller__PumpCtrl/NE-Chiller-CHWPumpCtrl-Full-Msr/instance-out.sql</t>
  </si>
  <si>
    <t>runs/CZ11/OfS&amp;0&amp;cPVVE&amp;New&amp;Chiller__PumpCtrl/NE-Chiller-PumpCtrl-Full-Std/instance-out.sql</t>
  </si>
  <si>
    <t>runs/CZ11/OfS&amp;0&amp;cPVVE&amp;New&amp;Chiller__PumpCtrl/NE-Chiller-CHWPumpCtrl-Full-Msr/instance-out.sql</t>
  </si>
  <si>
    <t>runs/CZ11/Nrs&amp;0&amp;cPVVE&amp;New&amp;Chiller__PumpCtrl/NE-Chiller-CHWPumpCtrl-Full-Msr/instance-out.sql</t>
  </si>
  <si>
    <t>runs/CZ11/Nrs&amp;0&amp;cPVVE&amp;New&amp;Chiller__PumpCtrl/NE-Chiller-PumpCtrl-Full-Std/instance-out.sql</t>
  </si>
  <si>
    <t>runs/CZ11/OfL&amp;0&amp;cPVVE&amp;New&amp;Chiller__PumpCtrl/NE-Chiller-CHWPumpCtrl-Full-Msr/instance-out.sql</t>
  </si>
  <si>
    <t>runs/CZ11/OfL&amp;0&amp;cPVVE&amp;New&amp;Chiller__PumpCtrl/NE-Chiller-PumpCtrl-Full-Std/instance-out.sql</t>
  </si>
  <si>
    <t>runs/CZ11/Hsp&amp;0&amp;cPVVE&amp;New&amp;Chiller__PumpCtrl/NE-Chiller-PumpCtrl-Full-Std/instance-out.sql</t>
  </si>
  <si>
    <t>runs/CZ11/Hsp&amp;0&amp;cPVVE&amp;New&amp;Chiller__PumpCtrl/NE-Chiller-CHWPumpCtrl-Full-Msr/instance-out.sql</t>
  </si>
  <si>
    <t>runs/CZ11/ESe&amp;0&amp;cPVVE&amp;New&amp;Chiller__PumpCtrl/NE-Chiller-CHWPumpCtrl-Full-Msr/instance-out.sql</t>
  </si>
  <si>
    <t>runs/CZ11/EUn&amp;0&amp;cPVVE&amp;New&amp;Chiller__PumpCtrl/NE-Chiller-PumpCtrl-Full-Std/instance-out.sql</t>
  </si>
  <si>
    <t>runs/CZ11/ESe&amp;0&amp;cPVVE&amp;New&amp;Chiller__PumpCtrl/NE-Chiller-PumpCtrl-Full-Std/instance-out.sql</t>
  </si>
  <si>
    <t>runs/CZ11/EUn&amp;0&amp;cPVVE&amp;New&amp;Chiller__PumpCtrl/NE-Chiller-CHWPumpCtrl-Full-Msr/instance-out.sql</t>
  </si>
  <si>
    <t>runs/CZ11/ECC&amp;0&amp;cPVVE&amp;New&amp;Chiller__PumpCtrl/NE-Chiller-CHWPumpCtrl-Full-Msr/instance-out.sql</t>
  </si>
  <si>
    <t>runs/CZ11/ECC&amp;0&amp;cPVVE&amp;New&amp;Chiller__PumpCtrl/NE-Chiller-PumpCtrl-Full-Std/instance-out.sql</t>
  </si>
  <si>
    <t>runs/CZ10/Rt3&amp;0&amp;cPVVE&amp;New&amp;Chiller__PumpCtrl/NE-Chiller-PumpCtrl-Full-Std/instance-out.sql</t>
  </si>
  <si>
    <t>runs/CZ10/OfS&amp;0&amp;cPVVE&amp;New&amp;Chiller__PumpCtrl/NE-Chiller-CHWPumpCtrl-Full-Msr/instance-out.sql</t>
  </si>
  <si>
    <t>runs/CZ10/OfS&amp;0&amp;cPVVE&amp;New&amp;Chiller__PumpCtrl/NE-Chiller-PumpCtrl-Full-Std/instance-out.sql</t>
  </si>
  <si>
    <t>runs/CZ10/Rt3&amp;0&amp;cPVVE&amp;New&amp;Chiller__PumpCtrl/NE-Chiller-CHWPumpCtrl-Full-Msr/instance-out.sql</t>
  </si>
  <si>
    <t>runs/CZ10/OfL&amp;0&amp;cPVVE&amp;New&amp;Chiller__PumpCtrl/NE-Chiller-CHWPumpCtrl-Full-Msr/instance-out.sql</t>
  </si>
  <si>
    <t>runs/CZ10/OfL&amp;0&amp;cPVVE&amp;New&amp;Chiller__PumpCtrl/NE-Chiller-PumpCtrl-Full-Std/instance-out.sql</t>
  </si>
  <si>
    <t>runs/CZ10/Nrs&amp;0&amp;cPVVE&amp;New&amp;Chiller__PumpCtrl/NE-Chiller-CHWPumpCtrl-Full-Msr/instance-out.sql</t>
  </si>
  <si>
    <t>runs/CZ10/Nrs&amp;0&amp;cPVVE&amp;New&amp;Chiller__PumpCtrl/NE-Chiller-PumpCtrl-Full-Std/instance-out.sql</t>
  </si>
  <si>
    <t>runs/CZ10/Hsp&amp;0&amp;cPVVE&amp;New&amp;Chiller__PumpCtrl/NE-Chiller-CHWPumpCtrl-Full-Msr/instance-out.sql</t>
  </si>
  <si>
    <t>runs/CZ10/Hsp&amp;0&amp;cPVVE&amp;New&amp;Chiller__PumpCtrl/NE-Chiller-PumpCtrl-Full-Std/instance-out.sql</t>
  </si>
  <si>
    <t>runs/CZ10/ESe&amp;0&amp;cPVVE&amp;New&amp;Chiller__PumpCtrl/NE-Chiller-PumpCtrl-Full-Std/instance-out.sql</t>
  </si>
  <si>
    <t>runs/CZ10/EUn&amp;0&amp;cPVVE&amp;New&amp;Chiller__PumpCtrl/NE-Chiller-CHWPumpCtrl-Full-Msr/instance-out.sql</t>
  </si>
  <si>
    <t>runs/CZ10/EUn&amp;0&amp;cPVVE&amp;New&amp;Chiller__PumpCtrl/NE-Chiller-PumpCtrl-Full-Std/instance-out.sql</t>
  </si>
  <si>
    <t>runs/CZ10/ECC&amp;0&amp;cPVVE&amp;New&amp;Chiller__PumpCtrl/NE-Chiller-CHWPumpCtrl-Full-Msr/instance-out.sql</t>
  </si>
  <si>
    <t>runs/CZ10/ESe&amp;0&amp;cPVVE&amp;New&amp;Chiller__PumpCtrl/NE-Chiller-CHWPumpCtrl-Full-Msr/instance-out.sql</t>
  </si>
  <si>
    <t>runs/CZ10/ECC&amp;0&amp;cPVVE&amp;New&amp;Chiller__PumpCtrl/NE-Chiller-PumpCtrl-Full-Std/instance-out.sql</t>
  </si>
  <si>
    <t>runs/CZ09/Rt3&amp;0&amp;cPVVE&amp;New&amp;Chiller__PumpCtrl/NE-Chiller-CHWPumpCtrl-Full-Msr/instance-out.sql</t>
  </si>
  <si>
    <t>runs/CZ09/Rt3&amp;0&amp;cPVVE&amp;New&amp;Chiller__PumpCtrl/NE-Chiller-PumpCtrl-Full-Std/instance-out.sql</t>
  </si>
  <si>
    <t>runs/CZ09/OfS&amp;0&amp;cPVVE&amp;New&amp;Chiller__PumpCtrl/NE-Chiller-CHWPumpCtrl-Full-Msr/instance-out.sql</t>
  </si>
  <si>
    <t>runs/CZ09/OfS&amp;0&amp;cPVVE&amp;New&amp;Chiller__PumpCtrl/NE-Chiller-PumpCtrl-Full-Std/instance-out.sql</t>
  </si>
  <si>
    <t>runs/CZ09/OfL&amp;0&amp;cPVVE&amp;New&amp;Chiller__PumpCtrl/NE-Chiller-CHWPumpCtrl-Full-Msr/instance-out.sql</t>
  </si>
  <si>
    <t>runs/CZ09/OfL&amp;0&amp;cPVVE&amp;New&amp;Chiller__PumpCtrl/NE-Chiller-PumpCtrl-Full-Std/instance-out.sql</t>
  </si>
  <si>
    <t>runs/CZ09/Nrs&amp;0&amp;cPVVE&amp;New&amp;Chiller__PumpCtrl/NE-Chiller-CHWPumpCtrl-Full-Msr/instance-out.sql</t>
  </si>
  <si>
    <t>runs/CZ09/Nrs&amp;0&amp;cPVVE&amp;New&amp;Chiller__PumpCtrl/NE-Chiller-PumpCtrl-Full-Std/instance-out.sql</t>
  </si>
  <si>
    <t>runs/CZ09/Hsp&amp;0&amp;cPVVE&amp;New&amp;Chiller__PumpCtrl/NE-Chiller-PumpCtrl-Full-Std/instance-out.sql</t>
  </si>
  <si>
    <t>runs/CZ09/Hsp&amp;0&amp;cPVVE&amp;New&amp;Chiller__PumpCtrl/NE-Chiller-CHWPumpCtrl-Full-Msr/instance-out.sql</t>
  </si>
  <si>
    <t>runs/CZ09/ESe&amp;0&amp;cPVVE&amp;New&amp;Chiller__PumpCtrl/NE-Chiller-PumpCtrl-Full-Std/instance-out.sql</t>
  </si>
  <si>
    <t>runs/CZ09/ESe&amp;0&amp;cPVVE&amp;New&amp;Chiller__PumpCtrl/NE-Chiller-CHWPumpCtrl-Full-Msr/instance-out.sql</t>
  </si>
  <si>
    <t>runs/CZ09/EUn&amp;0&amp;cPVVE&amp;New&amp;Chiller__PumpCtrl/NE-Chiller-CHWPumpCtrl-Full-Msr/instance-out.sql</t>
  </si>
  <si>
    <t>runs/CZ09/EUn&amp;0&amp;cPVVE&amp;New&amp;Chiller__PumpCtrl/NE-Chiller-PumpCtrl-Full-Std/instance-out.sql</t>
  </si>
  <si>
    <t>runs/CZ09/ECC&amp;0&amp;cPVVE&amp;New&amp;Chiller__PumpCtrl/NE-Chiller-CHWPumpCtrl-Full-Msr/instance-out.sql</t>
  </si>
  <si>
    <t>runs/CZ09/ECC&amp;0&amp;cPVVE&amp;New&amp;Chiller__PumpCtrl/NE-Chiller-PumpCtrl-Full-Std/instance-out.sql</t>
  </si>
  <si>
    <t>runs/CZ08/Rt3&amp;0&amp;cPVVE&amp;New&amp;Chiller__PumpCtrl/NE-Chiller-PumpCtrl-Full-Std/instance-out.sql</t>
  </si>
  <si>
    <t>runs/CZ08/Rt3&amp;0&amp;cPVVE&amp;New&amp;Chiller__PumpCtrl/NE-Chiller-CHWPumpCtrl-Full-Msr/instance-out.sql</t>
  </si>
  <si>
    <t>runs/CZ08/OfS&amp;0&amp;cPVVE&amp;New&amp;Chiller__PumpCtrl/NE-Chiller-CHWPumpCtrl-Full-Msr/instance-out.sql</t>
  </si>
  <si>
    <t>runs/CZ08/OfS&amp;0&amp;cPVVE&amp;New&amp;Chiller__PumpCtrl/NE-Chiller-PumpCtrl-Full-Std/instance-out.sql</t>
  </si>
  <si>
    <t>runs/CZ08/OfL&amp;0&amp;cPVVE&amp;New&amp;Chiller__PumpCtrl/NE-Chiller-CHWPumpCtrl-Full-Msr/instance-out.sql</t>
  </si>
  <si>
    <t>runs/CZ08/OfL&amp;0&amp;cPVVE&amp;New&amp;Chiller__PumpCtrl/NE-Chiller-PumpCtrl-Full-Std/instance-out.sql</t>
  </si>
  <si>
    <t>runs/CZ08/Nrs&amp;0&amp;cPVVE&amp;New&amp;Chiller__PumpCtrl/NE-Chiller-CHWPumpCtrl-Full-Msr/instance-out.sql</t>
  </si>
  <si>
    <t>runs/CZ08/Nrs&amp;0&amp;cPVVE&amp;New&amp;Chiller__PumpCtrl/NE-Chiller-PumpCtrl-Full-Std/instance-out.sql</t>
  </si>
  <si>
    <t>runs/CZ08/Hsp&amp;0&amp;cPVVE&amp;New&amp;Chiller__PumpCtrl/NE-Chiller-PumpCtrl-Full-Std/instance-out.sql</t>
  </si>
  <si>
    <t>runs/CZ08/ESe&amp;0&amp;cPVVE&amp;New&amp;Chiller__PumpCtrl/NE-Chiller-CHWPumpCtrl-Full-Msr/instance-out.sql</t>
  </si>
  <si>
    <t>runs/CZ08/Hsp&amp;0&amp;cPVVE&amp;New&amp;Chiller__PumpCtrl/NE-Chiller-CHWPumpCtrl-Full-Msr/instance-out.sql</t>
  </si>
  <si>
    <t>runs/CZ08/ESe&amp;0&amp;cPVVE&amp;New&amp;Chiller__PumpCtrl/NE-Chiller-PumpCtrl-Full-Std/instance-out.sql</t>
  </si>
  <si>
    <t>runs/CZ08/EUn&amp;0&amp;cPVVE&amp;New&amp;Chiller__PumpCtrl/NE-Chiller-CHWPumpCtrl-Full-Msr/instance-out.sql</t>
  </si>
  <si>
    <t>runs/CZ08/EUn&amp;0&amp;cPVVE&amp;New&amp;Chiller__PumpCtrl/NE-Chiller-PumpCtrl-Full-Std/instance-out.sql</t>
  </si>
  <si>
    <t>runs/CZ08/ECC&amp;0&amp;cPVVE&amp;New&amp;Chiller__PumpCtrl/NE-Chiller-PumpCtrl-Full-Std/instance-out.sql</t>
  </si>
  <si>
    <t>runs/CZ08/ECC&amp;0&amp;cPVVE&amp;New&amp;Chiller__PumpCtrl/NE-Chiller-CHWPumpCtrl-Full-Msr/instance-out.sql</t>
  </si>
  <si>
    <t>runs/CZ07/Rt3&amp;0&amp;cPVVE&amp;New&amp;Chiller__PumpCtrl/NE-Chiller-CHWPumpCtrl-Full-Msr/instance-out.sql</t>
  </si>
  <si>
    <t>runs/CZ07/Rt3&amp;0&amp;cPVVE&amp;New&amp;Chiller__PumpCtrl/NE-Chiller-PumpCtrl-Full-Std/instance-out.sql</t>
  </si>
  <si>
    <t>runs/CZ07/OfS&amp;0&amp;cPVVE&amp;New&amp;Chiller__PumpCtrl/NE-Chiller-CHWPumpCtrl-Full-Msr/instance-out.sql</t>
  </si>
  <si>
    <t>runs/CZ07/OfS&amp;0&amp;cPVVE&amp;New&amp;Chiller__PumpCtrl/NE-Chiller-PumpCtrl-Full-Std/instance-out.sql</t>
  </si>
  <si>
    <t>runs/CZ07/Nrs&amp;0&amp;cPVVE&amp;New&amp;Chiller__PumpCtrl/NE-Chiller-CHWPumpCtrl-Full-Msr/instance-out.sql</t>
  </si>
  <si>
    <t>runs/CZ07/OfL&amp;0&amp;cPVVE&amp;New&amp;Chiller__PumpCtrl/NE-Chiller-PumpCtrl-Full-Std/instance-out.sql</t>
  </si>
  <si>
    <t>runs/CZ07/OfL&amp;0&amp;cPVVE&amp;New&amp;Chiller__PumpCtrl/NE-Chiller-CHWPumpCtrl-Full-Msr/instance-out.sql</t>
  </si>
  <si>
    <t>runs/CZ07/Nrs&amp;0&amp;cPVVE&amp;New&amp;Chiller__PumpCtrl/NE-Chiller-PumpCtrl-Full-Std/instance-out.sql</t>
  </si>
  <si>
    <t>runs/CZ07/Hsp&amp;0&amp;cPVVE&amp;New&amp;Chiller__PumpCtrl/NE-Chiller-PumpCtrl-Full-Std/instance-out.sql</t>
  </si>
  <si>
    <t>runs/CZ07/EUn&amp;0&amp;cPVVE&amp;New&amp;Chiller__PumpCtrl/NE-Chiller-CHWPumpCtrl-Full-Msr/instance-out.sql</t>
  </si>
  <si>
    <t>runs/CZ07/ESe&amp;0&amp;cPVVE&amp;New&amp;Chiller__PumpCtrl/NE-Chiller-CHWPumpCtrl-Full-Msr/instance-out.sql</t>
  </si>
  <si>
    <t>runs/CZ07/Hsp&amp;0&amp;cPVVE&amp;New&amp;Chiller__PumpCtrl/NE-Chiller-CHWPumpCtrl-Full-Msr/instance-out.sql</t>
  </si>
  <si>
    <t>runs/CZ07/ESe&amp;0&amp;cPVVE&amp;New&amp;Chiller__PumpCtrl/NE-Chiller-PumpCtrl-Full-Std/instance-out.sql</t>
  </si>
  <si>
    <t>runs/CZ07/ECC&amp;0&amp;cPVVE&amp;New&amp;Chiller__PumpCtrl/NE-Chiller-CHWPumpCtrl-Full-Msr/instance-out.sql</t>
  </si>
  <si>
    <t>runs/CZ07/EUn&amp;0&amp;cPVVE&amp;New&amp;Chiller__PumpCtrl/NE-Chiller-PumpCtrl-Full-Std/instance-out.sql</t>
  </si>
  <si>
    <t>runs/CZ07/ECC&amp;0&amp;cPVVE&amp;New&amp;Chiller__PumpCtrl/NE-Chiller-PumpCtrl-Full-Std/instance-out.sql</t>
  </si>
  <si>
    <t>runs/CZ06/Rt3&amp;0&amp;cPVVE&amp;New&amp;Chiller__PumpCtrl/NE-Chiller-PumpCtrl-Full-Std/instance-out.sql</t>
  </si>
  <si>
    <t>runs/CZ06/Rt3&amp;0&amp;cPVVE&amp;New&amp;Chiller__PumpCtrl/NE-Chiller-CHWPumpCtrl-Full-Msr/instance-out.sql</t>
  </si>
  <si>
    <t>runs/CZ06/OfS&amp;0&amp;cPVVE&amp;New&amp;Chiller__PumpCtrl/NE-Chiller-PumpCtrl-Full-Std/instance-out.sql</t>
  </si>
  <si>
    <t>runs/CZ06/OfS&amp;0&amp;cPVVE&amp;New&amp;Chiller__PumpCtrl/NE-Chiller-CHWPumpCtrl-Full-Msr/instance-out.sql</t>
  </si>
  <si>
    <t>runs/CZ06/Nrs&amp;0&amp;cPVVE&amp;New&amp;Chiller__PumpCtrl/NE-Chiller-CHWPumpCtrl-Full-Msr/instance-out.sql</t>
  </si>
  <si>
    <t>runs/CZ06/OfL&amp;0&amp;cPVVE&amp;New&amp;Chiller__PumpCtrl/NE-Chiller-PumpCtrl-Full-Std/instance-out.sql</t>
  </si>
  <si>
    <t>runs/CZ06/OfL&amp;0&amp;cPVVE&amp;New&amp;Chiller__PumpCtrl/NE-Chiller-CHWPumpCtrl-Full-Msr/instance-out.sql</t>
  </si>
  <si>
    <t>runs/CZ06/Nrs&amp;0&amp;cPVVE&amp;New&amp;Chiller__PumpCtrl/NE-Chiller-PumpCtrl-Full-Std/instance-out.sql</t>
  </si>
  <si>
    <t>runs/CZ06/Hsp&amp;0&amp;cPVVE&amp;New&amp;Chiller__PumpCtrl/NE-Chiller-PumpCtrl-Full-Std/instance-out.sql</t>
  </si>
  <si>
    <t>runs/CZ06/Hsp&amp;0&amp;cPVVE&amp;New&amp;Chiller__PumpCtrl/NE-Chiller-CHWPumpCtrl-Full-Msr/instance-out.sql</t>
  </si>
  <si>
    <t>runs/CZ06/EUn&amp;0&amp;cPVVE&amp;New&amp;Chiller__PumpCtrl/NE-Chiller-CHWPumpCtrl-Full-Msr/instance-out.sql</t>
  </si>
  <si>
    <t>runs/CZ06/ESe&amp;0&amp;cPVVE&amp;New&amp;Chiller__PumpCtrl/NE-Chiller-CHWPumpCtrl-Full-Msr/instance-out.sql</t>
  </si>
  <si>
    <t>runs/CZ06/ESe&amp;0&amp;cPVVE&amp;New&amp;Chiller__PumpCtrl/NE-Chiller-PumpCtrl-Full-Std/instance-out.sql</t>
  </si>
  <si>
    <t>runs/CZ06/ECC&amp;0&amp;cPVVE&amp;New&amp;Chiller__PumpCtrl/NE-Chiller-PumpCtrl-Full-Std/instance-out.sql</t>
  </si>
  <si>
    <t>runs/CZ06/EUn&amp;0&amp;cPVVE&amp;New&amp;Chiller__PumpCtrl/NE-Chiller-PumpCtrl-Full-Std/instance-out.sql</t>
  </si>
  <si>
    <t>runs/CZ06/ECC&amp;0&amp;cPVVE&amp;New&amp;Chiller__PumpCtrl/NE-Chiller-CHWPumpCtrl-Full-Msr/instance-out.sql</t>
  </si>
  <si>
    <t>runs/CZ05/Rt3&amp;0&amp;cPVVE&amp;New&amp;Chiller__PumpCtrl/NE-Chiller-CHWPumpCtrl-Full-Msr/instance-out.sql</t>
  </si>
  <si>
    <t>runs/CZ05/Rt3&amp;0&amp;cPVVE&amp;New&amp;Chiller__PumpCtrl/NE-Chiller-PumpCtrl-Full-Std/instance-out.sql</t>
  </si>
  <si>
    <t>runs/CZ05/OfS&amp;0&amp;cPVVE&amp;New&amp;Chiller__PumpCtrl/NE-Chiller-CHWPumpCtrl-Full-Msr/instance-out.sql</t>
  </si>
  <si>
    <t>runs/CZ05/OfS&amp;0&amp;cPVVE&amp;New&amp;Chiller__PumpCtrl/NE-Chiller-PumpCtrl-Full-Std/instance-out.sql</t>
  </si>
  <si>
    <t>runs/CZ05/OfL&amp;0&amp;cPVVE&amp;New&amp;Chiller__PumpCtrl/NE-Chiller-CHWPumpCtrl-Full-Msr/instance-out.sql</t>
  </si>
  <si>
    <t>runs/CZ05/OfL&amp;0&amp;cPVVE&amp;New&amp;Chiller__PumpCtrl/NE-Chiller-PumpCtrl-Full-Std/instance-out.sql</t>
  </si>
  <si>
    <t>runs/CZ05/Nrs&amp;0&amp;cPVVE&amp;New&amp;Chiller__PumpCtrl/NE-Chiller-CHWPumpCtrl-Full-Msr/instance-out.sql</t>
  </si>
  <si>
    <t>runs/CZ05/Nrs&amp;0&amp;cPVVE&amp;New&amp;Chiller__PumpCtrl/NE-Chiller-PumpCtrl-Full-Std/instance-out.sql</t>
  </si>
  <si>
    <t>runs/CZ05/Hsp&amp;0&amp;cPVVE&amp;New&amp;Chiller__PumpCtrl/NE-Chiller-CHWPumpCtrl-Full-Msr/instance-out.sql</t>
  </si>
  <si>
    <t>runs/CZ05/Hsp&amp;0&amp;cPVVE&amp;New&amp;Chiller__PumpCtrl/NE-Chiller-PumpCtrl-Full-Std/instance-out.sql</t>
  </si>
  <si>
    <t>runs/CZ05/ESe&amp;0&amp;cPVVE&amp;New&amp;Chiller__PumpCtrl/NE-Chiller-CHWPumpCtrl-Full-Msr/instance-out.sql</t>
  </si>
  <si>
    <t>runs/CZ05/EUn&amp;0&amp;cPVVE&amp;New&amp;Chiller__PumpCtrl/NE-Chiller-PumpCtrl-Full-Std/instance-out.sql</t>
  </si>
  <si>
    <t>runs/CZ05/ECC&amp;0&amp;cPVVE&amp;New&amp;Chiller__PumpCtrl/NE-Chiller-CHWPumpCtrl-Full-Msr/instance-out.sql</t>
  </si>
  <si>
    <t>runs/CZ05/EUn&amp;0&amp;cPVVE&amp;New&amp;Chiller__PumpCtrl/NE-Chiller-CHWPumpCtrl-Full-Msr/instance-out.sql</t>
  </si>
  <si>
    <t>runs/CZ05/ESe&amp;0&amp;cPVVE&amp;New&amp;Chiller__PumpCtrl/NE-Chiller-PumpCtrl-Full-Std/instance-out.sql</t>
  </si>
  <si>
    <t>runs/CZ05/ECC&amp;0&amp;cPVVE&amp;New&amp;Chiller__PumpCtrl/NE-Chiller-PumpCtrl-Full-Std/instance-out.sql</t>
  </si>
  <si>
    <t>runs/CZ04/Rt3&amp;0&amp;cPVVE&amp;New&amp;Chiller__PumpCtrl/NE-Chiller-PumpCtrl-Full-Std/instance-out.sql</t>
  </si>
  <si>
    <t>runs/CZ04/Rt3&amp;0&amp;cPVVE&amp;New&amp;Chiller__PumpCtrl/NE-Chiller-CHWPumpCtrl-Full-Msr/instance-out.sql</t>
  </si>
  <si>
    <t>runs/CZ04/OfS&amp;0&amp;cPVVE&amp;New&amp;Chiller__PumpCtrl/NE-Chiller-CHWPumpCtrl-Full-Msr/instance-out.sql</t>
  </si>
  <si>
    <t>runs/CZ04/OfS&amp;0&amp;cPVVE&amp;New&amp;Chiller__PumpCtrl/NE-Chiller-PumpCtrl-Full-Std/instance-out.sql</t>
  </si>
  <si>
    <t>runs/CZ04/OfL&amp;0&amp;cPVVE&amp;New&amp;Chiller__PumpCtrl/NE-Chiller-CHWPumpCtrl-Full-Msr/instance-out.sql</t>
  </si>
  <si>
    <t>runs/CZ04/OfL&amp;0&amp;cPVVE&amp;New&amp;Chiller__PumpCtrl/NE-Chiller-PumpCtrl-Full-Std/instance-out.sql</t>
  </si>
  <si>
    <t>runs/CZ04/Nrs&amp;0&amp;cPVVE&amp;New&amp;Chiller__PumpCtrl/NE-Chiller-CHWPumpCtrl-Full-Msr/instance-out.sql</t>
  </si>
  <si>
    <t>runs/CZ04/Nrs&amp;0&amp;cPVVE&amp;New&amp;Chiller__PumpCtrl/NE-Chiller-PumpCtrl-Full-Std/instance-out.sql</t>
  </si>
  <si>
    <t>runs/CZ04/ESe&amp;0&amp;cPVVE&amp;New&amp;Chiller__PumpCtrl/NE-Chiller-CHWPumpCtrl-Full-Msr/instance-out.sql</t>
  </si>
  <si>
    <t>runs/CZ04/Hsp&amp;0&amp;cPVVE&amp;New&amp;Chiller__PumpCtrl/NE-Chiller-CHWPumpCtrl-Full-Msr/instance-out.sql</t>
  </si>
  <si>
    <t>runs/CZ04/Hsp&amp;0&amp;cPVVE&amp;New&amp;Chiller__PumpCtrl/NE-Chiller-PumpCtrl-Full-Std/instance-out.sql</t>
  </si>
  <si>
    <t>runs/CZ04/EUn&amp;0&amp;cPVVE&amp;New&amp;Chiller__PumpCtrl/NE-Chiller-CHWPumpCtrl-Full-Msr/instance-out.sql</t>
  </si>
  <si>
    <t>runs/CZ04/ESe&amp;0&amp;cPVVE&amp;New&amp;Chiller__PumpCtrl/NE-Chiller-PumpCtrl-Full-Std/instance-out.sql</t>
  </si>
  <si>
    <t>runs/CZ04/EUn&amp;0&amp;cPVVE&amp;New&amp;Chiller__PumpCtrl/NE-Chiller-PumpCtrl-Full-Std/instance-out.sql</t>
  </si>
  <si>
    <t>runs/CZ04/ECC&amp;0&amp;cPVVE&amp;New&amp;Chiller__PumpCtrl/NE-Chiller-CHWPumpCtrl-Full-Msr/instance-out.sql</t>
  </si>
  <si>
    <t>runs/CZ04/ECC&amp;0&amp;cPVVE&amp;New&amp;Chiller__PumpCtrl/NE-Chiller-PumpCtrl-Full-Std/instance-out.sql</t>
  </si>
  <si>
    <t>runs/CZ03/Rt3&amp;0&amp;cPVVE&amp;New&amp;Chiller__PumpCtrl/NE-Chiller-CHWPumpCtrl-Full-Msr/instance-out.sql</t>
  </si>
  <si>
    <t>runs/CZ03/Rt3&amp;0&amp;cPVVE&amp;New&amp;Chiller__PumpCtrl/NE-Chiller-PumpCtrl-Full-Std/instance-out.sql</t>
  </si>
  <si>
    <t>runs/CZ03/OfS&amp;0&amp;cPVVE&amp;New&amp;Chiller__PumpCtrl/NE-Chiller-CHWPumpCtrl-Full-Msr/instance-out.sql</t>
  </si>
  <si>
    <t>runs/CZ03/OfS&amp;0&amp;cPVVE&amp;New&amp;Chiller__PumpCtrl/NE-Chiller-PumpCtrl-Full-Std/instance-out.sql</t>
  </si>
  <si>
    <t>runs/CZ03/OfL&amp;0&amp;cPVVE&amp;New&amp;Chiller__PumpCtrl/NE-Chiller-CHWPumpCtrl-Full-Msr/instance-out.sql</t>
  </si>
  <si>
    <t>runs/CZ03/OfL&amp;0&amp;cPVVE&amp;New&amp;Chiller__PumpCtrl/NE-Chiller-PumpCtrl-Full-Std/instance-out.sql</t>
  </si>
  <si>
    <t>runs/CZ03/Nrs&amp;0&amp;cPVVE&amp;New&amp;Chiller__PumpCtrl/NE-Chiller-CHWPumpCtrl-Full-Msr/instance-out.sql</t>
  </si>
  <si>
    <t>runs/CZ03/Nrs&amp;0&amp;cPVVE&amp;New&amp;Chiller__PumpCtrl/NE-Chiller-PumpCtrl-Full-Std/instance-out.sql</t>
  </si>
  <si>
    <t>runs/CZ03/Hsp&amp;0&amp;cPVVE&amp;New&amp;Chiller__PumpCtrl/NE-Chiller-CHWPumpCtrl-Full-Msr/instance-out.sql</t>
  </si>
  <si>
    <t>runs/CZ03/Hsp&amp;0&amp;cPVVE&amp;New&amp;Chiller__PumpCtrl/NE-Chiller-PumpCtrl-Full-Std/instance-out.sql</t>
  </si>
  <si>
    <t>runs/CZ03/EUn&amp;0&amp;cPVVE&amp;New&amp;Chiller__PumpCtrl/NE-Chiller-CHWPumpCtrl-Full-Msr/instance-out.sql</t>
  </si>
  <si>
    <t>runs/CZ03/ESe&amp;0&amp;cPVVE&amp;New&amp;Chiller__PumpCtrl/NE-Chiller-CHWPumpCtrl-Full-Msr/instance-out.sql</t>
  </si>
  <si>
    <t>runs/CZ03/ESe&amp;0&amp;cPVVE&amp;New&amp;Chiller__PumpCtrl/NE-Chiller-PumpCtrl-Full-Std/instance-out.sql</t>
  </si>
  <si>
    <t>runs/CZ03/EUn&amp;0&amp;cPVVE&amp;New&amp;Chiller__PumpCtrl/NE-Chiller-PumpCtrl-Full-Std/instance-out.sql</t>
  </si>
  <si>
    <t>runs/CZ02/OfS&amp;0&amp;cPVVE&amp;New&amp;Chiller__PumpCtrl/NE-Chiller-CHWPumpCtrl-Full-Msr/instance-out.sql</t>
  </si>
  <si>
    <t>runs/CZ03/ECC&amp;0&amp;cPVVE&amp;New&amp;Chiller__PumpCtrl/NE-Chiller-PumpCtrl-Full-Std/instance-out.sql</t>
  </si>
  <si>
    <t>runs/CZ03/ECC&amp;0&amp;cPVVE&amp;New&amp;Chiller__PumpCtrl/NE-Chiller-CHWPumpCtrl-Full-Msr/instance-out.sql</t>
  </si>
  <si>
    <t>runs/CZ02/Rt3&amp;0&amp;cPVVE&amp;New&amp;Chiller__PumpCtrl/NE-Chiller-PumpCtrl-Full-Std/instance-out.sql</t>
  </si>
  <si>
    <t>runs/CZ02/Rt3&amp;0&amp;cPVVE&amp;New&amp;Chiller__PumpCtrl/NE-Chiller-CHWPumpCtrl-Full-Msr/instance-out.sql</t>
  </si>
  <si>
    <t>runs/CZ02/OfS&amp;0&amp;cPVVE&amp;New&amp;Chiller__PumpCtrl/NE-Chiller-PumpCtrl-Full-Std/instance-out.sql</t>
  </si>
  <si>
    <t>runs/CZ02/OfL&amp;0&amp;cPVVE&amp;New&amp;Chiller__PumpCtrl/NE-Chiller-CHWPumpCtrl-Full-Msr/instance-out.sql</t>
  </si>
  <si>
    <t>runs/CZ02/OfL&amp;0&amp;cPVVE&amp;New&amp;Chiller__PumpCtrl/NE-Chiller-PumpCtrl-Full-Std/instance-out.sql</t>
  </si>
  <si>
    <t>runs/CZ02/Nrs&amp;0&amp;cPVVE&amp;New&amp;Chiller__PumpCtrl/NE-Chiller-PumpCtrl-Full-Std/instance-out.sql</t>
  </si>
  <si>
    <t>runs/CZ02/Nrs&amp;0&amp;cPVVE&amp;New&amp;Chiller__PumpCtrl/NE-Chiller-CHWPumpCtrl-Full-Msr/instance-out.sql</t>
  </si>
  <si>
    <t>runs/CZ02/Hsp&amp;0&amp;cPVVE&amp;New&amp;Chiller__PumpCtrl/NE-Chiller-CHWPumpCtrl-Full-Msr/instance-out.sql</t>
  </si>
  <si>
    <t>runs/CZ02/ESe&amp;0&amp;cPVVE&amp;New&amp;Chiller__PumpCtrl/NE-Chiller-CHWPumpCtrl-Full-Msr/instance-out.sql</t>
  </si>
  <si>
    <t>runs/CZ02/Hsp&amp;0&amp;cPVVE&amp;New&amp;Chiller__PumpCtrl/NE-Chiller-PumpCtrl-Full-Std/instance-out.sql</t>
  </si>
  <si>
    <t>runs/CZ02/ESe&amp;0&amp;cPVVE&amp;New&amp;Chiller__PumpCtrl/NE-Chiller-PumpCtrl-Full-Std/instance-out.sql</t>
  </si>
  <si>
    <t>runs/CZ02/ECC&amp;0&amp;cPVVE&amp;New&amp;Chiller__PumpCtrl/NE-Chiller-CHWPumpCtrl-Full-Msr/instance-out.sql</t>
  </si>
  <si>
    <t>runs/CZ02/EUn&amp;0&amp;cPVVE&amp;New&amp;Chiller__PumpCtrl/NE-Chiller-PumpCtrl-Full-Std/instance-out.sql</t>
  </si>
  <si>
    <t>runs/CZ01/Rt3&amp;0&amp;cPVVE&amp;New&amp;Chiller__PumpCtrl/NE-Chiller-CHWPumpCtrl-Full-Msr/instance-out.sql</t>
  </si>
  <si>
    <t>runs/CZ02/EUn&amp;0&amp;cPVVE&amp;New&amp;Chiller__PumpCtrl/NE-Chiller-CHWPumpCtrl-Full-Msr/instance-out.sql</t>
  </si>
  <si>
    <t>runs/CZ01/Rt3&amp;0&amp;cPVVE&amp;New&amp;Chiller__PumpCtrl/NE-Chiller-PumpCtrl-Full-Std/instance-out.sql</t>
  </si>
  <si>
    <t>runs/CZ01/OfS&amp;0&amp;cPVVE&amp;New&amp;Chiller__PumpCtrl/NE-Chiller-CHWPumpCtrl-Full-Msr/instance-out.sql</t>
  </si>
  <si>
    <t>runs/CZ02/ECC&amp;0&amp;cPVVE&amp;New&amp;Chiller__PumpCtrl/NE-Chiller-PumpCtrl-Full-Std/instance-out.sql</t>
  </si>
  <si>
    <t>runs/CZ01/OfS&amp;0&amp;cPVVE&amp;New&amp;Chiller__PumpCtrl/NE-Chiller-PumpCtrl-Full-Std/instance-out.sql</t>
  </si>
  <si>
    <t>runs/CZ01/OfL&amp;0&amp;cPVVE&amp;New&amp;Chiller__PumpCtrl/NE-Chiller-CHWPumpCtrl-Full-Msr/instance-out.sql</t>
  </si>
  <si>
    <t>runs/CZ01/OfL&amp;0&amp;cPVVE&amp;New&amp;Chiller__PumpCtrl/NE-Chiller-PumpCtrl-Full-Std/instance-out.sql</t>
  </si>
  <si>
    <t>runs/CZ01/Nrs&amp;0&amp;cPVVE&amp;New&amp;Chiller__PumpCtrl/NE-Chiller-CHWPumpCtrl-Full-Msr/instance-out.sql</t>
  </si>
  <si>
    <t>runs/CZ01/Nrs&amp;0&amp;cPVVE&amp;New&amp;Chiller__PumpCtrl/NE-Chiller-PumpCtrl-Full-Std/instance-out.sql</t>
  </si>
  <si>
    <t>runs/CZ01/Hsp&amp;0&amp;cPVVE&amp;New&amp;Chiller__PumpCtrl/NE-Chiller-CHWPumpCtrl-Full-Msr/instance-out.sql</t>
  </si>
  <si>
    <t>runs/CZ01/Hsp&amp;0&amp;cPVVE&amp;New&amp;Chiller__PumpCtrl/NE-Chiller-PumpCtrl-Full-Std/instance-out.sql</t>
  </si>
  <si>
    <t>runs/CZ01/ESe&amp;0&amp;cPVVE&amp;New&amp;Chiller__PumpCtrl/NE-Chiller-PumpCtrl-Full-Std/instance-out.sql</t>
  </si>
  <si>
    <t>runs/CZ01/ESe&amp;0&amp;cPVVE&amp;New&amp;Chiller__PumpCtrl/NE-Chiller-CHWPumpCtrl-Full-Msr/instance-out.sql</t>
  </si>
  <si>
    <t>runs/CZ01/ECC&amp;0&amp;cPVVE&amp;New&amp;Chiller__PumpCtrl/NE-Chiller-CHWPumpCtrl-Full-Msr/instance-out.sql</t>
  </si>
  <si>
    <t>runs/CZ01/EUn&amp;0&amp;cPVVE&amp;New&amp;Chiller__PumpCtrl/NE-Chiller-CHWPumpCtrl-Full-Msr/instance-out.sql</t>
  </si>
  <si>
    <t>runs/CZ01/EUn&amp;0&amp;cPVVE&amp;New&amp;Chiller__PumpCtrl/NE-Chiller-PumpCtrl-Full-Std/instance-out.sql</t>
  </si>
  <si>
    <t>runs/CZ01/ECC&amp;0&amp;cPVVE&amp;New&amp;Chiller__PumpCtrl/NE-Chiller-PumpCtrl-Full-Std/instance-out.sql</t>
  </si>
  <si>
    <t>runs/CZ16/Htl&amp;0&amp;cPVVE&amp;Ex&amp;Chiller__PumpCtrl/NE-Chiller-PumpCtrl-Full-Std/instance-out.sql</t>
  </si>
  <si>
    <t>runs/CZ16/Htl&amp;0&amp;cPVVE&amp;Ex&amp;Chiller__PumpCtrl/NE-Chiller-CHWPumpCtrl-Full-Msr/instance-out.sql</t>
  </si>
  <si>
    <t>runs/CZ15/Htl&amp;0&amp;cPVVE&amp;Ex&amp;Chiller__PumpCtrl/NE-Chiller-PumpCtrl-Full-Std/instance-out.sql</t>
  </si>
  <si>
    <t>runs/CZ15/Htl&amp;0&amp;cPVVE&amp;Ex&amp;Chiller__PumpCtrl/NE-Chiller-CHWPumpCtrl-Full-Msr/instance-out.sql</t>
  </si>
  <si>
    <t>runs/CZ14/Htl&amp;0&amp;cPVVE&amp;Ex&amp;Chiller__PumpCtrl/NE-Chiller-PumpCtrl-Full-Std/instance-out.sql</t>
  </si>
  <si>
    <t>runs/CZ14/Htl&amp;0&amp;cPVVE&amp;Ex&amp;Chiller__PumpCtrl/NE-Chiller-CHWPumpCtrl-Full-Msr/instance-out.sql</t>
  </si>
  <si>
    <t>runs/CZ12/Htl&amp;0&amp;cPVVE&amp;Ex&amp;Chiller__PumpCtrl/NE-Chiller-PumpCtrl-Full-Std/instance-out.sql</t>
  </si>
  <si>
    <t>runs/CZ13/Htl&amp;0&amp;cPVVE&amp;Ex&amp;Chiller__PumpCtrl/NE-Chiller-CHWPumpCtrl-Full-Msr/instance-out.sql</t>
  </si>
  <si>
    <t>runs/CZ12/Htl&amp;0&amp;cPVVE&amp;Ex&amp;Chiller__PumpCtrl/NE-Chiller-CHWPumpCtrl-Full-Msr/instance-out.sql</t>
  </si>
  <si>
    <t>runs/CZ13/Htl&amp;0&amp;cPVVE&amp;Ex&amp;Chiller__PumpCtrl/NE-Chiller-PumpCtrl-Full-Std/instance-out.sql</t>
  </si>
  <si>
    <t>runs/CZ11/Htl&amp;0&amp;cPVVE&amp;Ex&amp;Chiller__PumpCtrl/NE-Chiller-CHWPumpCtrl-Full-Msr/instance-out.sql</t>
  </si>
  <si>
    <t>runs/CZ11/Htl&amp;0&amp;cPVVE&amp;Ex&amp;Chiller__PumpCtrl/NE-Chiller-PumpCtrl-Full-Std/instance-out.sql</t>
  </si>
  <si>
    <t>runs/CZ10/Htl&amp;0&amp;cPVVE&amp;Ex&amp;Chiller__PumpCtrl/NE-Chiller-PumpCtrl-Full-Std/instance-out.sql</t>
  </si>
  <si>
    <t>runs/CZ09/Htl&amp;0&amp;cPVVE&amp;Ex&amp;Chiller__PumpCtrl/NE-Chiller-CHWPumpCtrl-Full-Msr/instance-out.sql</t>
  </si>
  <si>
    <t>runs/CZ10/Htl&amp;0&amp;cPVVE&amp;Ex&amp;Chiller__PumpCtrl/NE-Chiller-CHWPumpCtrl-Full-Msr/instance-out.sql</t>
  </si>
  <si>
    <t>runs/CZ09/Htl&amp;0&amp;cPVVE&amp;Ex&amp;Chiller__PumpCtrl/NE-Chiller-PumpCtrl-Full-Std/instance-out.sql</t>
  </si>
  <si>
    <t>runs/CZ08/Htl&amp;0&amp;cPVVE&amp;Ex&amp;Chiller__PumpCtrl/NE-Chiller-CHWPumpCtrl-Full-Msr/instance-out.sql</t>
  </si>
  <si>
    <t>runs/CZ07/Htl&amp;0&amp;cPVVE&amp;Ex&amp;Chiller__PumpCtrl/NE-Chiller-CHWPumpCtrl-Full-Msr/instance-out.sql</t>
  </si>
  <si>
    <t>runs/CZ07/Htl&amp;0&amp;cPVVE&amp;Ex&amp;Chiller__PumpCtrl/NE-Chiller-PumpCtrl-Full-Std/instance-out.sql</t>
  </si>
  <si>
    <t>runs/CZ08/Htl&amp;0&amp;cPVVE&amp;Ex&amp;Chiller__PumpCtrl/NE-Chiller-PumpCtrl-Full-Std/instance-out.sql</t>
  </si>
  <si>
    <t>runs/CZ06/Htl&amp;0&amp;cPVVE&amp;Ex&amp;Chiller__PumpCtrl/NE-Chiller-PumpCtrl-Full-Std/instance-out.sql</t>
  </si>
  <si>
    <t>runs/CZ06/Htl&amp;0&amp;cPVVE&amp;Ex&amp;Chiller__PumpCtrl/NE-Chiller-CHWPumpCtrl-Full-Msr/instance-out.sql</t>
  </si>
  <si>
    <t>runs/CZ05/Htl&amp;0&amp;cPVVE&amp;Ex&amp;Chiller__PumpCtrl/NE-Chiller-CHWPumpCtrl-Full-Msr/instance-out.sql</t>
  </si>
  <si>
    <t>runs/CZ05/Htl&amp;0&amp;cPVVE&amp;Ex&amp;Chiller__PumpCtrl/NE-Chiller-PumpCtrl-Full-Std/instance-out.sql</t>
  </si>
  <si>
    <t>runs/CZ04/Htl&amp;0&amp;cPVVE&amp;Ex&amp;Chiller__PumpCtrl/NE-Chiller-CHWPumpCtrl-Full-Msr/instance-out.sql</t>
  </si>
  <si>
    <t>runs/CZ03/Htl&amp;0&amp;cPVVE&amp;Ex&amp;Chiller__PumpCtrl/NE-Chiller-PumpCtrl-Full-Std/instance-out.sql</t>
  </si>
  <si>
    <t>runs/CZ04/Htl&amp;0&amp;cPVVE&amp;Ex&amp;Chiller__PumpCtrl/NE-Chiller-PumpCtrl-Full-Std/instance-out.sql</t>
  </si>
  <si>
    <t>runs/CZ03/Htl&amp;0&amp;cPVVE&amp;Ex&amp;Chiller__PumpCtrl/NE-Chiller-CHWPumpCtrl-Full-Msr/instance-out.sql</t>
  </si>
  <si>
    <t>runs/CZ02/Htl&amp;0&amp;cPVVE&amp;Ex&amp;Chiller__PumpCtrl/NE-Chiller-CHWPumpCtrl-Full-Msr/instance-out.sql</t>
  </si>
  <si>
    <t>runs/CZ02/Htl&amp;0&amp;cPVVE&amp;Ex&amp;Chiller__PumpCtrl/NE-Chiller-PumpCtrl-Full-Std/instance-out.sql</t>
  </si>
  <si>
    <t>runs/CZ01/Htl&amp;0&amp;cPVVE&amp;Ex&amp;Chiller__PumpCtrl/NE-Chiller-CHWPumpCtrl-Full-Msr/instance-out.sql</t>
  </si>
  <si>
    <t>runs/CZ01/Htl&amp;0&amp;cPVVE&amp;Ex&amp;Chiller__PumpCtrl/NE-Chiller-PumpCtrl-Full-Std/instance-out.sql</t>
  </si>
  <si>
    <t>runs/CZ16/Htl&amp;0&amp;cPVVE&amp;New&amp;Chiller__PumpCtrl/NE-Chiller-CHWPumpCtrl-Full-Msr/instance-out.sql</t>
  </si>
  <si>
    <t>runs/CZ16/Htl&amp;0&amp;cPVVE&amp;New&amp;Chiller__PumpCtrl/NE-Chiller-PumpCtrl-Full-Std/instance-out.sql</t>
  </si>
  <si>
    <t>runs/CZ15/Htl&amp;0&amp;cPVVE&amp;New&amp;Chiller__PumpCtrl/NE-Chiller-CHWPumpCtrl-Full-Msr/instance-out.sql</t>
  </si>
  <si>
    <t>runs/CZ15/Htl&amp;0&amp;cPVVE&amp;New&amp;Chiller__PumpCtrl/NE-Chiller-PumpCtrl-Full-Std/instance-out.sql</t>
  </si>
  <si>
    <t>runs/CZ14/Htl&amp;0&amp;cPVVE&amp;New&amp;Chiller__PumpCtrl/NE-Chiller-CHWPumpCtrl-Full-Msr/instance-out.sql</t>
  </si>
  <si>
    <t>runs/CZ13/Htl&amp;0&amp;cPVVE&amp;New&amp;Chiller__PumpCtrl/NE-Chiller-CHWPumpCtrl-Full-Msr/instance-out.sql</t>
  </si>
  <si>
    <t>runs/CZ14/Htl&amp;0&amp;cPVVE&amp;New&amp;Chiller__PumpCtrl/NE-Chiller-PumpCtrl-Full-Std/instance-out.sql</t>
  </si>
  <si>
    <t>runs/CZ13/Htl&amp;0&amp;cPVVE&amp;New&amp;Chiller__PumpCtrl/NE-Chiller-PumpCtrl-Full-Std/instance-out.sql</t>
  </si>
  <si>
    <t>runs/CZ12/Htl&amp;0&amp;cPVVE&amp;New&amp;Chiller__PumpCtrl/NE-Chiller-CHWPumpCtrl-Full-Msr/instance-out.sql</t>
  </si>
  <si>
    <t>runs/CZ11/Htl&amp;0&amp;cPVVE&amp;New&amp;Chiller__PumpCtrl/NE-Chiller-CHWPumpCtrl-Full-Msr/instance-out.sql</t>
  </si>
  <si>
    <t>runs/CZ12/Htl&amp;0&amp;cPVVE&amp;New&amp;Chiller__PumpCtrl/NE-Chiller-PumpCtrl-Full-Std/instance-out.sql</t>
  </si>
  <si>
    <t>runs/CZ11/Htl&amp;0&amp;cPVVE&amp;New&amp;Chiller__PumpCtrl/NE-Chiller-PumpCtrl-Full-Std/instance-out.sql</t>
  </si>
  <si>
    <t>runs/CZ10/Htl&amp;0&amp;cPVVE&amp;New&amp;Chiller__PumpCtrl/NE-Chiller-CHWPumpCtrl-Full-Msr/instance-out.sql</t>
  </si>
  <si>
    <t>runs/CZ10/Htl&amp;0&amp;cPVVE&amp;New&amp;Chiller__PumpCtrl/NE-Chiller-PumpCtrl-Full-Std/instance-out.sql</t>
  </si>
  <si>
    <t>runs/CZ09/Htl&amp;0&amp;cPVVE&amp;New&amp;Chiller__PumpCtrl/NE-Chiller-CHWPumpCtrl-Full-Msr/instance-out.sql</t>
  </si>
  <si>
    <t>runs/CZ09/Htl&amp;0&amp;cPVVE&amp;New&amp;Chiller__PumpCtrl/NE-Chiller-PumpCtrl-Full-Std/instance-out.sql</t>
  </si>
  <si>
    <t>runs/CZ08/Htl&amp;0&amp;cPVVE&amp;New&amp;Chiller__PumpCtrl/NE-Chiller-CHWPumpCtrl-Full-Msr/instance-out.sql</t>
  </si>
  <si>
    <t>runs/CZ08/Htl&amp;0&amp;cPVVE&amp;New&amp;Chiller__PumpCtrl/NE-Chiller-PumpCtrl-Full-Std/instance-out.sql</t>
  </si>
  <si>
    <t>runs/CZ07/Htl&amp;0&amp;cPVVE&amp;New&amp;Chiller__PumpCtrl/NE-Chiller-CHWPumpCtrl-Full-Msr/instance-out.sql</t>
  </si>
  <si>
    <t>runs/CZ07/Htl&amp;0&amp;cPVVE&amp;New&amp;Chiller__PumpCtrl/NE-Chiller-PumpCtrl-Full-Std/instance-out.sql</t>
  </si>
  <si>
    <t>runs/CZ06/Htl&amp;0&amp;cPVVE&amp;New&amp;Chiller__PumpCtrl/NE-Chiller-CHWPumpCtrl-Full-Msr/instance-out.sql</t>
  </si>
  <si>
    <t>runs/CZ05/Htl&amp;0&amp;cPVVE&amp;New&amp;Chiller__PumpCtrl/NE-Chiller-CHWPumpCtrl-Full-Msr/instance-out.sql</t>
  </si>
  <si>
    <t>runs/CZ06/Htl&amp;0&amp;cPVVE&amp;New&amp;Chiller__PumpCtrl/NE-Chiller-PumpCtrl-Full-Std/instance-out.sql</t>
  </si>
  <si>
    <t>runs/CZ05/Htl&amp;0&amp;cPVVE&amp;New&amp;Chiller__PumpCtrl/NE-Chiller-PumpCtrl-Full-Std/instance-out.sql</t>
  </si>
  <si>
    <t>runs/CZ04/Htl&amp;0&amp;cPVVE&amp;New&amp;Chiller__PumpCtrl/NE-Chiller-CHWPumpCtrl-Full-Msr/instance-out.sql</t>
  </si>
  <si>
    <t>runs/CZ04/Htl&amp;0&amp;cPVVE&amp;New&amp;Chiller__PumpCtrl/NE-Chiller-PumpCtrl-Full-Std/instance-out.sql</t>
  </si>
  <si>
    <t>runs/CZ03/Htl&amp;0&amp;cPVVE&amp;New&amp;Chiller__PumpCtrl/NE-Chiller-CHWPumpCtrl-Full-Msr/instance-out.sql</t>
  </si>
  <si>
    <t>runs/CZ03/Htl&amp;0&amp;cPVVE&amp;New&amp;Chiller__PumpCtrl/NE-Chiller-PumpCtrl-Full-Std/instance-out.sql</t>
  </si>
  <si>
    <t>runs/CZ02/Htl&amp;0&amp;cPVVE&amp;New&amp;Chiller__PumpCtrl/NE-Chiller-CHWPumpCtrl-Full-Msr/instance-out.sql</t>
  </si>
  <si>
    <t>runs/CZ02/Htl&amp;0&amp;cPVVE&amp;New&amp;Chiller__PumpCtrl/NE-Chiller-PumpCtrl-Full-Std/instance-out.sql</t>
  </si>
  <si>
    <t>runs/CZ01/Htl&amp;0&amp;cPVVE&amp;New&amp;Chiller__PumpCtrl/NE-Chiller-PumpCtrl-Full-Std/instance-out.sql</t>
  </si>
  <si>
    <t>runs/CZ01/Htl&amp;0&amp;cPVVE&amp;New&amp;Chiller__PumpCtrl/NE-Chiller-CHWPumpCtrl-Full-Msr/instance-out.sql</t>
  </si>
  <si>
    <t>Htl</t>
  </si>
  <si>
    <t>Existing Building</t>
  </si>
  <si>
    <t>New Building</t>
  </si>
  <si>
    <t>Min Across All CZ</t>
  </si>
  <si>
    <t>kg/m3</t>
  </si>
  <si>
    <t>Average Across All CZ2</t>
  </si>
  <si>
    <t>Max  Across All CZ3</t>
  </si>
  <si>
    <t>Existing (kg/s)</t>
  </si>
  <si>
    <t>New (kg/s)</t>
  </si>
  <si>
    <t>Water density</t>
  </si>
  <si>
    <t>CW Design Flow Rate (constant) (kg/s)</t>
  </si>
  <si>
    <t>Minimum CW Pump Flow Rate (constant) (m3/s)</t>
  </si>
  <si>
    <t>Design Flow Rate</t>
  </si>
  <si>
    <t>Min Flow Rate</t>
  </si>
  <si>
    <t>Minimum CW Pump Flow Rate (constant) (kg/s)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</si>
</sst>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64" fontId="0" fillId="0" borderId="0" xfId="0" applyNumberFormat="1" applyAlignment="1">
      <alignment horizontal="left"/>
    </xf>
    <xf numFmtId="0" fontId="0" fillId="2" borderId="10" xfId="0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164" fontId="0" fillId="0" borderId="11" xfId="0" applyNumberFormat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6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E819F4-719D-4263-912B-582F7B833AC5}" name="Table2" displayName="Table2" ref="B4:U13" totalsRowShown="0" headerRowDxfId="95" headerRowBorderDxfId="94" tableBorderDxfId="93" totalsRowBorderDxfId="92">
  <autoFilter ref="B4:U13" xr:uid="{EDE819F4-719D-4263-912B-582F7B833AC5}"/>
  <tableColumns count="20">
    <tableColumn id="1" xr3:uid="{7681BC56-CA39-46DA-8B17-8AB14C718150}" name="Building Type" dataDxfId="91"/>
    <tableColumn id="2" xr3:uid="{EC3C4C7E-A947-407E-AEA8-C8360643F8CC}" name="CZ01" dataDxfId="90">
      <calculatedColumnFormula>IFERROR(
    _xlfn.MINIFS(
        'Combined Runs'!$G:$G,
        'Combined Runs'!$B:$B, C$4,
        'Combined Runs'!$A:$A, "*" &amp; $B5 &amp; "&amp;0&amp;cPVVE&amp;Ex&amp;Chiller__PumpCtrl*"
    ),
    ""
)</calculatedColumnFormula>
    </tableColumn>
    <tableColumn id="3" xr3:uid="{103DC5D9-852E-460C-BEDC-75FB64B594A4}" name="CZ02" dataDxfId="89">
      <calculatedColumnFormula>IFERROR(
    _xlfn.MINIFS(
        'Combined Runs'!$G:$G,
        'Combined Runs'!$B:$B, D$4,
        'Combined Runs'!$A:$A, "*" &amp; $B5 &amp; "&amp;0&amp;cPVVE&amp;Ex&amp;Chiller__PumpCtrl*"
    ),
    ""
)</calculatedColumnFormula>
    </tableColumn>
    <tableColumn id="4" xr3:uid="{DD7C95A9-9331-43EC-A14D-8849FA4733FF}" name="CZ03" dataDxfId="88">
      <calculatedColumnFormula>IFERROR(
    _xlfn.MINIFS(
        'Combined Runs'!$G:$G,
        'Combined Runs'!$B:$B, E$4,
        'Combined Runs'!$A:$A, "*" &amp; $B5 &amp; "&amp;0&amp;cPVVE&amp;Ex&amp;Chiller__PumpCtrl*"
    ),
    ""
)</calculatedColumnFormula>
    </tableColumn>
    <tableColumn id="5" xr3:uid="{CBCA8C91-8716-44B1-BF56-A7C6D52E88D1}" name="CZ04" dataDxfId="87">
      <calculatedColumnFormula>IFERROR(
    _xlfn.MINIFS(
        'Combined Runs'!$G:$G,
        'Combined Runs'!$B:$B, F$4,
        'Combined Runs'!$A:$A, "*" &amp; $B5 &amp; "&amp;0&amp;cPVVE&amp;Ex&amp;Chiller__PumpCtrl*"
    ),
    ""
)</calculatedColumnFormula>
    </tableColumn>
    <tableColumn id="6" xr3:uid="{337E742A-51BE-4157-95A9-677377EF560B}" name="CZ05" dataDxfId="86">
      <calculatedColumnFormula>IFERROR(
    _xlfn.MINIFS(
        'Combined Runs'!$G:$G,
        'Combined Runs'!$B:$B, G$4,
        'Combined Runs'!$A:$A, "*" &amp; $B5 &amp; "&amp;0&amp;cPVVE&amp;Ex&amp;Chiller__PumpCtrl*"
    ),
    ""
)</calculatedColumnFormula>
    </tableColumn>
    <tableColumn id="7" xr3:uid="{55E795ED-9756-4E92-B5D2-3DD646C42C7E}" name="CZ06" dataDxfId="85">
      <calculatedColumnFormula>IFERROR(
    _xlfn.MINIFS(
        'Combined Runs'!$G:$G,
        'Combined Runs'!$B:$B, H$4,
        'Combined Runs'!$A:$A, "*" &amp; $B5 &amp; "&amp;0&amp;cPVVE&amp;Ex&amp;Chiller__PumpCtrl*"
    ),
    ""
)</calculatedColumnFormula>
    </tableColumn>
    <tableColumn id="8" xr3:uid="{BC472B7E-2923-4F99-AE56-E310A6610048}" name="CZ07" dataDxfId="84">
      <calculatedColumnFormula>IFERROR(
    _xlfn.MINIFS(
        'Combined Runs'!$G:$G,
        'Combined Runs'!$B:$B, I$4,
        'Combined Runs'!$A:$A, "*" &amp; $B5 &amp; "&amp;0&amp;cPVVE&amp;Ex&amp;Chiller__PumpCtrl*"
    ),
    ""
)</calculatedColumnFormula>
    </tableColumn>
    <tableColumn id="9" xr3:uid="{E5F3F165-4F98-49FC-9348-3675238FD866}" name="CZ08" dataDxfId="83">
      <calculatedColumnFormula>IFERROR(
    _xlfn.MINIFS(
        'Combined Runs'!$G:$G,
        'Combined Runs'!$B:$B, J$4,
        'Combined Runs'!$A:$A, "*" &amp; $B5 &amp; "&amp;0&amp;cPVVE&amp;Ex&amp;Chiller__PumpCtrl*"
    ),
    ""
)</calculatedColumnFormula>
    </tableColumn>
    <tableColumn id="10" xr3:uid="{FE6D781C-532B-44B6-A238-3C10B93CF25D}" name="CZ09" dataDxfId="82">
      <calculatedColumnFormula>IFERROR(
    _xlfn.MINIFS(
        'Combined Runs'!$G:$G,
        'Combined Runs'!$B:$B, K$4,
        'Combined Runs'!$A:$A, "*" &amp; $B5 &amp; "&amp;0&amp;cPVVE&amp;Ex&amp;Chiller__PumpCtrl*"
    ),
    ""
)</calculatedColumnFormula>
    </tableColumn>
    <tableColumn id="11" xr3:uid="{F0A8471C-E9A6-4F22-A533-6C0AA1169162}" name="CZ10" dataDxfId="81">
      <calculatedColumnFormula>IFERROR(
    _xlfn.MINIFS(
        'Combined Runs'!$G:$G,
        'Combined Runs'!$B:$B, L$4,
        'Combined Runs'!$A:$A, "*" &amp; $B5 &amp; "&amp;0&amp;cPVVE&amp;Ex&amp;Chiller__PumpCtrl*"
    ),
    ""
)</calculatedColumnFormula>
    </tableColumn>
    <tableColumn id="12" xr3:uid="{C2F370DF-DD31-4A41-9D1C-8E8C6B495801}" name="CZ11" dataDxfId="80">
      <calculatedColumnFormula>IFERROR(
    _xlfn.MINIFS(
        'Combined Runs'!$G:$G,
        'Combined Runs'!$B:$B, M$4,
        'Combined Runs'!$A:$A, "*" &amp; $B5 &amp; "&amp;0&amp;cPVVE&amp;Ex&amp;Chiller__PumpCtrl*"
    ),
    ""
)</calculatedColumnFormula>
    </tableColumn>
    <tableColumn id="13" xr3:uid="{200A80D3-9609-4854-A565-2F595200BD18}" name="CZ12" dataDxfId="79">
      <calculatedColumnFormula>IFERROR(
    _xlfn.MINIFS(
        'Combined Runs'!$G:$G,
        'Combined Runs'!$B:$B, N$4,
        'Combined Runs'!$A:$A, "*" &amp; $B5 &amp; "&amp;0&amp;cPVVE&amp;Ex&amp;Chiller__PumpCtrl*"
    ),
    ""
)</calculatedColumnFormula>
    </tableColumn>
    <tableColumn id="14" xr3:uid="{74DCA917-5FF4-48FF-85A6-2F655DD8AE31}" name="CZ13" dataDxfId="78">
      <calculatedColumnFormula>IFERROR(
    _xlfn.MINIFS(
        'Combined Runs'!$G:$G,
        'Combined Runs'!$B:$B, O$4,
        'Combined Runs'!$A:$A, "*" &amp; $B5 &amp; "&amp;0&amp;cPVVE&amp;Ex&amp;Chiller__PumpCtrl*"
    ),
    ""
)</calculatedColumnFormula>
    </tableColumn>
    <tableColumn id="15" xr3:uid="{3174DC37-31F6-4CB9-B882-F271937B7D60}" name="CZ14" dataDxfId="77">
      <calculatedColumnFormula>IFERROR(
    _xlfn.MINIFS(
        'Combined Runs'!$G:$G,
        'Combined Runs'!$B:$B, P$4,
        'Combined Runs'!$A:$A, "*" &amp; $B5 &amp; "&amp;0&amp;cPVVE&amp;Ex&amp;Chiller__PumpCtrl*"
    ),
    ""
)</calculatedColumnFormula>
    </tableColumn>
    <tableColumn id="16" xr3:uid="{20145457-B3A8-4969-946D-D50DF50ABABB}" name="CZ15" dataDxfId="76">
      <calculatedColumnFormula>IFERROR(
    _xlfn.MINIFS(
        'Combined Runs'!$G:$G,
        'Combined Runs'!$B:$B, Q$4,
        'Combined Runs'!$A:$A, "*" &amp; $B5 &amp; "&amp;0&amp;cPVVE&amp;Ex&amp;Chiller__PumpCtrl*"
    ),
    ""
)</calculatedColumnFormula>
    </tableColumn>
    <tableColumn id="17" xr3:uid="{B236861B-DF35-4B3E-A81F-FD628FF86BFB}" name="CZ16" dataDxfId="75">
      <calculatedColumnFormula>IFERROR(
    _xlfn.MINIFS(
        'Combined Runs'!$G:$G,
        'Combined Runs'!$B:$B, R$4,
        'Combined Runs'!$A:$A, "*" &amp; $B5 &amp; "&amp;0&amp;cPVVE&amp;Ex&amp;Chiller__PumpCtrl*"
    ),
    ""
)</calculatedColumnFormula>
    </tableColumn>
    <tableColumn id="18" xr3:uid="{E34E786F-60D9-4021-8482-B5B9ED94DA9D}" name="Min Across All CZ" dataDxfId="74">
      <calculatedColumnFormula>MIN(Table2[[#This Row],[CZ01]:[CZ16]])</calculatedColumnFormula>
    </tableColumn>
    <tableColumn id="20" xr3:uid="{1C64ED3D-0C87-45BD-93E7-4C17A0805A7D}" name="Average Across All CZ2" dataDxfId="73">
      <calculatedColumnFormula>AVERAGE(Table2[[#This Row],[CZ01]:[CZ16]])</calculatedColumnFormula>
    </tableColumn>
    <tableColumn id="21" xr3:uid="{870017D4-4C47-4BB2-BB6F-28904131F3FC}" name="Max  Across All CZ3" dataDxfId="72">
      <calculatedColumnFormula>MAX(Table2[[#This Row],[CZ01]:[CZ16]])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015F8F-1033-46D1-8FD5-C9857D2F0B71}" name="Table24" displayName="Table24" ref="B17:U26" totalsRowShown="0" headerRowDxfId="71" headerRowBorderDxfId="70" tableBorderDxfId="69" totalsRowBorderDxfId="68">
  <autoFilter ref="B17:U26" xr:uid="{7F015F8F-1033-46D1-8FD5-C9857D2F0B71}"/>
  <tableColumns count="20">
    <tableColumn id="1" xr3:uid="{ECE2DD8B-CA9E-4F6C-8352-5AD7CE77DF18}" name="Building Type" dataDxfId="67"/>
    <tableColumn id="2" xr3:uid="{0DEA6DCB-EA9C-4689-9E6D-8AE90ACD0CD3}" name="CZ01" dataDxfId="66">
      <calculatedColumnFormula>IFERROR(
    _xlfn.MINIFS(
        'Combined Runs'!$G:$G,
        'Combined Runs'!$B:$B, C$17,
        'Combined Runs'!$A:$A, "*" &amp; $B18 &amp; "&amp;0&amp;cPVVE&amp;New&amp;Chiller__PumpCtrl*"
    ),
    ""
)</calculatedColumnFormula>
    </tableColumn>
    <tableColumn id="3" xr3:uid="{4F404DC5-FD50-4F8B-9EA0-C91C7ABF8ECE}" name="CZ02" dataDxfId="65">
      <calculatedColumnFormula>IFERROR(
    _xlfn.MINIFS(
        'Combined Runs'!$G:$G,
        'Combined Runs'!$B:$B, D$17,
        'Combined Runs'!$A:$A, "*" &amp; $B18 &amp; "&amp;0&amp;cPVVE&amp;New&amp;Chiller__PumpCtrl*"
    ),
    ""
)</calculatedColumnFormula>
    </tableColumn>
    <tableColumn id="4" xr3:uid="{93F17E4B-2FA4-443E-9406-BE62FF05B5A0}" name="CZ03" dataDxfId="64">
      <calculatedColumnFormula>IFERROR(
    _xlfn.MINIFS(
        'Combined Runs'!$G:$G,
        'Combined Runs'!$B:$B, E$17,
        'Combined Runs'!$A:$A, "*" &amp; $B18 &amp; "&amp;0&amp;cPVVE&amp;New&amp;Chiller__PumpCtrl*"
    ),
    ""
)</calculatedColumnFormula>
    </tableColumn>
    <tableColumn id="5" xr3:uid="{81F888C9-EE62-4B43-A556-0EB40098C1DF}" name="CZ04" dataDxfId="63">
      <calculatedColumnFormula>IFERROR(
    _xlfn.MINIFS(
        'Combined Runs'!$G:$G,
        'Combined Runs'!$B:$B, F$17,
        'Combined Runs'!$A:$A, "*" &amp; $B18 &amp; "&amp;0&amp;cPVVE&amp;New&amp;Chiller__PumpCtrl*"
    ),
    ""
)</calculatedColumnFormula>
    </tableColumn>
    <tableColumn id="6" xr3:uid="{9D7835A2-43C2-4586-9904-69DF1689E1B1}" name="CZ05" dataDxfId="62">
      <calculatedColumnFormula>IFERROR(
    _xlfn.MINIFS(
        'Combined Runs'!$G:$G,
        'Combined Runs'!$B:$B, G$17,
        'Combined Runs'!$A:$A, "*" &amp; $B18 &amp; "&amp;0&amp;cPVVE&amp;New&amp;Chiller__PumpCtrl*"
    ),
    ""
)</calculatedColumnFormula>
    </tableColumn>
    <tableColumn id="7" xr3:uid="{B3299DAD-BAA9-4462-BF95-54C18D73A78E}" name="CZ06" dataDxfId="61">
      <calculatedColumnFormula>IFERROR(
    _xlfn.MINIFS(
        'Combined Runs'!$G:$G,
        'Combined Runs'!$B:$B, H$17,
        'Combined Runs'!$A:$A, "*" &amp; $B18 &amp; "&amp;0&amp;cPVVE&amp;New&amp;Chiller__PumpCtrl*"
    ),
    ""
)</calculatedColumnFormula>
    </tableColumn>
    <tableColumn id="8" xr3:uid="{912DB968-1706-4B56-9647-9C6AE1B295C0}" name="CZ07" dataDxfId="60">
      <calculatedColumnFormula>IFERROR(
    _xlfn.MINIFS(
        'Combined Runs'!$G:$G,
        'Combined Runs'!$B:$B, I$17,
        'Combined Runs'!$A:$A, "*" &amp; $B18 &amp; "&amp;0&amp;cPVVE&amp;New&amp;Chiller__PumpCtrl*"
    ),
    ""
)</calculatedColumnFormula>
    </tableColumn>
    <tableColumn id="9" xr3:uid="{2DC95FF2-A33A-4341-A906-0DB4AFCE17E4}" name="CZ08" dataDxfId="59">
      <calculatedColumnFormula>IFERROR(
    _xlfn.MINIFS(
        'Combined Runs'!$G:$G,
        'Combined Runs'!$B:$B, J$17,
        'Combined Runs'!$A:$A, "*" &amp; $B18 &amp; "&amp;0&amp;cPVVE&amp;New&amp;Chiller__PumpCtrl*"
    ),
    ""
)</calculatedColumnFormula>
    </tableColumn>
    <tableColumn id="10" xr3:uid="{787A44B1-01FF-4F57-9B80-3FD503C338B7}" name="CZ09" dataDxfId="58">
      <calculatedColumnFormula>IFERROR(
    _xlfn.MINIFS(
        'Combined Runs'!$G:$G,
        'Combined Runs'!$B:$B, K$17,
        'Combined Runs'!$A:$A, "*" &amp; $B18 &amp; "&amp;0&amp;cPVVE&amp;New&amp;Chiller__PumpCtrl*"
    ),
    ""
)</calculatedColumnFormula>
    </tableColumn>
    <tableColumn id="11" xr3:uid="{AF219561-335A-48B8-A2CD-813D54249FAF}" name="CZ10" dataDxfId="57">
      <calculatedColumnFormula>IFERROR(
    _xlfn.MINIFS(
        'Combined Runs'!$G:$G,
        'Combined Runs'!$B:$B, L$17,
        'Combined Runs'!$A:$A, "*" &amp; $B18 &amp; "&amp;0&amp;cPVVE&amp;New&amp;Chiller__PumpCtrl*"
    ),
    ""
)</calculatedColumnFormula>
    </tableColumn>
    <tableColumn id="12" xr3:uid="{1E09A285-4E9B-4FE1-A159-A187518D4EB0}" name="CZ11" dataDxfId="56">
      <calculatedColumnFormula>IFERROR(
    _xlfn.MINIFS(
        'Combined Runs'!$G:$G,
        'Combined Runs'!$B:$B, M$17,
        'Combined Runs'!$A:$A, "*" &amp; $B18 &amp; "&amp;0&amp;cPVVE&amp;New&amp;Chiller__PumpCtrl*"
    ),
    ""
)</calculatedColumnFormula>
    </tableColumn>
    <tableColumn id="13" xr3:uid="{DB08813C-67E3-40CC-B97B-B34778D58CE6}" name="CZ12" dataDxfId="55">
      <calculatedColumnFormula>IFERROR(
    _xlfn.MINIFS(
        'Combined Runs'!$G:$G,
        'Combined Runs'!$B:$B, N$17,
        'Combined Runs'!$A:$A, "*" &amp; $B18 &amp; "&amp;0&amp;cPVVE&amp;New&amp;Chiller__PumpCtrl*"
    ),
    ""
)</calculatedColumnFormula>
    </tableColumn>
    <tableColumn id="14" xr3:uid="{4D3E748F-78EE-4483-8E70-7ABBA0DF717C}" name="CZ13" dataDxfId="54">
      <calculatedColumnFormula>IFERROR(
    _xlfn.MINIFS(
        'Combined Runs'!$G:$G,
        'Combined Runs'!$B:$B, O$17,
        'Combined Runs'!$A:$A, "*" &amp; $B18 &amp; "&amp;0&amp;cPVVE&amp;New&amp;Chiller__PumpCtrl*"
    ),
    ""
)</calculatedColumnFormula>
    </tableColumn>
    <tableColumn id="15" xr3:uid="{DC764582-68C3-4CFD-B0C4-F6E625104D4D}" name="CZ14" dataDxfId="53">
      <calculatedColumnFormula>IFERROR(
    _xlfn.MINIFS(
        'Combined Runs'!$G:$G,
        'Combined Runs'!$B:$B, P$17,
        'Combined Runs'!$A:$A, "*" &amp; $B18 &amp; "&amp;0&amp;cPVVE&amp;New&amp;Chiller__PumpCtrl*"
    ),
    ""
)</calculatedColumnFormula>
    </tableColumn>
    <tableColumn id="16" xr3:uid="{3582859B-C690-4AC5-BD68-225767EF6633}" name="CZ15" dataDxfId="52">
      <calculatedColumnFormula>IFERROR(
    _xlfn.MINIFS(
        'Combined Runs'!$G:$G,
        'Combined Runs'!$B:$B, Q$17,
        'Combined Runs'!$A:$A, "*" &amp; $B18 &amp; "&amp;0&amp;cPVVE&amp;New&amp;Chiller__PumpCtrl*"
    ),
    ""
)</calculatedColumnFormula>
    </tableColumn>
    <tableColumn id="17" xr3:uid="{6AE68050-ECEF-4199-9960-F5D84FB50E76}" name="CZ16" dataDxfId="51">
      <calculatedColumnFormula>IFERROR(
    _xlfn.MINIFS(
        'Combined Runs'!$G:$G,
        'Combined Runs'!$B:$B, R$17,
        'Combined Runs'!$A:$A, "*" &amp; $B18 &amp; "&amp;0&amp;cPVVE&amp;New&amp;Chiller__PumpCtrl*"
    ),
    ""
)</calculatedColumnFormula>
    </tableColumn>
    <tableColumn id="18" xr3:uid="{73605BC6-6A9B-40CA-90CB-5A9C1A1DF55A}" name="Min Across All CZ" dataDxfId="50">
      <calculatedColumnFormula>MIN(Table24[[#This Row],[CZ01]:[CZ16]])</calculatedColumnFormula>
    </tableColumn>
    <tableColumn id="19" xr3:uid="{1A9E30D6-16DB-4FA8-A5ED-247B5FB4E382}" name="Average Across All CZ2" dataDxfId="49">
      <calculatedColumnFormula>AVERAGE(Table24[[#This Row],[CZ01]:[CZ16]])</calculatedColumnFormula>
    </tableColumn>
    <tableColumn id="20" xr3:uid="{9C388715-1434-4B61-BB0B-8D742CB925AB}" name="Max  Across All CZ3" dataDxfId="48">
      <calculatedColumnFormula>MAX(Table24[[#This Row],[CZ01]:[CZ16]])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0E2B70-AA24-45CB-868E-B7D7113817AD}" name="Table1" displayName="Table1" ref="B4:U13" totalsRowShown="0" headerRowDxfId="47" headerRowBorderDxfId="46" tableBorderDxfId="45" totalsRowBorderDxfId="44">
  <autoFilter ref="B4:U13" xr:uid="{860E2B70-AA24-45CB-868E-B7D7113817AD}"/>
  <tableColumns count="20">
    <tableColumn id="1" xr3:uid="{7E29C538-F8B4-4B31-87DB-6AB3CFFE8DBB}" name="Building Type" dataDxfId="43"/>
    <tableColumn id="2" xr3:uid="{6DB57D08-1CA2-4CC4-8C66-8ECC57937387}" name="CZ01" dataDxfId="42">
      <calculatedColumnFormula>'Design flow rate'!C5*0.7</calculatedColumnFormula>
    </tableColumn>
    <tableColumn id="3" xr3:uid="{0B0FBD3E-86A6-4B85-8E4D-4353F8F1CB1F}" name="CZ02" dataDxfId="41">
      <calculatedColumnFormula>'Design flow rate'!D5*0.7</calculatedColumnFormula>
    </tableColumn>
    <tableColumn id="4" xr3:uid="{DFE31609-512D-49D9-A37A-7BCE98BCA593}" name="CZ03" dataDxfId="40">
      <calculatedColumnFormula>'Design flow rate'!E5*0.7</calculatedColumnFormula>
    </tableColumn>
    <tableColumn id="5" xr3:uid="{CB5C876E-1F83-41C0-B2DC-E1E972842D7C}" name="CZ04" dataDxfId="39">
      <calculatedColumnFormula>'Design flow rate'!F5*0.7</calculatedColumnFormula>
    </tableColumn>
    <tableColumn id="6" xr3:uid="{018F98D7-CE3C-4BE8-99E8-476867A0D032}" name="CZ05" dataDxfId="38">
      <calculatedColumnFormula>'Design flow rate'!G5*0.7</calculatedColumnFormula>
    </tableColumn>
    <tableColumn id="7" xr3:uid="{68033441-F84E-435E-B6C0-E632CED09589}" name="CZ06" dataDxfId="37">
      <calculatedColumnFormula>'Design flow rate'!H5*0.7</calculatedColumnFormula>
    </tableColumn>
    <tableColumn id="8" xr3:uid="{741D76B9-F82E-4968-98F7-24DF9D39824E}" name="CZ07" dataDxfId="36">
      <calculatedColumnFormula>'Design flow rate'!I5*0.7</calculatedColumnFormula>
    </tableColumn>
    <tableColumn id="9" xr3:uid="{1C255D11-1184-4DEF-B24F-2875C898A90D}" name="CZ08" dataDxfId="35">
      <calculatedColumnFormula>'Design flow rate'!J5*0.7</calculatedColumnFormula>
    </tableColumn>
    <tableColumn id="10" xr3:uid="{DDB70ACF-14AA-4E57-B14E-11F7F515F71D}" name="CZ09" dataDxfId="34">
      <calculatedColumnFormula>'Design flow rate'!K5*0.7</calculatedColumnFormula>
    </tableColumn>
    <tableColumn id="11" xr3:uid="{A06E2CF3-82F7-4A8B-BCAF-B6A9D8C77E47}" name="CZ10" dataDxfId="33">
      <calculatedColumnFormula>'Design flow rate'!L5*0.7</calculatedColumnFormula>
    </tableColumn>
    <tableColumn id="12" xr3:uid="{90D59F60-D138-4826-A5FA-D33433C7FDB2}" name="CZ11" dataDxfId="32">
      <calculatedColumnFormula>'Design flow rate'!M5*0.7</calculatedColumnFormula>
    </tableColumn>
    <tableColumn id="13" xr3:uid="{0095AF9D-299D-4DF4-B2ED-504F57B78E98}" name="CZ12" dataDxfId="31">
      <calculatedColumnFormula>'Design flow rate'!N5*0.7</calculatedColumnFormula>
    </tableColumn>
    <tableColumn id="14" xr3:uid="{6F571005-1F94-4EBC-A074-2526374BAE8D}" name="CZ13" dataDxfId="30">
      <calculatedColumnFormula>'Design flow rate'!O5*0.7</calculatedColumnFormula>
    </tableColumn>
    <tableColumn id="15" xr3:uid="{BA546CF2-F132-4FD7-8C3B-1A279B12EE4F}" name="CZ14" dataDxfId="29">
      <calculatedColumnFormula>'Design flow rate'!P5*0.7</calculatedColumnFormula>
    </tableColumn>
    <tableColumn id="16" xr3:uid="{4D33CCB8-6E8C-4E08-9E8F-C8E2AC029665}" name="CZ15" dataDxfId="28">
      <calculatedColumnFormula>'Design flow rate'!Q5*0.7</calculatedColumnFormula>
    </tableColumn>
    <tableColumn id="17" xr3:uid="{076C8DED-4153-4839-BF28-26FDE057861A}" name="CZ16" dataDxfId="27">
      <calculatedColumnFormula>'Design flow rate'!R5*0.7</calculatedColumnFormula>
    </tableColumn>
    <tableColumn id="18" xr3:uid="{E280CBBA-C6FD-40E3-B065-DC98FC109C43}" name="Min Across All CZ" dataDxfId="26">
      <calculatedColumnFormula>'Design flow rate'!S5*0.7</calculatedColumnFormula>
    </tableColumn>
    <tableColumn id="19" xr3:uid="{4C571D75-6543-42BD-A8D8-143F7F1018CB}" name="Average Across All CZ2" dataDxfId="25">
      <calculatedColumnFormula>'Design flow rate'!T5*0.7</calculatedColumnFormula>
    </tableColumn>
    <tableColumn id="20" xr3:uid="{DFFD5F7C-DB6C-4F1F-B9E4-49C553233CE1}" name="Max  Across All CZ3" dataDxfId="24">
      <calculatedColumnFormula>'Design flow rate'!U5*0.7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3BF2CE-1EFC-4556-8007-D1BCAD79AE59}" name="Table15" displayName="Table15" ref="B17:U26" totalsRowShown="0" headerRowDxfId="23" headerRowBorderDxfId="22" tableBorderDxfId="21" totalsRowBorderDxfId="20">
  <autoFilter ref="B17:U26" xr:uid="{6E3BF2CE-1EFC-4556-8007-D1BCAD79AE59}"/>
  <tableColumns count="20">
    <tableColumn id="1" xr3:uid="{FFC851E8-81A9-4EDE-8969-96606DEABADB}" name="Building Type" dataDxfId="19"/>
    <tableColumn id="2" xr3:uid="{DB5691DF-29A8-4E83-B4F4-20CE1FAA2313}" name="CZ01" dataDxfId="18">
      <calculatedColumnFormula>'Design flow rate'!C18*0.7</calculatedColumnFormula>
    </tableColumn>
    <tableColumn id="3" xr3:uid="{9BD2A7D5-E2CD-4E93-B884-B7BE2E9DDEAF}" name="CZ02" dataDxfId="17">
      <calculatedColumnFormula>'Design flow rate'!D18*0.7</calculatedColumnFormula>
    </tableColumn>
    <tableColumn id="4" xr3:uid="{D3726F40-8DB5-4A31-96E1-0BC3C4A84E20}" name="CZ03" dataDxfId="16">
      <calculatedColumnFormula>'Design flow rate'!E18*0.7</calculatedColumnFormula>
    </tableColumn>
    <tableColumn id="5" xr3:uid="{214ACD3A-C536-4F35-AE8C-0E86952B7465}" name="CZ04" dataDxfId="15">
      <calculatedColumnFormula>'Design flow rate'!F18*0.7</calculatedColumnFormula>
    </tableColumn>
    <tableColumn id="6" xr3:uid="{62E3DC84-E3F7-4A54-8D95-4CB1DE262F12}" name="CZ05" dataDxfId="14">
      <calculatedColumnFormula>'Design flow rate'!G18*0.7</calculatedColumnFormula>
    </tableColumn>
    <tableColumn id="7" xr3:uid="{270E115C-7BF3-4387-B299-6B5346B2163F}" name="CZ06" dataDxfId="13">
      <calculatedColumnFormula>'Design flow rate'!H18*0.7</calculatedColumnFormula>
    </tableColumn>
    <tableColumn id="8" xr3:uid="{1239320E-CA27-4C26-B8FE-01F721B04283}" name="CZ07" dataDxfId="12">
      <calculatedColumnFormula>'Design flow rate'!I18*0.7</calculatedColumnFormula>
    </tableColumn>
    <tableColumn id="9" xr3:uid="{59E983A6-966F-4D8A-8717-C609C2A38B7A}" name="CZ08" dataDxfId="11">
      <calculatedColumnFormula>'Design flow rate'!J18*0.7</calculatedColumnFormula>
    </tableColumn>
    <tableColumn id="10" xr3:uid="{E3C67E61-902B-4979-B04E-654EC396D577}" name="CZ09" dataDxfId="10">
      <calculatedColumnFormula>'Design flow rate'!K18*0.7</calculatedColumnFormula>
    </tableColumn>
    <tableColumn id="11" xr3:uid="{3007FD2E-D2D9-4FC4-A6FB-98E30533AB81}" name="CZ10" dataDxfId="9">
      <calculatedColumnFormula>'Design flow rate'!L18*0.7</calculatedColumnFormula>
    </tableColumn>
    <tableColumn id="12" xr3:uid="{B18EEA8B-7B96-42DC-A21A-B503CD248A11}" name="CZ11" dataDxfId="8">
      <calculatedColumnFormula>'Design flow rate'!M18*0.7</calculatedColumnFormula>
    </tableColumn>
    <tableColumn id="13" xr3:uid="{04FAE884-E52D-4CB8-AEF3-9EE66DD4844E}" name="CZ12" dataDxfId="7">
      <calculatedColumnFormula>'Design flow rate'!N18*0.7</calculatedColumnFormula>
    </tableColumn>
    <tableColumn id="14" xr3:uid="{F4638744-FB8A-4EEE-BBFC-E5EB7C366723}" name="CZ13" dataDxfId="6">
      <calculatedColumnFormula>'Design flow rate'!O18*0.7</calculatedColumnFormula>
    </tableColumn>
    <tableColumn id="15" xr3:uid="{29EBE62A-7501-4576-B584-EF898ED13F70}" name="CZ14" dataDxfId="5">
      <calculatedColumnFormula>'Design flow rate'!P18*0.7</calculatedColumnFormula>
    </tableColumn>
    <tableColumn id="16" xr3:uid="{247439A6-0CEF-472D-9107-0571A527EA39}" name="CZ15" dataDxfId="4">
      <calculatedColumnFormula>'Design flow rate'!Q18*0.7</calculatedColumnFormula>
    </tableColumn>
    <tableColumn id="17" xr3:uid="{B9AE81A1-9258-44B5-8848-926A132312FC}" name="CZ16" dataDxfId="3">
      <calculatedColumnFormula>'Design flow rate'!R18*0.7</calculatedColumnFormula>
    </tableColumn>
    <tableColumn id="18" xr3:uid="{64FA2095-74A5-40FB-8747-E7FF0B5FE91B}" name="Min Across All CZ" dataDxfId="2">
      <calculatedColumnFormula>'Design flow rate'!S18*0.7</calculatedColumnFormula>
    </tableColumn>
    <tableColumn id="19" xr3:uid="{E37C81CD-E2AD-4D39-9E13-520BD29F890F}" name="Average Across All CZ2" dataDxfId="1">
      <calculatedColumnFormula>'Design flow rate'!T18*0.7</calculatedColumnFormula>
    </tableColumn>
    <tableColumn id="20" xr3:uid="{7ED94B75-F76A-4F7B-B6CD-2425E7F9B9FA}" name="Max  Across All CZ3" dataDxfId="0">
      <calculatedColumnFormula>'Design flow rate'!U18*0.7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1664D-C0DE-4113-BA95-74E4E46BC4C7}">
  <dimension ref="A1:W26"/>
  <sheetViews>
    <sheetView tabSelected="1" workbookViewId="0">
      <selection activeCell="B3" sqref="B3"/>
    </sheetView>
  </sheetViews>
  <sheetFormatPr defaultRowHeight="15" x14ac:dyDescent="0.25"/>
  <cols>
    <col min="2" max="2" width="26" bestFit="1" customWidth="1"/>
    <col min="19" max="19" width="22" customWidth="1"/>
    <col min="20" max="20" width="14.5703125" customWidth="1"/>
    <col min="21" max="21" width="17.140625" customWidth="1"/>
    <col min="22" max="22" width="12.85546875" bestFit="1" customWidth="1"/>
  </cols>
  <sheetData>
    <row r="1" spans="1:23" x14ac:dyDescent="0.25">
      <c r="A1" t="s">
        <v>1</v>
      </c>
      <c r="B1" s="1" t="s">
        <v>2</v>
      </c>
      <c r="V1" s="1" t="s">
        <v>648</v>
      </c>
      <c r="W1" s="1"/>
    </row>
    <row r="2" spans="1:23" x14ac:dyDescent="0.25">
      <c r="B2" s="1" t="s">
        <v>651</v>
      </c>
      <c r="V2" s="1"/>
      <c r="W2" s="1"/>
    </row>
    <row r="3" spans="1:23" x14ac:dyDescent="0.25">
      <c r="B3" t="s">
        <v>640</v>
      </c>
      <c r="S3" s="23" t="s">
        <v>33</v>
      </c>
      <c r="T3" s="23"/>
      <c r="U3" s="23"/>
      <c r="V3" s="1">
        <v>995</v>
      </c>
      <c r="W3" s="1" t="s">
        <v>643</v>
      </c>
    </row>
    <row r="4" spans="1:23" x14ac:dyDescent="0.25">
      <c r="B4" s="5" t="s">
        <v>0</v>
      </c>
      <c r="C4" s="6" t="s">
        <v>11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  <c r="L4" s="6" t="s">
        <v>20</v>
      </c>
      <c r="M4" s="6" t="s">
        <v>21</v>
      </c>
      <c r="N4" s="6" t="s">
        <v>22</v>
      </c>
      <c r="O4" s="6" t="s">
        <v>23</v>
      </c>
      <c r="P4" s="6" t="s">
        <v>24</v>
      </c>
      <c r="Q4" s="6" t="s">
        <v>25</v>
      </c>
      <c r="R4" s="7" t="s">
        <v>26</v>
      </c>
      <c r="S4" s="6" t="s">
        <v>642</v>
      </c>
      <c r="T4" s="6" t="s">
        <v>644</v>
      </c>
      <c r="U4" s="6" t="s">
        <v>645</v>
      </c>
    </row>
    <row r="5" spans="1:23" x14ac:dyDescent="0.25">
      <c r="B5" s="3" t="s">
        <v>3</v>
      </c>
      <c r="C5" s="2">
        <f>IFERROR(
    _xlfn.MINIFS(
        'Combined Runs'!$G:$G,
        'Combined Runs'!$B:$B, C$4,
        'Combined Runs'!$A:$A, "*" &amp; $B5 &amp; "&amp;0&amp;cPVVE&amp;Ex&amp;Chiller__PumpCtrl*"
    ),
    ""
)</f>
        <v>0.139982</v>
      </c>
      <c r="D5" s="2">
        <f>IFERROR(
    _xlfn.MINIFS(
        'Combined Runs'!$G:$G,
        'Combined Runs'!$B:$B, D$4,
        'Combined Runs'!$A:$A, "*" &amp; $B5 &amp; "&amp;0&amp;cPVVE&amp;Ex&amp;Chiller__PumpCtrl*"
    ),
    ""
)</f>
        <v>0.17999299999999999</v>
      </c>
      <c r="E5" s="2">
        <f>IFERROR(
    _xlfn.MINIFS(
        'Combined Runs'!$G:$G,
        'Combined Runs'!$B:$B, E$4,
        'Combined Runs'!$A:$A, "*" &amp; $B5 &amp; "&amp;0&amp;cPVVE&amp;Ex&amp;Chiller__PumpCtrl*"
    ),
    ""
)</f>
        <v>0.16917399999999999</v>
      </c>
      <c r="F5" s="2">
        <f>IFERROR(
    _xlfn.MINIFS(
        'Combined Runs'!$G:$G,
        'Combined Runs'!$B:$B, F$4,
        'Combined Runs'!$A:$A, "*" &amp; $B5 &amp; "&amp;0&amp;cPVVE&amp;Ex&amp;Chiller__PumpCtrl*"
    ),
    ""
)</f>
        <v>0.182252</v>
      </c>
      <c r="G5" s="2">
        <f>IFERROR(
    _xlfn.MINIFS(
        'Combined Runs'!$G:$G,
        'Combined Runs'!$B:$B, G$4,
        'Combined Runs'!$A:$A, "*" &amp; $B5 &amp; "&amp;0&amp;cPVVE&amp;Ex&amp;Chiller__PumpCtrl*"
    ),
    ""
)</f>
        <v>0.15990499999999999</v>
      </c>
      <c r="H5" s="2">
        <f>IFERROR(
    _xlfn.MINIFS(
        'Combined Runs'!$G:$G,
        'Combined Runs'!$B:$B, H$4,
        'Combined Runs'!$A:$A, "*" &amp; $B5 &amp; "&amp;0&amp;cPVVE&amp;Ex&amp;Chiller__PumpCtrl*"
    ),
    ""
)</f>
        <v>0.16672899999999999</v>
      </c>
      <c r="I5" s="2">
        <f>IFERROR(
    _xlfn.MINIFS(
        'Combined Runs'!$G:$G,
        'Combined Runs'!$B:$B, I$4,
        'Combined Runs'!$A:$A, "*" &amp; $B5 &amp; "&amp;0&amp;cPVVE&amp;Ex&amp;Chiller__PumpCtrl*"
    ),
    ""
)</f>
        <v>0.170988</v>
      </c>
      <c r="J5" s="2">
        <f>IFERROR(
    _xlfn.MINIFS(
        'Combined Runs'!$G:$G,
        'Combined Runs'!$B:$B, J$4,
        'Combined Runs'!$A:$A, "*" &amp; $B5 &amp; "&amp;0&amp;cPVVE&amp;Ex&amp;Chiller__PumpCtrl*"
    ),
    ""
)</f>
        <v>0.183533</v>
      </c>
      <c r="K5" s="2">
        <f>IFERROR(
    _xlfn.MINIFS(
        'Combined Runs'!$G:$G,
        'Combined Runs'!$B:$B, K$4,
        'Combined Runs'!$A:$A, "*" &amp; $B5 &amp; "&amp;0&amp;cPVVE&amp;Ex&amp;Chiller__PumpCtrl*"
    ),
    ""
)</f>
        <v>0.186054</v>
      </c>
      <c r="L5" s="2">
        <f>IFERROR(
    _xlfn.MINIFS(
        'Combined Runs'!$G:$G,
        'Combined Runs'!$B:$B, L$4,
        'Combined Runs'!$A:$A, "*" &amp; $B5 &amp; "&amp;0&amp;cPVVE&amp;Ex&amp;Chiller__PumpCtrl*"
    ),
    ""
)</f>
        <v>0.199597</v>
      </c>
      <c r="M5" s="2">
        <f>IFERROR(
    _xlfn.MINIFS(
        'Combined Runs'!$G:$G,
        'Combined Runs'!$B:$B, M$4,
        'Combined Runs'!$A:$A, "*" &amp; $B5 &amp; "&amp;0&amp;cPVVE&amp;Ex&amp;Chiller__PumpCtrl*"
    ),
    ""
)</f>
        <v>0.20177899999999999</v>
      </c>
      <c r="N5" s="2">
        <f>IFERROR(
    _xlfn.MINIFS(
        'Combined Runs'!$G:$G,
        'Combined Runs'!$B:$B, N$4,
        'Combined Runs'!$A:$A, "*" &amp; $B5 &amp; "&amp;0&amp;cPVVE&amp;Ex&amp;Chiller__PumpCtrl*"
    ),
    ""
)</f>
        <v>0.19683100000000001</v>
      </c>
      <c r="O5" s="2">
        <f>IFERROR(
    _xlfn.MINIFS(
        'Combined Runs'!$G:$G,
        'Combined Runs'!$B:$B, O$4,
        'Combined Runs'!$A:$A, "*" &amp; $B5 &amp; "&amp;0&amp;cPVVE&amp;Ex&amp;Chiller__PumpCtrl*"
    ),
    ""
)</f>
        <v>0.203123</v>
      </c>
      <c r="P5" s="2">
        <f>IFERROR(
    _xlfn.MINIFS(
        'Combined Runs'!$G:$G,
        'Combined Runs'!$B:$B, P$4,
        'Combined Runs'!$A:$A, "*" &amp; $B5 &amp; "&amp;0&amp;cPVVE&amp;Ex&amp;Chiller__PumpCtrl*"
    ),
    ""
)</f>
        <v>0.20268600000000001</v>
      </c>
      <c r="Q5" s="2">
        <f>IFERROR(
    _xlfn.MINIFS(
        'Combined Runs'!$G:$G,
        'Combined Runs'!$B:$B, Q$4,
        'Combined Runs'!$A:$A, "*" &amp; $B5 &amp; "&amp;0&amp;cPVVE&amp;Ex&amp;Chiller__PumpCtrl*"
    ),
    ""
)</f>
        <v>0.209815</v>
      </c>
      <c r="R5" s="2">
        <f>IFERROR(
    _xlfn.MINIFS(
        'Combined Runs'!$G:$G,
        'Combined Runs'!$B:$B, R$4,
        'Combined Runs'!$A:$A, "*" &amp; $B5 &amp; "&amp;0&amp;cPVVE&amp;Ex&amp;Chiller__PumpCtrl*"
    ),
    ""
)</f>
        <v>0.17796200000000001</v>
      </c>
      <c r="S5" s="6">
        <f>MIN(Table2[[#This Row],[CZ01]:[CZ16]])</f>
        <v>0.139982</v>
      </c>
      <c r="T5" s="6">
        <f>AVERAGE(Table2[[#This Row],[CZ01]:[CZ16]])</f>
        <v>0.18315018749999998</v>
      </c>
      <c r="U5" s="6">
        <f>MAX(Table2[[#This Row],[CZ01]:[CZ16]])</f>
        <v>0.209815</v>
      </c>
    </row>
    <row r="6" spans="1:23" x14ac:dyDescent="0.25">
      <c r="B6" s="3" t="s">
        <v>4</v>
      </c>
      <c r="C6" s="2">
        <f>IFERROR(
    _xlfn.MINIFS(
        'Combined Runs'!$G:$G,
        'Combined Runs'!$B:$B, C$4,
        'Combined Runs'!$A:$A, "*" &amp; $B6 &amp; "&amp;0&amp;cPVVE&amp;Ex&amp;Chiller__PumpCtrl*"
    ),
    ""
)</f>
        <v>2.3234999999999999E-2</v>
      </c>
      <c r="D6" s="2">
        <f>IFERROR(
    _xlfn.MINIFS(
        'Combined Runs'!$G:$G,
        'Combined Runs'!$B:$B, D$4,
        'Combined Runs'!$A:$A, "*" &amp; $B6 &amp; "&amp;0&amp;cPVVE&amp;Ex&amp;Chiller__PumpCtrl*"
    ),
    ""
)</f>
        <v>2.9836999999999999E-2</v>
      </c>
      <c r="E6" s="2">
        <f>IFERROR(
    _xlfn.MINIFS(
        'Combined Runs'!$G:$G,
        'Combined Runs'!$B:$B, E$4,
        'Combined Runs'!$A:$A, "*" &amp; $B6 &amp; "&amp;0&amp;cPVVE&amp;Ex&amp;Chiller__PumpCtrl*"
    ),
    ""
)</f>
        <v>2.8303999999999999E-2</v>
      </c>
      <c r="F6" s="2">
        <f>IFERROR(
    _xlfn.MINIFS(
        'Combined Runs'!$G:$G,
        'Combined Runs'!$B:$B, F$4,
        'Combined Runs'!$A:$A, "*" &amp; $B6 &amp; "&amp;0&amp;cPVVE&amp;Ex&amp;Chiller__PumpCtrl*"
    ),
    ""
)</f>
        <v>3.0299E-2</v>
      </c>
      <c r="G6" s="2">
        <f>IFERROR(
    _xlfn.MINIFS(
        'Combined Runs'!$G:$G,
        'Combined Runs'!$B:$B, G$4,
        'Combined Runs'!$A:$A, "*" &amp; $B6 &amp; "&amp;0&amp;cPVVE&amp;Ex&amp;Chiller__PumpCtrl*"
    ),
    ""
)</f>
        <v>2.6648000000000002E-2</v>
      </c>
      <c r="H6" s="2">
        <f>IFERROR(
    _xlfn.MINIFS(
        'Combined Runs'!$G:$G,
        'Combined Runs'!$B:$B, H$4,
        'Combined Runs'!$A:$A, "*" &amp; $B6 &amp; "&amp;0&amp;cPVVE&amp;Ex&amp;Chiller__PumpCtrl*"
    ),
    ""
)</f>
        <v>2.7890999999999999E-2</v>
      </c>
      <c r="I6" s="2">
        <f>IFERROR(
    _xlfn.MINIFS(
        'Combined Runs'!$G:$G,
        'Combined Runs'!$B:$B, I$4,
        'Combined Runs'!$A:$A, "*" &amp; $B6 &amp; "&amp;0&amp;cPVVE&amp;Ex&amp;Chiller__PumpCtrl*"
    ),
    ""
)</f>
        <v>2.8580999999999999E-2</v>
      </c>
      <c r="J6" s="2">
        <f>IFERROR(
    _xlfn.MINIFS(
        'Combined Runs'!$G:$G,
        'Combined Runs'!$B:$B, J$4,
        'Combined Runs'!$A:$A, "*" &amp; $B6 &amp; "&amp;0&amp;cPVVE&amp;Ex&amp;Chiller__PumpCtrl*"
    ),
    ""
)</f>
        <v>3.056E-2</v>
      </c>
      <c r="K6" s="2">
        <f>IFERROR(
    _xlfn.MINIFS(
        'Combined Runs'!$G:$G,
        'Combined Runs'!$B:$B, K$4,
        'Combined Runs'!$A:$A, "*" &amp; $B6 &amp; "&amp;0&amp;cPVVE&amp;Ex&amp;Chiller__PumpCtrl*"
    ),
    ""
)</f>
        <v>3.1379999999999998E-2</v>
      </c>
      <c r="L6" s="2">
        <f>IFERROR(
    _xlfn.MINIFS(
        'Combined Runs'!$G:$G,
        'Combined Runs'!$B:$B, L$4,
        'Combined Runs'!$A:$A, "*" &amp; $B6 &amp; "&amp;0&amp;cPVVE&amp;Ex&amp;Chiller__PumpCtrl*"
    ),
    ""
)</f>
        <v>3.2509000000000003E-2</v>
      </c>
      <c r="M6" s="2">
        <f>IFERROR(
    _xlfn.MINIFS(
        'Combined Runs'!$G:$G,
        'Combined Runs'!$B:$B, M$4,
        'Combined Runs'!$A:$A, "*" &amp; $B6 &amp; "&amp;0&amp;cPVVE&amp;Ex&amp;Chiller__PumpCtrl*"
    ),
    ""
)</f>
        <v>3.2988999999999997E-2</v>
      </c>
      <c r="N6" s="2">
        <f>IFERROR(
    _xlfn.MINIFS(
        'Combined Runs'!$G:$G,
        'Combined Runs'!$B:$B, N$4,
        'Combined Runs'!$A:$A, "*" &amp; $B6 &amp; "&amp;0&amp;cPVVE&amp;Ex&amp;Chiller__PumpCtrl*"
    ),
    ""
)</f>
        <v>3.1694E-2</v>
      </c>
      <c r="O6" s="2">
        <f>IFERROR(
    _xlfn.MINIFS(
        'Combined Runs'!$G:$G,
        'Combined Runs'!$B:$B, O$4,
        'Combined Runs'!$A:$A, "*" &amp; $B6 &amp; "&amp;0&amp;cPVVE&amp;Ex&amp;Chiller__PumpCtrl*"
    ),
    ""
)</f>
        <v>3.3064000000000003E-2</v>
      </c>
      <c r="P6" s="2">
        <f>IFERROR(
    _xlfn.MINIFS(
        'Combined Runs'!$G:$G,
        'Combined Runs'!$B:$B, P$4,
        'Combined Runs'!$A:$A, "*" &amp; $B6 &amp; "&amp;0&amp;cPVVE&amp;Ex&amp;Chiller__PumpCtrl*"
    ),
    ""
)</f>
        <v>3.2953999999999997E-2</v>
      </c>
      <c r="Q6" s="2">
        <f>IFERROR(
    _xlfn.MINIFS(
        'Combined Runs'!$G:$G,
        'Combined Runs'!$B:$B, Q$4,
        'Combined Runs'!$A:$A, "*" &amp; $B6 &amp; "&amp;0&amp;cPVVE&amp;Ex&amp;Chiller__PumpCtrl*"
    ),
    ""
)</f>
        <v>3.4018E-2</v>
      </c>
      <c r="R6" s="4">
        <f>IFERROR(
    _xlfn.MINIFS(
        'Combined Runs'!$G:$G,
        'Combined Runs'!$B:$B, R$4,
        'Combined Runs'!$A:$A, "*" &amp; $B6 &amp; "&amp;0&amp;cPVVE&amp;Ex&amp;Chiller__PumpCtrl*"
    ),
    ""
)</f>
        <v>2.8822E-2</v>
      </c>
      <c r="S6" s="2">
        <f>MIN(Table2[[#This Row],[CZ01]:[CZ16]])</f>
        <v>2.3234999999999999E-2</v>
      </c>
      <c r="T6" s="2">
        <f>AVERAGE(Table2[[#This Row],[CZ01]:[CZ16]])</f>
        <v>3.0174062499999998E-2</v>
      </c>
      <c r="U6" s="2">
        <f>MAX(Table2[[#This Row],[CZ01]:[CZ16]])</f>
        <v>3.4018E-2</v>
      </c>
    </row>
    <row r="7" spans="1:23" x14ac:dyDescent="0.25">
      <c r="B7" s="3" t="s">
        <v>5</v>
      </c>
      <c r="C7" s="2">
        <f>IFERROR(
    _xlfn.MINIFS(
        'Combined Runs'!$G:$G,
        'Combined Runs'!$B:$B, C$4,
        'Combined Runs'!$A:$A, "*" &amp; $B7 &amp; "&amp;0&amp;cPVVE&amp;Ex&amp;Chiller__PumpCtrl*"
    ),
    ""
)</f>
        <v>0.35826799999999998</v>
      </c>
      <c r="D7" s="2">
        <f>IFERROR(
    _xlfn.MINIFS(
        'Combined Runs'!$G:$G,
        'Combined Runs'!$B:$B, D$4,
        'Combined Runs'!$A:$A, "*" &amp; $B7 &amp; "&amp;0&amp;cPVVE&amp;Ex&amp;Chiller__PumpCtrl*"
    ),
    ""
)</f>
        <v>0.42491099999999998</v>
      </c>
      <c r="E7" s="2">
        <f>IFERROR(
    _xlfn.MINIFS(
        'Combined Runs'!$G:$G,
        'Combined Runs'!$B:$B, E$4,
        'Combined Runs'!$A:$A, "*" &amp; $B7 &amp; "&amp;0&amp;cPVVE&amp;Ex&amp;Chiller__PumpCtrl*"
    ),
    ""
)</f>
        <v>0.41103099999999998</v>
      </c>
      <c r="F7" s="2">
        <f>IFERROR(
    _xlfn.MINIFS(
        'Combined Runs'!$G:$G,
        'Combined Runs'!$B:$B, F$4,
        'Combined Runs'!$A:$A, "*" &amp; $B7 &amp; "&amp;0&amp;cPVVE&amp;Ex&amp;Chiller__PumpCtrl*"
    ),
    ""
)</f>
        <v>0.42887700000000001</v>
      </c>
      <c r="G7" s="2">
        <f>IFERROR(
    _xlfn.MINIFS(
        'Combined Runs'!$G:$G,
        'Combined Runs'!$B:$B, G$4,
        'Combined Runs'!$A:$A, "*" &amp; $B7 &amp; "&amp;0&amp;cPVVE&amp;Ex&amp;Chiller__PumpCtrl*"
    ),
    ""
)</f>
        <v>0.39022000000000001</v>
      </c>
      <c r="H7" s="2">
        <f>IFERROR(
    _xlfn.MINIFS(
        'Combined Runs'!$G:$G,
        'Combined Runs'!$B:$B, H$4,
        'Combined Runs'!$A:$A, "*" &amp; $B7 &amp; "&amp;0&amp;cPVVE&amp;Ex&amp;Chiller__PumpCtrl*"
    ),
    ""
)</f>
        <v>0.40231800000000001</v>
      </c>
      <c r="I7" s="2">
        <f>IFERROR(
    _xlfn.MINIFS(
        'Combined Runs'!$G:$G,
        'Combined Runs'!$B:$B, I$4,
        'Combined Runs'!$A:$A, "*" &amp; $B7 &amp; "&amp;0&amp;cPVVE&amp;Ex&amp;Chiller__PumpCtrl*"
    ),
    ""
)</f>
        <v>0.409715</v>
      </c>
      <c r="J7" s="2">
        <f>IFERROR(
    _xlfn.MINIFS(
        'Combined Runs'!$G:$G,
        'Combined Runs'!$B:$B, J$4,
        'Combined Runs'!$A:$A, "*" &amp; $B7 &amp; "&amp;0&amp;cPVVE&amp;Ex&amp;Chiller__PumpCtrl*"
    ),
    ""
)</f>
        <v>0.43177599999999999</v>
      </c>
      <c r="K7" s="2">
        <f>IFERROR(
    _xlfn.MINIFS(
        'Combined Runs'!$G:$G,
        'Combined Runs'!$B:$B, K$4,
        'Combined Runs'!$A:$A, "*" &amp; $B7 &amp; "&amp;0&amp;cPVVE&amp;Ex&amp;Chiller__PumpCtrl*"
    ),
    ""
)</f>
        <v>0.43871500000000002</v>
      </c>
      <c r="L7" s="2">
        <f>IFERROR(
    _xlfn.MINIFS(
        'Combined Runs'!$G:$G,
        'Combined Runs'!$B:$B, L$4,
        'Combined Runs'!$A:$A, "*" &amp; $B7 &amp; "&amp;0&amp;cPVVE&amp;Ex&amp;Chiller__PumpCtrl*"
    ),
    ""
)</f>
        <v>0.445301</v>
      </c>
      <c r="M7" s="2">
        <f>IFERROR(
    _xlfn.MINIFS(
        'Combined Runs'!$G:$G,
        'Combined Runs'!$B:$B, M$4,
        'Combined Runs'!$A:$A, "*" &amp; $B7 &amp; "&amp;0&amp;cPVVE&amp;Ex&amp;Chiller__PumpCtrl*"
    ),
    ""
)</f>
        <v>0.458148</v>
      </c>
      <c r="N7" s="2">
        <f>IFERROR(
    _xlfn.MINIFS(
        'Combined Runs'!$G:$G,
        'Combined Runs'!$B:$B, N$4,
        'Combined Runs'!$A:$A, "*" &amp; $B7 &amp; "&amp;0&amp;cPVVE&amp;Ex&amp;Chiller__PumpCtrl*"
    ),
    ""
)</f>
        <v>0.44756699999999999</v>
      </c>
      <c r="O7" s="2">
        <f>IFERROR(
    _xlfn.MINIFS(
        'Combined Runs'!$G:$G,
        'Combined Runs'!$B:$B, O$4,
        'Combined Runs'!$A:$A, "*" &amp; $B7 &amp; "&amp;0&amp;cPVVE&amp;Ex&amp;Chiller__PumpCtrl*"
    ),
    ""
)</f>
        <v>0.46046300000000001</v>
      </c>
      <c r="P7" s="2">
        <f>IFERROR(
    _xlfn.MINIFS(
        'Combined Runs'!$G:$G,
        'Combined Runs'!$B:$B, P$4,
        'Combined Runs'!$A:$A, "*" &amp; $B7 &amp; "&amp;0&amp;cPVVE&amp;Ex&amp;Chiller__PumpCtrl*"
    ),
    ""
)</f>
        <v>0.46065200000000001</v>
      </c>
      <c r="Q7" s="2">
        <f>IFERROR(
    _xlfn.MINIFS(
        'Combined Runs'!$G:$G,
        'Combined Runs'!$B:$B, Q$4,
        'Combined Runs'!$A:$A, "*" &amp; $B7 &amp; "&amp;0&amp;cPVVE&amp;Ex&amp;Chiller__PumpCtrl*"
    ),
    ""
)</f>
        <v>0.47101300000000001</v>
      </c>
      <c r="R7" s="4">
        <f>IFERROR(
    _xlfn.MINIFS(
        'Combined Runs'!$G:$G,
        'Combined Runs'!$B:$B, R$4,
        'Combined Runs'!$A:$A, "*" &amp; $B7 &amp; "&amp;0&amp;cPVVE&amp;Ex&amp;Chiller__PumpCtrl*"
    ),
    ""
)</f>
        <v>0.41778900000000002</v>
      </c>
      <c r="S7" s="2">
        <f>MIN(Table2[[#This Row],[CZ01]:[CZ16]])</f>
        <v>0.35826799999999998</v>
      </c>
      <c r="T7" s="2">
        <f>AVERAGE(Table2[[#This Row],[CZ01]:[CZ16]])</f>
        <v>0.42854775000000001</v>
      </c>
      <c r="U7" s="2">
        <f>MAX(Table2[[#This Row],[CZ01]:[CZ16]])</f>
        <v>0.47101300000000001</v>
      </c>
    </row>
    <row r="8" spans="1:23" x14ac:dyDescent="0.25">
      <c r="B8" s="3" t="s">
        <v>6</v>
      </c>
      <c r="C8" s="2">
        <f>IFERROR(
    _xlfn.MINIFS(
        'Combined Runs'!$G:$G,
        'Combined Runs'!$B:$B, C$4,
        'Combined Runs'!$A:$A, "*" &amp; $B8 &amp; "&amp;0&amp;cPVVE&amp;Ex&amp;Chiller__PumpCtrl*"
    ),
    ""
)</f>
        <v>0.16796900000000001</v>
      </c>
      <c r="D8" s="2">
        <f>IFERROR(
    _xlfn.MINIFS(
        'Combined Runs'!$G:$G,
        'Combined Runs'!$B:$B, D$4,
        'Combined Runs'!$A:$A, "*" &amp; $B8 &amp; "&amp;0&amp;cPVVE&amp;Ex&amp;Chiller__PumpCtrl*"
    ),
    ""
)</f>
        <v>0.20667099999999999</v>
      </c>
      <c r="E8" s="2">
        <f>IFERROR(
    _xlfn.MINIFS(
        'Combined Runs'!$G:$G,
        'Combined Runs'!$B:$B, E$4,
        'Combined Runs'!$A:$A, "*" &amp; $B8 &amp; "&amp;0&amp;cPVVE&amp;Ex&amp;Chiller__PumpCtrl*"
    ),
    ""
)</f>
        <v>0.19656199999999999</v>
      </c>
      <c r="F8" s="2">
        <f>IFERROR(
    _xlfn.MINIFS(
        'Combined Runs'!$G:$G,
        'Combined Runs'!$B:$B, F$4,
        'Combined Runs'!$A:$A, "*" &amp; $B8 &amp; "&amp;0&amp;cPVVE&amp;Ex&amp;Chiller__PumpCtrl*"
    ),
    ""
)</f>
        <v>0.20941899999999999</v>
      </c>
      <c r="G8" s="2">
        <f>IFERROR(
    _xlfn.MINIFS(
        'Combined Runs'!$G:$G,
        'Combined Runs'!$B:$B, G$4,
        'Combined Runs'!$A:$A, "*" &amp; $B8 &amp; "&amp;0&amp;cPVVE&amp;Ex&amp;Chiller__PumpCtrl*"
    ),
    ""
)</f>
        <v>0.189554</v>
      </c>
      <c r="H8" s="2">
        <f>IFERROR(
    _xlfn.MINIFS(
        'Combined Runs'!$G:$G,
        'Combined Runs'!$B:$B, H$4,
        'Combined Runs'!$A:$A, "*" &amp; $B8 &amp; "&amp;0&amp;cPVVE&amp;Ex&amp;Chiller__PumpCtrl*"
    ),
    ""
)</f>
        <v>0.19725200000000001</v>
      </c>
      <c r="I8" s="2">
        <f>IFERROR(
    _xlfn.MINIFS(
        'Combined Runs'!$G:$G,
        'Combined Runs'!$B:$B, I$4,
        'Combined Runs'!$A:$A, "*" &amp; $B8 &amp; "&amp;0&amp;cPVVE&amp;Ex&amp;Chiller__PumpCtrl*"
    ),
    ""
)</f>
        <v>0.20213800000000001</v>
      </c>
      <c r="J8" s="2">
        <f>IFERROR(
    _xlfn.MINIFS(
        'Combined Runs'!$G:$G,
        'Combined Runs'!$B:$B, J$4,
        'Combined Runs'!$A:$A, "*" &amp; $B8 &amp; "&amp;0&amp;cPVVE&amp;Ex&amp;Chiller__PumpCtrl*"
    ),
    ""
)</f>
        <v>0.21241599999999999</v>
      </c>
      <c r="K8" s="2">
        <f>IFERROR(
    _xlfn.MINIFS(
        'Combined Runs'!$G:$G,
        'Combined Runs'!$B:$B, K$4,
        'Combined Runs'!$A:$A, "*" &amp; $B8 &amp; "&amp;0&amp;cPVVE&amp;Ex&amp;Chiller__PumpCtrl*"
    ),
    ""
)</f>
        <v>0.21684600000000001</v>
      </c>
      <c r="L8" s="2">
        <f>IFERROR(
    _xlfn.MINIFS(
        'Combined Runs'!$G:$G,
        'Combined Runs'!$B:$B, L$4,
        'Combined Runs'!$A:$A, "*" &amp; $B8 &amp; "&amp;0&amp;cPVVE&amp;Ex&amp;Chiller__PumpCtrl*"
    ),
    ""
)</f>
        <v>0.23069700000000001</v>
      </c>
      <c r="M8" s="2">
        <f>IFERROR(
    _xlfn.MINIFS(
        'Combined Runs'!$G:$G,
        'Combined Runs'!$B:$B, M$4,
        'Combined Runs'!$A:$A, "*" &amp; $B8 &amp; "&amp;0&amp;cPVVE&amp;Ex&amp;Chiller__PumpCtrl*"
    ),
    ""
)</f>
        <v>0.22750600000000001</v>
      </c>
      <c r="N8" s="2">
        <f>IFERROR(
    _xlfn.MINIFS(
        'Combined Runs'!$G:$G,
        'Combined Runs'!$B:$B, N$4,
        'Combined Runs'!$A:$A, "*" &amp; $B8 &amp; "&amp;0&amp;cPVVE&amp;Ex&amp;Chiller__PumpCtrl*"
    ),
    ""
)</f>
        <v>0.222464</v>
      </c>
      <c r="O8" s="2">
        <f>IFERROR(
    _xlfn.MINIFS(
        'Combined Runs'!$G:$G,
        'Combined Runs'!$B:$B, O$4,
        'Combined Runs'!$A:$A, "*" &amp; $B8 &amp; "&amp;0&amp;cPVVE&amp;Ex&amp;Chiller__PumpCtrl*"
    ),
    ""
)</f>
        <v>0.229875</v>
      </c>
      <c r="P8" s="2">
        <f>IFERROR(
    _xlfn.MINIFS(
        'Combined Runs'!$G:$G,
        'Combined Runs'!$B:$B, P$4,
        'Combined Runs'!$A:$A, "*" &amp; $B8 &amp; "&amp;0&amp;cPVVE&amp;Ex&amp;Chiller__PumpCtrl*"
    ),
    ""
)</f>
        <v>0.228766</v>
      </c>
      <c r="Q8" s="2">
        <f>IFERROR(
    _xlfn.MINIFS(
        'Combined Runs'!$G:$G,
        'Combined Runs'!$B:$B, Q$4,
        'Combined Runs'!$A:$A, "*" &amp; $B8 &amp; "&amp;0&amp;cPVVE&amp;Ex&amp;Chiller__PumpCtrl*"
    ),
    ""
)</f>
        <v>0.23611499999999999</v>
      </c>
      <c r="R8" s="4">
        <f>IFERROR(
    _xlfn.MINIFS(
        'Combined Runs'!$G:$G,
        'Combined Runs'!$B:$B, R$4,
        'Combined Runs'!$A:$A, "*" &amp; $B8 &amp; "&amp;0&amp;cPVVE&amp;Ex&amp;Chiller__PumpCtrl*"
    ),
    ""
)</f>
        <v>0.20724899999999999</v>
      </c>
      <c r="S8" s="2">
        <f>MIN(Table2[[#This Row],[CZ01]:[CZ16]])</f>
        <v>0.16796900000000001</v>
      </c>
      <c r="T8" s="2">
        <f>AVERAGE(Table2[[#This Row],[CZ01]:[CZ16]])</f>
        <v>0.21134368749999996</v>
      </c>
      <c r="U8" s="2">
        <f>MAX(Table2[[#This Row],[CZ01]:[CZ16]])</f>
        <v>0.23611499999999999</v>
      </c>
    </row>
    <row r="9" spans="1:23" x14ac:dyDescent="0.25">
      <c r="B9" s="3" t="s">
        <v>7</v>
      </c>
      <c r="C9" s="2">
        <f>IFERROR(
    _xlfn.MINIFS(
        'Combined Runs'!$G:$G,
        'Combined Runs'!$B:$B, C$4,
        'Combined Runs'!$A:$A, "*" &amp; $B9 &amp; "&amp;0&amp;cPVVE&amp;Ex&amp;Chiller__PumpCtrl*"
    ),
    ""
)</f>
        <v>2.1413000000000001E-2</v>
      </c>
      <c r="D9" s="2">
        <f>IFERROR(
    _xlfn.MINIFS(
        'Combined Runs'!$G:$G,
        'Combined Runs'!$B:$B, D$4,
        'Combined Runs'!$A:$A, "*" &amp; $B9 &amp; "&amp;0&amp;cPVVE&amp;Ex&amp;Chiller__PumpCtrl*"
    ),
    ""
)</f>
        <v>2.7234000000000001E-2</v>
      </c>
      <c r="E9" s="2">
        <f>IFERROR(
    _xlfn.MINIFS(
        'Combined Runs'!$G:$G,
        'Combined Runs'!$B:$B, E$4,
        'Combined Runs'!$A:$A, "*" &amp; $B9 &amp; "&amp;0&amp;cPVVE&amp;Ex&amp;Chiller__PumpCtrl*"
    ),
    ""
)</f>
        <v>2.5770999999999999E-2</v>
      </c>
      <c r="F9" s="2">
        <f>IFERROR(
    _xlfn.MINIFS(
        'Combined Runs'!$G:$G,
        'Combined Runs'!$B:$B, F$4,
        'Combined Runs'!$A:$A, "*" &amp; $B9 &amp; "&amp;0&amp;cPVVE&amp;Ex&amp;Chiller__PumpCtrl*"
    ),
    ""
)</f>
        <v>2.7591000000000001E-2</v>
      </c>
      <c r="G9" s="2">
        <f>IFERROR(
    _xlfn.MINIFS(
        'Combined Runs'!$G:$G,
        'Combined Runs'!$B:$B, G$4,
        'Combined Runs'!$A:$A, "*" &amp; $B9 &amp; "&amp;0&amp;cPVVE&amp;Ex&amp;Chiller__PumpCtrl*"
    ),
    ""
)</f>
        <v>2.4223999999999999E-2</v>
      </c>
      <c r="H9" s="2">
        <f>IFERROR(
    _xlfn.MINIFS(
        'Combined Runs'!$G:$G,
        'Combined Runs'!$B:$B, H$4,
        'Combined Runs'!$A:$A, "*" &amp; $B9 &amp; "&amp;0&amp;cPVVE&amp;Ex&amp;Chiller__PumpCtrl*"
    ),
    ""
)</f>
        <v>2.5253999999999999E-2</v>
      </c>
      <c r="I9" s="2">
        <f>IFERROR(
    _xlfn.MINIFS(
        'Combined Runs'!$G:$G,
        'Combined Runs'!$B:$B, I$4,
        'Combined Runs'!$A:$A, "*" &amp; $B9 &amp; "&amp;0&amp;cPVVE&amp;Ex&amp;Chiller__PumpCtrl*"
    ),
    ""
)</f>
        <v>2.5727E-2</v>
      </c>
      <c r="J9" s="2">
        <f>IFERROR(
    _xlfn.MINIFS(
        'Combined Runs'!$G:$G,
        'Combined Runs'!$B:$B, J$4,
        'Combined Runs'!$A:$A, "*" &amp; $B9 &amp; "&amp;0&amp;cPVVE&amp;Ex&amp;Chiller__PumpCtrl*"
    ),
    ""
)</f>
        <v>2.7682999999999999E-2</v>
      </c>
      <c r="K9" s="2">
        <f>IFERROR(
    _xlfn.MINIFS(
        'Combined Runs'!$G:$G,
        'Combined Runs'!$B:$B, K$4,
        'Combined Runs'!$A:$A, "*" &amp; $B9 &amp; "&amp;0&amp;cPVVE&amp;Ex&amp;Chiller__PumpCtrl*"
    ),
    ""
)</f>
        <v>2.7879999999999999E-2</v>
      </c>
      <c r="L9" s="2">
        <f>IFERROR(
    _xlfn.MINIFS(
        'Combined Runs'!$G:$G,
        'Combined Runs'!$B:$B, L$4,
        'Combined Runs'!$A:$A, "*" &amp; $B9 &amp; "&amp;0&amp;cPVVE&amp;Ex&amp;Chiller__PumpCtrl*"
    ),
    ""
)</f>
        <v>2.9388999999999998E-2</v>
      </c>
      <c r="M9" s="2">
        <f>IFERROR(
    _xlfn.MINIFS(
        'Combined Runs'!$G:$G,
        'Combined Runs'!$B:$B, M$4,
        'Combined Runs'!$A:$A, "*" &amp; $B9 &amp; "&amp;0&amp;cPVVE&amp;Ex&amp;Chiller__PumpCtrl*"
    ),
    ""
)</f>
        <v>3.0311000000000001E-2</v>
      </c>
      <c r="N9" s="2">
        <f>IFERROR(
    _xlfn.MINIFS(
        'Combined Runs'!$G:$G,
        'Combined Runs'!$B:$B, N$4,
        'Combined Runs'!$A:$A, "*" &amp; $B9 &amp; "&amp;0&amp;cPVVE&amp;Ex&amp;Chiller__PumpCtrl*"
    ),
    ""
)</f>
        <v>2.9225999999999999E-2</v>
      </c>
      <c r="O9" s="2">
        <f>IFERROR(
    _xlfn.MINIFS(
        'Combined Runs'!$G:$G,
        'Combined Runs'!$B:$B, O$4,
        'Combined Runs'!$A:$A, "*" &amp; $B9 &amp; "&amp;0&amp;cPVVE&amp;Ex&amp;Chiller__PumpCtrl*"
    ),
    ""
)</f>
        <v>3.0408000000000001E-2</v>
      </c>
      <c r="P9" s="2">
        <f>IFERROR(
    _xlfn.MINIFS(
        'Combined Runs'!$G:$G,
        'Combined Runs'!$B:$B, P$4,
        'Combined Runs'!$A:$A, "*" &amp; $B9 &amp; "&amp;0&amp;cPVVE&amp;Ex&amp;Chiller__PumpCtrl*"
    ),
    ""
)</f>
        <v>3.0594E-2</v>
      </c>
      <c r="Q9" s="2">
        <f>IFERROR(
    _xlfn.MINIFS(
        'Combined Runs'!$G:$G,
        'Combined Runs'!$B:$B, Q$4,
        'Combined Runs'!$A:$A, "*" &amp; $B9 &amp; "&amp;0&amp;cPVVE&amp;Ex&amp;Chiller__PumpCtrl*"
    ),
    ""
)</f>
        <v>3.1351999999999998E-2</v>
      </c>
      <c r="R9" s="4">
        <f>IFERROR(
    _xlfn.MINIFS(
        'Combined Runs'!$G:$G,
        'Combined Runs'!$B:$B, R$4,
        'Combined Runs'!$A:$A, "*" &amp; $B9 &amp; "&amp;0&amp;cPVVE&amp;Ex&amp;Chiller__PumpCtrl*"
    ),
    ""
)</f>
        <v>2.6835999999999999E-2</v>
      </c>
      <c r="S9" s="2">
        <f>MIN(Table2[[#This Row],[CZ01]:[CZ16]])</f>
        <v>2.1413000000000001E-2</v>
      </c>
      <c r="T9" s="2">
        <f>AVERAGE(Table2[[#This Row],[CZ01]:[CZ16]])</f>
        <v>2.7555812499999999E-2</v>
      </c>
      <c r="U9" s="2">
        <f>MAX(Table2[[#This Row],[CZ01]:[CZ16]])</f>
        <v>3.1351999999999998E-2</v>
      </c>
    </row>
    <row r="10" spans="1:23" x14ac:dyDescent="0.25">
      <c r="B10" s="3" t="s">
        <v>8</v>
      </c>
      <c r="C10" s="2">
        <f>IFERROR(
    _xlfn.MINIFS(
        'Combined Runs'!$G:$G,
        'Combined Runs'!$B:$B, C$4,
        'Combined Runs'!$A:$A, "*" &amp; $B10 &amp; "&amp;0&amp;cPVVE&amp;Ex&amp;Chiller__PumpCtrl*"
    ),
    ""
)</f>
        <v>0.13852</v>
      </c>
      <c r="D10" s="2">
        <f>IFERROR(
    _xlfn.MINIFS(
        'Combined Runs'!$G:$G,
        'Combined Runs'!$B:$B, D$4,
        'Combined Runs'!$A:$A, "*" &amp; $B10 &amp; "&amp;0&amp;cPVVE&amp;Ex&amp;Chiller__PumpCtrl*"
    ),
    ""
)</f>
        <v>0.17260600000000001</v>
      </c>
      <c r="E10" s="2">
        <f>IFERROR(
    _xlfn.MINIFS(
        'Combined Runs'!$G:$G,
        'Combined Runs'!$B:$B, E$4,
        'Combined Runs'!$A:$A, "*" &amp; $B10 &amp; "&amp;0&amp;cPVVE&amp;Ex&amp;Chiller__PumpCtrl*"
    ),
    ""
)</f>
        <v>0.163161</v>
      </c>
      <c r="F10" s="2">
        <f>IFERROR(
    _xlfn.MINIFS(
        'Combined Runs'!$G:$G,
        'Combined Runs'!$B:$B, F$4,
        'Combined Runs'!$A:$A, "*" &amp; $B10 &amp; "&amp;0&amp;cPVVE&amp;Ex&amp;Chiller__PumpCtrl*"
    ),
    ""
)</f>
        <v>0.17377799999999999</v>
      </c>
      <c r="G10" s="2">
        <f>IFERROR(
    _xlfn.MINIFS(
        'Combined Runs'!$G:$G,
        'Combined Runs'!$B:$B, G$4,
        'Combined Runs'!$A:$A, "*" &amp; $B10 &amp; "&amp;0&amp;cPVVE&amp;Ex&amp;Chiller__PumpCtrl*"
    ),
    ""
)</f>
        <v>0.15770700000000001</v>
      </c>
      <c r="H10" s="2">
        <f>IFERROR(
    _xlfn.MINIFS(
        'Combined Runs'!$G:$G,
        'Combined Runs'!$B:$B, H$4,
        'Combined Runs'!$A:$A, "*" &amp; $B10 &amp; "&amp;0&amp;cPVVE&amp;Ex&amp;Chiller__PumpCtrl*"
    ),
    ""
)</f>
        <v>0.15958</v>
      </c>
      <c r="I10" s="2">
        <f>IFERROR(
    _xlfn.MINIFS(
        'Combined Runs'!$G:$G,
        'Combined Runs'!$B:$B, I$4,
        'Combined Runs'!$A:$A, "*" &amp; $B10 &amp; "&amp;0&amp;cPVVE&amp;Ex&amp;Chiller__PumpCtrl*"
    ),
    ""
)</f>
        <v>0.16061</v>
      </c>
      <c r="J10" s="2">
        <f>IFERROR(
    _xlfn.MINIFS(
        'Combined Runs'!$G:$G,
        'Combined Runs'!$B:$B, J$4,
        'Combined Runs'!$A:$A, "*" &amp; $B10 &amp; "&amp;0&amp;cPVVE&amp;Ex&amp;Chiller__PumpCtrl*"
    ),
    ""
)</f>
        <v>0.172795</v>
      </c>
      <c r="K10" s="2">
        <f>IFERROR(
    _xlfn.MINIFS(
        'Combined Runs'!$G:$G,
        'Combined Runs'!$B:$B, K$4,
        'Combined Runs'!$A:$A, "*" &amp; $B10 &amp; "&amp;0&amp;cPVVE&amp;Ex&amp;Chiller__PumpCtrl*"
    ),
    ""
)</f>
        <v>0.176593</v>
      </c>
      <c r="L10" s="2">
        <f>IFERROR(
    _xlfn.MINIFS(
        'Combined Runs'!$G:$G,
        'Combined Runs'!$B:$B, L$4,
        'Combined Runs'!$A:$A, "*" &amp; $B10 &amp; "&amp;0&amp;cPVVE&amp;Ex&amp;Chiller__PumpCtrl*"
    ),
    ""
)</f>
        <v>0.17672499999999999</v>
      </c>
      <c r="M10" s="2">
        <f>IFERROR(
    _xlfn.MINIFS(
        'Combined Runs'!$G:$G,
        'Combined Runs'!$B:$B, M$4,
        'Combined Runs'!$A:$A, "*" &amp; $B10 &amp; "&amp;0&amp;cPVVE&amp;Ex&amp;Chiller__PumpCtrl*"
    ),
    ""
)</f>
        <v>0.186832</v>
      </c>
      <c r="N10" s="2">
        <f>IFERROR(
    _xlfn.MINIFS(
        'Combined Runs'!$G:$G,
        'Combined Runs'!$B:$B, N$4,
        'Combined Runs'!$A:$A, "*" &amp; $B10 &amp; "&amp;0&amp;cPVVE&amp;Ex&amp;Chiller__PumpCtrl*"
    ),
    ""
)</f>
        <v>0.18038599999999999</v>
      </c>
      <c r="O10" s="2">
        <f>IFERROR(
    _xlfn.MINIFS(
        'Combined Runs'!$G:$G,
        'Combined Runs'!$B:$B, O$4,
        'Combined Runs'!$A:$A, "*" &amp; $B10 &amp; "&amp;0&amp;cPVVE&amp;Ex&amp;Chiller__PumpCtrl*"
    ),
    ""
)</f>
        <v>0.184673</v>
      </c>
      <c r="P10" s="2">
        <f>IFERROR(
    _xlfn.MINIFS(
        'Combined Runs'!$G:$G,
        'Combined Runs'!$B:$B, P$4,
        'Combined Runs'!$A:$A, "*" &amp; $B10 &amp; "&amp;0&amp;cPVVE&amp;Ex&amp;Chiller__PumpCtrl*"
    ),
    ""
)</f>
        <v>0.187807</v>
      </c>
      <c r="Q10" s="2">
        <f>IFERROR(
    _xlfn.MINIFS(
        'Combined Runs'!$G:$G,
        'Combined Runs'!$B:$B, Q$4,
        'Combined Runs'!$A:$A, "*" &amp; $B10 &amp; "&amp;0&amp;cPVVE&amp;Ex&amp;Chiller__PumpCtrl*"
    ),
    ""
)</f>
        <v>0.18993199999999999</v>
      </c>
      <c r="R10" s="4">
        <f>IFERROR(
    _xlfn.MINIFS(
        'Combined Runs'!$G:$G,
        'Combined Runs'!$B:$B, R$4,
        'Combined Runs'!$A:$A, "*" &amp; $B10 &amp; "&amp;0&amp;cPVVE&amp;Ex&amp;Chiller__PumpCtrl*"
    ),
    ""
)</f>
        <v>0.17327000000000001</v>
      </c>
      <c r="S10" s="2">
        <f>MIN(Table2[[#This Row],[CZ01]:[CZ16]])</f>
        <v>0.13852</v>
      </c>
      <c r="T10" s="2">
        <f>AVERAGE(Table2[[#This Row],[CZ01]:[CZ16]])</f>
        <v>0.17218593749999997</v>
      </c>
      <c r="U10" s="2">
        <f>MAX(Table2[[#This Row],[CZ01]:[CZ16]])</f>
        <v>0.18993199999999999</v>
      </c>
    </row>
    <row r="11" spans="1:23" x14ac:dyDescent="0.25">
      <c r="B11" s="3" t="s">
        <v>9</v>
      </c>
      <c r="C11" s="2">
        <f>IFERROR(
    _xlfn.MINIFS(
        'Combined Runs'!$G:$G,
        'Combined Runs'!$B:$B, C$4,
        'Combined Runs'!$A:$A, "*" &amp; $B11 &amp; "&amp;0&amp;cPVVE&amp;Ex&amp;Chiller__PumpCtrl*"
    ),
    ""
)</f>
        <v>1.0408000000000001E-2</v>
      </c>
      <c r="D11" s="2">
        <f>IFERROR(
    _xlfn.MINIFS(
        'Combined Runs'!$G:$G,
        'Combined Runs'!$B:$B, D$4,
        'Combined Runs'!$A:$A, "*" &amp; $B11 &amp; "&amp;0&amp;cPVVE&amp;Ex&amp;Chiller__PumpCtrl*"
    ),
    ""
)</f>
        <v>1.2959999999999999E-2</v>
      </c>
      <c r="E11" s="2">
        <f>IFERROR(
    _xlfn.MINIFS(
        'Combined Runs'!$G:$G,
        'Combined Runs'!$B:$B, E$4,
        'Combined Runs'!$A:$A, "*" &amp; $B11 &amp; "&amp;0&amp;cPVVE&amp;Ex&amp;Chiller__PumpCtrl*"
    ),
    ""
)</f>
        <v>1.2449E-2</v>
      </c>
      <c r="F11" s="2">
        <f>IFERROR(
    _xlfn.MINIFS(
        'Combined Runs'!$G:$G,
        'Combined Runs'!$B:$B, F$4,
        'Combined Runs'!$A:$A, "*" &amp; $B11 &amp; "&amp;0&amp;cPVVE&amp;Ex&amp;Chiller__PumpCtrl*"
    ),
    ""
)</f>
        <v>1.3129E-2</v>
      </c>
      <c r="G11" s="2">
        <f>IFERROR(
    _xlfn.MINIFS(
        'Combined Runs'!$G:$G,
        'Combined Runs'!$B:$B, G$4,
        'Combined Runs'!$A:$A, "*" &amp; $B11 &amp; "&amp;0&amp;cPVVE&amp;Ex&amp;Chiller__PumpCtrl*"
    ),
    ""
)</f>
        <v>1.1868E-2</v>
      </c>
      <c r="H11" s="2">
        <f>IFERROR(
    _xlfn.MINIFS(
        'Combined Runs'!$G:$G,
        'Combined Runs'!$B:$B, H$4,
        'Combined Runs'!$A:$A, "*" &amp; $B11 &amp; "&amp;0&amp;cPVVE&amp;Ex&amp;Chiller__PumpCtrl*"
    ),
    ""
)</f>
        <v>1.2127000000000001E-2</v>
      </c>
      <c r="I11" s="2">
        <f>IFERROR(
    _xlfn.MINIFS(
        'Combined Runs'!$G:$G,
        'Combined Runs'!$B:$B, I$4,
        'Combined Runs'!$A:$A, "*" &amp; $B11 &amp; "&amp;0&amp;cPVVE&amp;Ex&amp;Chiller__PumpCtrl*"
    ),
    ""
)</f>
        <v>1.2135E-2</v>
      </c>
      <c r="J11" s="2">
        <f>IFERROR(
    _xlfn.MINIFS(
        'Combined Runs'!$G:$G,
        'Combined Runs'!$B:$B, J$4,
        'Combined Runs'!$A:$A, "*" &amp; $B11 &amp; "&amp;0&amp;cPVVE&amp;Ex&amp;Chiller__PumpCtrl*"
    ),
    ""
)</f>
        <v>1.3076000000000001E-2</v>
      </c>
      <c r="K11" s="2">
        <f>IFERROR(
    _xlfn.MINIFS(
        'Combined Runs'!$G:$G,
        'Combined Runs'!$B:$B, K$4,
        'Combined Runs'!$A:$A, "*" &amp; $B11 &amp; "&amp;0&amp;cPVVE&amp;Ex&amp;Chiller__PumpCtrl*"
    ),
    ""
)</f>
        <v>1.3679999999999999E-2</v>
      </c>
      <c r="L11" s="2">
        <f>IFERROR(
    _xlfn.MINIFS(
        'Combined Runs'!$G:$G,
        'Combined Runs'!$B:$B, L$4,
        'Combined Runs'!$A:$A, "*" &amp; $B11 &amp; "&amp;0&amp;cPVVE&amp;Ex&amp;Chiller__PumpCtrl*"
    ),
    ""
)</f>
        <v>1.2827E-2</v>
      </c>
      <c r="M11" s="2">
        <f>IFERROR(
    _xlfn.MINIFS(
        'Combined Runs'!$G:$G,
        'Combined Runs'!$B:$B, M$4,
        'Combined Runs'!$A:$A, "*" &amp; $B11 &amp; "&amp;0&amp;cPVVE&amp;Ex&amp;Chiller__PumpCtrl*"
    ),
    ""
)</f>
        <v>1.4156999999999999E-2</v>
      </c>
      <c r="N11" s="2">
        <f>IFERROR(
    _xlfn.MINIFS(
        'Combined Runs'!$G:$G,
        'Combined Runs'!$B:$B, N$4,
        'Combined Runs'!$A:$A, "*" &amp; $B11 &amp; "&amp;0&amp;cPVVE&amp;Ex&amp;Chiller__PumpCtrl*"
    ),
    ""
)</f>
        <v>1.3259999999999999E-2</v>
      </c>
      <c r="O11" s="2">
        <f>IFERROR(
    _xlfn.MINIFS(
        'Combined Runs'!$G:$G,
        'Combined Runs'!$B:$B, O$4,
        'Combined Runs'!$A:$A, "*" &amp; $B11 &amp; "&amp;0&amp;cPVVE&amp;Ex&amp;Chiller__PumpCtrl*"
    ),
    ""
)</f>
        <v>1.3761000000000001E-2</v>
      </c>
      <c r="P11" s="2">
        <f>IFERROR(
    _xlfn.MINIFS(
        'Combined Runs'!$G:$G,
        'Combined Runs'!$B:$B, P$4,
        'Combined Runs'!$A:$A, "*" &amp; $B11 &amp; "&amp;0&amp;cPVVE&amp;Ex&amp;Chiller__PumpCtrl*"
    ),
    ""
)</f>
        <v>1.4047E-2</v>
      </c>
      <c r="Q11" s="2">
        <f>IFERROR(
    _xlfn.MINIFS(
        'Combined Runs'!$G:$G,
        'Combined Runs'!$B:$B, Q$4,
        'Combined Runs'!$A:$A, "*" &amp; $B11 &amp; "&amp;0&amp;cPVVE&amp;Ex&amp;Chiller__PumpCtrl*"
    ),
    ""
)</f>
        <v>1.4126E-2</v>
      </c>
      <c r="R11" s="4">
        <f>IFERROR(
    _xlfn.MINIFS(
        'Combined Runs'!$G:$G,
        'Combined Runs'!$B:$B, R$4,
        'Combined Runs'!$A:$A, "*" &amp; $B11 &amp; "&amp;0&amp;cPVVE&amp;Ex&amp;Chiller__PumpCtrl*"
    ),
    ""
)</f>
        <v>1.2971999999999999E-2</v>
      </c>
      <c r="S11" s="2">
        <f>MIN(Table2[[#This Row],[CZ01]:[CZ16]])</f>
        <v>1.0408000000000001E-2</v>
      </c>
      <c r="T11" s="2">
        <f>AVERAGE(Table2[[#This Row],[CZ01]:[CZ16]])</f>
        <v>1.2936375000000002E-2</v>
      </c>
      <c r="U11" s="2">
        <f>MAX(Table2[[#This Row],[CZ01]:[CZ16]])</f>
        <v>1.4156999999999999E-2</v>
      </c>
    </row>
    <row r="12" spans="1:23" x14ac:dyDescent="0.25">
      <c r="B12" s="8" t="s">
        <v>10</v>
      </c>
      <c r="C12" s="9">
        <f>IFERROR(
    _xlfn.MINIFS(
        'Combined Runs'!$G:$G,
        'Combined Runs'!$B:$B, C$4,
        'Combined Runs'!$A:$A, "*" &amp; $B12 &amp; "&amp;0&amp;cPVVE&amp;Ex&amp;Chiller__PumpCtrl*"
    ),
    ""
)</f>
        <v>9.1895000000000004E-2</v>
      </c>
      <c r="D12" s="9">
        <f>IFERROR(
    _xlfn.MINIFS(
        'Combined Runs'!$G:$G,
        'Combined Runs'!$B:$B, D$4,
        'Combined Runs'!$A:$A, "*" &amp; $B12 &amp; "&amp;0&amp;cPVVE&amp;Ex&amp;Chiller__PumpCtrl*"
    ),
    ""
)</f>
        <v>0.122211</v>
      </c>
      <c r="E12" s="9">
        <f>IFERROR(
    _xlfn.MINIFS(
        'Combined Runs'!$G:$G,
        'Combined Runs'!$B:$B, E$4,
        'Combined Runs'!$A:$A, "*" &amp; $B12 &amp; "&amp;0&amp;cPVVE&amp;Ex&amp;Chiller__PumpCtrl*"
    ),
    ""
)</f>
        <v>0.115581</v>
      </c>
      <c r="F12" s="9">
        <f>IFERROR(
    _xlfn.MINIFS(
        'Combined Runs'!$G:$G,
        'Combined Runs'!$B:$B, F$4,
        'Combined Runs'!$A:$A, "*" &amp; $B12 &amp; "&amp;0&amp;cPVVE&amp;Ex&amp;Chiller__PumpCtrl*"
    ),
    ""
)</f>
        <v>0.12519</v>
      </c>
      <c r="G12" s="9">
        <f>IFERROR(
    _xlfn.MINIFS(
        'Combined Runs'!$G:$G,
        'Combined Runs'!$B:$B, G$4,
        'Combined Runs'!$A:$A, "*" &amp; $B12 &amp; "&amp;0&amp;cPVVE&amp;Ex&amp;Chiller__PumpCtrl*"
    ),
    ""
)</f>
        <v>0.10995099999999999</v>
      </c>
      <c r="H12" s="9">
        <f>IFERROR(
    _xlfn.MINIFS(
        'Combined Runs'!$G:$G,
        'Combined Runs'!$B:$B, H$4,
        'Combined Runs'!$A:$A, "*" &amp; $B12 &amp; "&amp;0&amp;cPVVE&amp;Ex&amp;Chiller__PumpCtrl*"
    ),
    ""
)</f>
        <v>0.117493</v>
      </c>
      <c r="I12" s="9">
        <f>IFERROR(
    _xlfn.MINIFS(
        'Combined Runs'!$G:$G,
        'Combined Runs'!$B:$B, I$4,
        'Combined Runs'!$A:$A, "*" &amp; $B12 &amp; "&amp;0&amp;cPVVE&amp;Ex&amp;Chiller__PumpCtrl*"
    ),
    ""
)</f>
        <v>0.122761</v>
      </c>
      <c r="J12" s="9">
        <f>IFERROR(
    _xlfn.MINIFS(
        'Combined Runs'!$G:$G,
        'Combined Runs'!$B:$B, J$4,
        'Combined Runs'!$A:$A, "*" &amp; $B12 &amp; "&amp;0&amp;cPVVE&amp;Ex&amp;Chiller__PumpCtrl*"
    ),
    ""
)</f>
        <v>0.12847700000000001</v>
      </c>
      <c r="K12" s="9">
        <f>IFERROR(
    _xlfn.MINIFS(
        'Combined Runs'!$G:$G,
        'Combined Runs'!$B:$B, K$4,
        'Combined Runs'!$A:$A, "*" &amp; $B12 &amp; "&amp;0&amp;cPVVE&amp;Ex&amp;Chiller__PumpCtrl*"
    ),
    ""
)</f>
        <v>0.134213</v>
      </c>
      <c r="L12" s="9">
        <f>IFERROR(
    _xlfn.MINIFS(
        'Combined Runs'!$G:$G,
        'Combined Runs'!$B:$B, L$4,
        'Combined Runs'!$A:$A, "*" &amp; $B12 &amp; "&amp;0&amp;cPVVE&amp;Ex&amp;Chiller__PumpCtrl*"
    ),
    ""
)</f>
        <v>0.14449500000000001</v>
      </c>
      <c r="M12" s="9">
        <f>IFERROR(
    _xlfn.MINIFS(
        'Combined Runs'!$G:$G,
        'Combined Runs'!$B:$B, M$4,
        'Combined Runs'!$A:$A, "*" &amp; $B12 &amp; "&amp;0&amp;cPVVE&amp;Ex&amp;Chiller__PumpCtrl*"
    ),
    ""
)</f>
        <v>0.13647100000000001</v>
      </c>
      <c r="N12" s="9">
        <f>IFERROR(
    _xlfn.MINIFS(
        'Combined Runs'!$G:$G,
        'Combined Runs'!$B:$B, N$4,
        'Combined Runs'!$A:$A, "*" &amp; $B12 &amp; "&amp;0&amp;cPVVE&amp;Ex&amp;Chiller__PumpCtrl*"
    ),
    ""
)</f>
        <v>0.13198399999999999</v>
      </c>
      <c r="O12" s="9">
        <f>IFERROR(
    _xlfn.MINIFS(
        'Combined Runs'!$G:$G,
        'Combined Runs'!$B:$B, O$4,
        'Combined Runs'!$A:$A, "*" &amp; $B12 &amp; "&amp;0&amp;cPVVE&amp;Ex&amp;Chiller__PumpCtrl*"
    ),
    ""
)</f>
        <v>0.13885</v>
      </c>
      <c r="P12" s="9">
        <f>IFERROR(
    _xlfn.MINIFS(
        'Combined Runs'!$G:$G,
        'Combined Runs'!$B:$B, P$4,
        'Combined Runs'!$A:$A, "*" &amp; $B12 &amp; "&amp;0&amp;cPVVE&amp;Ex&amp;Chiller__PumpCtrl*"
    ),
    ""
)</f>
        <v>0.13558000000000001</v>
      </c>
      <c r="Q12" s="9">
        <f>IFERROR(
    _xlfn.MINIFS(
        'Combined Runs'!$G:$G,
        'Combined Runs'!$B:$B, Q$4,
        'Combined Runs'!$A:$A, "*" &amp; $B12 &amp; "&amp;0&amp;cPVVE&amp;Ex&amp;Chiller__PumpCtrl*"
    ),
    ""
)</f>
        <v>0.142898</v>
      </c>
      <c r="R12" s="10">
        <f>IFERROR(
    _xlfn.MINIFS(
        'Combined Runs'!$G:$G,
        'Combined Runs'!$B:$B, R$4,
        'Combined Runs'!$A:$A, "*" &amp; $B12 &amp; "&amp;0&amp;cPVVE&amp;Ex&amp;Chiller__PumpCtrl*"
    ),
    ""
)</f>
        <v>0.11765399999999999</v>
      </c>
      <c r="S12" s="2">
        <f>MIN(Table2[[#This Row],[CZ01]:[CZ16]])</f>
        <v>9.1895000000000004E-2</v>
      </c>
      <c r="T12" s="2">
        <f>AVERAGE(Table2[[#This Row],[CZ01]:[CZ16]])</f>
        <v>0.1259815</v>
      </c>
      <c r="U12" s="2">
        <f>MAX(Table2[[#This Row],[CZ01]:[CZ16]])</f>
        <v>0.14449500000000001</v>
      </c>
    </row>
    <row r="13" spans="1:23" x14ac:dyDescent="0.25">
      <c r="B13" s="8" t="s">
        <v>639</v>
      </c>
      <c r="C13" s="9">
        <f>IFERROR(
    _xlfn.MINIFS(
        'Combined Runs'!$G:$G,
        'Combined Runs'!$B:$B, C$4,
        'Combined Runs'!$A:$A, "*" &amp; $B13 &amp; "&amp;0&amp;cPVVE&amp;Ex&amp;Chiller__PumpCtrl*"
    ),
    ""
)</f>
        <v>1.7149000000000001E-2</v>
      </c>
      <c r="D13" s="9">
        <f>IFERROR(
    _xlfn.MINIFS(
        'Combined Runs'!$G:$G,
        'Combined Runs'!$B:$B, D$4,
        'Combined Runs'!$A:$A, "*" &amp; $B13 &amp; "&amp;0&amp;cPVVE&amp;Ex&amp;Chiller__PumpCtrl*"
    ),
    ""
)</f>
        <v>2.2915000000000001E-2</v>
      </c>
      <c r="E13" s="9">
        <f>IFERROR(
    _xlfn.MINIFS(
        'Combined Runs'!$G:$G,
        'Combined Runs'!$B:$B, E$4,
        'Combined Runs'!$A:$A, "*" &amp; $B13 &amp; "&amp;0&amp;cPVVE&amp;Ex&amp;Chiller__PumpCtrl*"
    ),
    ""
)</f>
        <v>2.1573999999999999E-2</v>
      </c>
      <c r="F13" s="9">
        <f>IFERROR(
    _xlfn.MINIFS(
        'Combined Runs'!$G:$G,
        'Combined Runs'!$B:$B, F$4,
        'Combined Runs'!$A:$A, "*" &amp; $B13 &amp; "&amp;0&amp;cPVVE&amp;Ex&amp;Chiller__PumpCtrl*"
    ),
    ""
)</f>
        <v>2.3234999999999999E-2</v>
      </c>
      <c r="G13" s="9">
        <f>IFERROR(
    _xlfn.MINIFS(
        'Combined Runs'!$G:$G,
        'Combined Runs'!$B:$B, G$4,
        'Combined Runs'!$A:$A, "*" &amp; $B13 &amp; "&amp;0&amp;cPVVE&amp;Ex&amp;Chiller__PumpCtrl*"
    ),
    ""
)</f>
        <v>1.9890000000000001E-2</v>
      </c>
      <c r="H13" s="9">
        <f>IFERROR(
    _xlfn.MINIFS(
        'Combined Runs'!$G:$G,
        'Combined Runs'!$B:$B, H$4,
        'Combined Runs'!$A:$A, "*" &amp; $B13 &amp; "&amp;0&amp;cPVVE&amp;Ex&amp;Chiller__PumpCtrl*"
    ),
    ""
)</f>
        <v>2.0983000000000002E-2</v>
      </c>
      <c r="I13" s="9">
        <f>IFERROR(
    _xlfn.MINIFS(
        'Combined Runs'!$G:$G,
        'Combined Runs'!$B:$B, I$4,
        'Combined Runs'!$A:$A, "*" &amp; $B13 &amp; "&amp;0&amp;cPVVE&amp;Ex&amp;Chiller__PumpCtrl*"
    ),
    ""
)</f>
        <v>2.1398E-2</v>
      </c>
      <c r="J13" s="9">
        <f>IFERROR(
    _xlfn.MINIFS(
        'Combined Runs'!$G:$G,
        'Combined Runs'!$B:$B, J$4,
        'Combined Runs'!$A:$A, "*" &amp; $B13 &amp; "&amp;0&amp;cPVVE&amp;Ex&amp;Chiller__PumpCtrl*"
    ),
    ""
)</f>
        <v>2.3476E-2</v>
      </c>
      <c r="K13" s="9">
        <f>IFERROR(
    _xlfn.MINIFS(
        'Combined Runs'!$G:$G,
        'Combined Runs'!$B:$B, K$4,
        'Combined Runs'!$A:$A, "*" &amp; $B13 &amp; "&amp;0&amp;cPVVE&amp;Ex&amp;Chiller__PumpCtrl*"
    ),
    ""
)</f>
        <v>2.3525000000000001E-2</v>
      </c>
      <c r="L13" s="9">
        <f>IFERROR(
    _xlfn.MINIFS(
        'Combined Runs'!$G:$G,
        'Combined Runs'!$B:$B, L$4,
        'Combined Runs'!$A:$A, "*" &amp; $B13 &amp; "&amp;0&amp;cPVVE&amp;Ex&amp;Chiller__PumpCtrl*"
    ),
    ""
)</f>
        <v>2.5634000000000001E-2</v>
      </c>
      <c r="M13" s="9">
        <f>IFERROR(
    _xlfn.MINIFS(
        'Combined Runs'!$G:$G,
        'Combined Runs'!$B:$B, M$4,
        'Combined Runs'!$A:$A, "*" &amp; $B13 &amp; "&amp;0&amp;cPVVE&amp;Ex&amp;Chiller__PumpCtrl*"
    ),
    ""
)</f>
        <v>2.6544000000000002E-2</v>
      </c>
      <c r="N13" s="9">
        <f>IFERROR(
    _xlfn.MINIFS(
        'Combined Runs'!$G:$G,
        'Combined Runs'!$B:$B, N$4,
        'Combined Runs'!$A:$A, "*" &amp; $B13 &amp; "&amp;0&amp;cPVVE&amp;Ex&amp;Chiller__PumpCtrl*"
    ),
    ""
)</f>
        <v>2.5669000000000001E-2</v>
      </c>
      <c r="O13" s="9">
        <f>IFERROR(
    _xlfn.MINIFS(
        'Combined Runs'!$G:$G,
        'Combined Runs'!$B:$B, O$4,
        'Combined Runs'!$A:$A, "*" &amp; $B13 &amp; "&amp;0&amp;cPVVE&amp;Ex&amp;Chiller__PumpCtrl*"
    ),
    ""
)</f>
        <v>2.6879E-2</v>
      </c>
      <c r="P13" s="9">
        <f>IFERROR(
    _xlfn.MINIFS(
        'Combined Runs'!$G:$G,
        'Combined Runs'!$B:$B, P$4,
        'Combined Runs'!$A:$A, "*" &amp; $B13 &amp; "&amp;0&amp;cPVVE&amp;Ex&amp;Chiller__PumpCtrl*"
    ),
    ""
)</f>
        <v>2.6589999999999999E-2</v>
      </c>
      <c r="Q13" s="9">
        <f>IFERROR(
    _xlfn.MINIFS(
        'Combined Runs'!$G:$G,
        'Combined Runs'!$B:$B, Q$4,
        'Combined Runs'!$A:$A, "*" &amp; $B13 &amp; "&amp;0&amp;cPVVE&amp;Ex&amp;Chiller__PumpCtrl*"
    ),
    ""
)</f>
        <v>2.7525999999999998E-2</v>
      </c>
      <c r="R13" s="10">
        <f>IFERROR(
    _xlfn.MINIFS(
        'Combined Runs'!$G:$G,
        'Combined Runs'!$B:$B, R$4,
        'Combined Runs'!$A:$A, "*" &amp; $B13 &amp; "&amp;0&amp;cPVVE&amp;Ex&amp;Chiller__PumpCtrl*"
    ),
    ""
)</f>
        <v>2.3196000000000001E-2</v>
      </c>
      <c r="S13" s="9">
        <f>MIN(Table2[[#This Row],[CZ01]:[CZ16]])</f>
        <v>1.7149000000000001E-2</v>
      </c>
      <c r="T13" s="9">
        <f>AVERAGE(Table2[[#This Row],[CZ01]:[CZ16]])</f>
        <v>2.3511437499999999E-2</v>
      </c>
      <c r="U13" s="9">
        <f>MAX(Table2[[#This Row],[CZ01]:[CZ16]])</f>
        <v>2.7525999999999998E-2</v>
      </c>
    </row>
    <row r="16" spans="1:23" x14ac:dyDescent="0.25">
      <c r="B16" t="s">
        <v>641</v>
      </c>
      <c r="S16" s="23" t="s">
        <v>33</v>
      </c>
      <c r="T16" s="23"/>
      <c r="U16" s="23"/>
    </row>
    <row r="17" spans="2:21" x14ac:dyDescent="0.25">
      <c r="B17" s="5" t="s">
        <v>0</v>
      </c>
      <c r="C17" s="6" t="s">
        <v>11</v>
      </c>
      <c r="D17" s="6" t="s">
        <v>12</v>
      </c>
      <c r="E17" s="6" t="s">
        <v>13</v>
      </c>
      <c r="F17" s="6" t="s">
        <v>14</v>
      </c>
      <c r="G17" s="6" t="s">
        <v>15</v>
      </c>
      <c r="H17" s="6" t="s">
        <v>16</v>
      </c>
      <c r="I17" s="6" t="s">
        <v>17</v>
      </c>
      <c r="J17" s="6" t="s">
        <v>18</v>
      </c>
      <c r="K17" s="6" t="s">
        <v>19</v>
      </c>
      <c r="L17" s="6" t="s">
        <v>20</v>
      </c>
      <c r="M17" s="6" t="s">
        <v>21</v>
      </c>
      <c r="N17" s="6" t="s">
        <v>22</v>
      </c>
      <c r="O17" s="6" t="s">
        <v>23</v>
      </c>
      <c r="P17" s="6" t="s">
        <v>24</v>
      </c>
      <c r="Q17" s="6" t="s">
        <v>25</v>
      </c>
      <c r="R17" s="7" t="s">
        <v>26</v>
      </c>
      <c r="S17" s="6" t="s">
        <v>642</v>
      </c>
      <c r="T17" s="6" t="s">
        <v>644</v>
      </c>
      <c r="U17" s="6" t="s">
        <v>645</v>
      </c>
    </row>
    <row r="18" spans="2:21" x14ac:dyDescent="0.25">
      <c r="B18" s="3" t="s">
        <v>3</v>
      </c>
      <c r="C18" s="2">
        <f>IFERROR(
    _xlfn.MINIFS(
        'Combined Runs'!$G:$G,
        'Combined Runs'!$B:$B, C$17,
        'Combined Runs'!$A:$A, "*" &amp; $B18 &amp; "&amp;0&amp;cPVVE&amp;New&amp;Chiller__PumpCtrl*"
    ),
    ""
)</f>
        <v>0.10838</v>
      </c>
      <c r="D18" s="2">
        <f>IFERROR(
    _xlfn.MINIFS(
        'Combined Runs'!$G:$G,
        'Combined Runs'!$B:$B, D$17,
        'Combined Runs'!$A:$A, "*" &amp; $B18 &amp; "&amp;0&amp;cPVVE&amp;New&amp;Chiller__PumpCtrl*"
    ),
    ""
)</f>
        <v>0.15099399999999999</v>
      </c>
      <c r="E18" s="2">
        <f>IFERROR(
    _xlfn.MINIFS(
        'Combined Runs'!$G:$G,
        'Combined Runs'!$B:$B, E$17,
        'Combined Runs'!$A:$A, "*" &amp; $B18 &amp; "&amp;0&amp;cPVVE&amp;New&amp;Chiller__PumpCtrl*"
    ),
    ""
)</f>
        <v>0.14011100000000001</v>
      </c>
      <c r="F18" s="2">
        <f>IFERROR(
    _xlfn.MINIFS(
        'Combined Runs'!$G:$G,
        'Combined Runs'!$B:$B, F$17,
        'Combined Runs'!$A:$A, "*" &amp; $B18 &amp; "&amp;0&amp;cPVVE&amp;New&amp;Chiller__PumpCtrl*"
    ),
    ""
)</f>
        <v>0.153114</v>
      </c>
      <c r="G18" s="2">
        <f>IFERROR(
    _xlfn.MINIFS(
        'Combined Runs'!$G:$G,
        'Combined Runs'!$B:$B, G$17,
        'Combined Runs'!$A:$A, "*" &amp; $B18 &amp; "&amp;0&amp;cPVVE&amp;New&amp;Chiller__PumpCtrl*"
    ),
    ""
)</f>
        <v>0.13086300000000001</v>
      </c>
      <c r="H18" s="2">
        <f>IFERROR(
    _xlfn.MINIFS(
        'Combined Runs'!$G:$G,
        'Combined Runs'!$B:$B, H$17,
        'Combined Runs'!$A:$A, "*" &amp; $B18 &amp; "&amp;0&amp;cPVVE&amp;New&amp;Chiller__PumpCtrl*"
    ),
    ""
)</f>
        <v>0.13883499999999999</v>
      </c>
      <c r="I18" s="2">
        <f>IFERROR(
    _xlfn.MINIFS(
        'Combined Runs'!$G:$G,
        'Combined Runs'!$B:$B, I$17,
        'Combined Runs'!$A:$A, "*" &amp; $B18 &amp; "&amp;0&amp;cPVVE&amp;New&amp;Chiller__PumpCtrl*"
    ),
    ""
)</f>
        <v>0.14277899999999999</v>
      </c>
      <c r="J18" s="2">
        <f>IFERROR(
    _xlfn.MINIFS(
        'Combined Runs'!$G:$G,
        'Combined Runs'!$B:$B, J$17,
        'Combined Runs'!$A:$A, "*" &amp; $B18 &amp; "&amp;0&amp;cPVVE&amp;New&amp;Chiller__PumpCtrl*"
    ),
    ""
)</f>
        <v>0.155472</v>
      </c>
      <c r="K18" s="2">
        <f>IFERROR(
    _xlfn.MINIFS(
        'Combined Runs'!$G:$G,
        'Combined Runs'!$B:$B, K$17,
        'Combined Runs'!$A:$A, "*" &amp; $B18 &amp; "&amp;0&amp;cPVVE&amp;New&amp;Chiller__PumpCtrl*"
    ),
    ""
)</f>
        <v>0.15692800000000001</v>
      </c>
      <c r="L18" s="2">
        <f>IFERROR(
    _xlfn.MINIFS(
        'Combined Runs'!$G:$G,
        'Combined Runs'!$B:$B, L$17,
        'Combined Runs'!$A:$A, "*" &amp; $B18 &amp; "&amp;0&amp;cPVVE&amp;New&amp;Chiller__PumpCtrl*"
    ),
    ""
)</f>
        <v>0.172093</v>
      </c>
      <c r="M18" s="2">
        <f>IFERROR(
    _xlfn.MINIFS(
        'Combined Runs'!$G:$G,
        'Combined Runs'!$B:$B, M$17,
        'Combined Runs'!$A:$A, "*" &amp; $B18 &amp; "&amp;0&amp;cPVVE&amp;New&amp;Chiller__PumpCtrl*"
    ),
    ""
)</f>
        <v>0.15734300000000001</v>
      </c>
      <c r="N18" s="2">
        <f>IFERROR(
    _xlfn.MINIFS(
        'Combined Runs'!$G:$G,
        'Combined Runs'!$B:$B, N$17,
        'Combined Runs'!$A:$A, "*" &amp; $B18 &amp; "&amp;0&amp;cPVVE&amp;New&amp;Chiller__PumpCtrl*"
    ),
    ""
)</f>
        <v>0.15750800000000001</v>
      </c>
      <c r="O18" s="2">
        <f>IFERROR(
    _xlfn.MINIFS(
        'Combined Runs'!$G:$G,
        'Combined Runs'!$B:$B, O$17,
        'Combined Runs'!$A:$A, "*" &amp; $B18 &amp; "&amp;0&amp;cPVVE&amp;New&amp;Chiller__PumpCtrl*"
    ),
    ""
)</f>
        <v>0.16219800000000001</v>
      </c>
      <c r="P18" s="2">
        <f>IFERROR(
    _xlfn.MINIFS(
        'Combined Runs'!$G:$G,
        'Combined Runs'!$B:$B, P$17,
        'Combined Runs'!$A:$A, "*" &amp; $B18 &amp; "&amp;0&amp;cPVVE&amp;New&amp;Chiller__PumpCtrl*"
    ),
    ""
)</f>
        <v>0.16201199999999999</v>
      </c>
      <c r="Q18" s="2">
        <f>IFERROR(
    _xlfn.MINIFS(
        'Combined Runs'!$G:$G,
        'Combined Runs'!$B:$B, Q$17,
        'Combined Runs'!$A:$A, "*" &amp; $B18 &amp; "&amp;0&amp;cPVVE&amp;New&amp;Chiller__PumpCtrl*"
    ),
    ""
)</f>
        <v>0.169102</v>
      </c>
      <c r="R18" s="2">
        <f>IFERROR(
    _xlfn.MINIFS(
        'Combined Runs'!$G:$G,
        'Combined Runs'!$B:$B, R$17,
        'Combined Runs'!$A:$A, "*" &amp; $B18 &amp; "&amp;0&amp;cPVVE&amp;New&amp;Chiller__PumpCtrl*"
    ),
    ""
)</f>
        <v>0.14082600000000001</v>
      </c>
      <c r="S18" s="6">
        <f>MIN(Table24[[#This Row],[CZ01]:[CZ16]])</f>
        <v>0.10838</v>
      </c>
      <c r="T18" s="6">
        <f>AVERAGE(Table24[[#This Row],[CZ01]:[CZ16]])</f>
        <v>0.14990987500000003</v>
      </c>
      <c r="U18" s="6">
        <f>MAX(Table24[[#This Row],[CZ01]:[CZ16]])</f>
        <v>0.172093</v>
      </c>
    </row>
    <row r="19" spans="2:21" x14ac:dyDescent="0.25">
      <c r="B19" s="3" t="s">
        <v>4</v>
      </c>
      <c r="C19" s="2">
        <f>IFERROR(
    _xlfn.MINIFS(
        'Combined Runs'!$G:$G,
        'Combined Runs'!$B:$B, C$17,
        'Combined Runs'!$A:$A, "*" &amp; $B19 &amp; "&amp;0&amp;cPVVE&amp;New&amp;Chiller__PumpCtrl*"
    ),
    ""
)</f>
        <v>1.6483999999999999E-2</v>
      </c>
      <c r="D19" s="2">
        <f>IFERROR(
    _xlfn.MINIFS(
        'Combined Runs'!$G:$G,
        'Combined Runs'!$B:$B, D$17,
        'Combined Runs'!$A:$A, "*" &amp; $B19 &amp; "&amp;0&amp;cPVVE&amp;New&amp;Chiller__PumpCtrl*"
    ),
    ""
)</f>
        <v>2.3709999999999998E-2</v>
      </c>
      <c r="E19" s="2">
        <f>IFERROR(
    _xlfn.MINIFS(
        'Combined Runs'!$G:$G,
        'Combined Runs'!$B:$B, E$17,
        'Combined Runs'!$A:$A, "*" &amp; $B19 &amp; "&amp;0&amp;cPVVE&amp;New&amp;Chiller__PumpCtrl*"
    ),
    ""
)</f>
        <v>2.2182E-2</v>
      </c>
      <c r="F19" s="2">
        <f>IFERROR(
    _xlfn.MINIFS(
        'Combined Runs'!$G:$G,
        'Combined Runs'!$B:$B, F$17,
        'Combined Runs'!$A:$A, "*" &amp; $B19 &amp; "&amp;0&amp;cPVVE&amp;New&amp;Chiller__PumpCtrl*"
    ),
    ""
)</f>
        <v>2.4118000000000001E-2</v>
      </c>
      <c r="G19" s="2">
        <f>IFERROR(
    _xlfn.MINIFS(
        'Combined Runs'!$G:$G,
        'Combined Runs'!$B:$B, G$17,
        'Combined Runs'!$A:$A, "*" &amp; $B19 &amp; "&amp;0&amp;cPVVE&amp;New&amp;Chiller__PumpCtrl*"
    ),
    ""
)</f>
        <v>2.0516E-2</v>
      </c>
      <c r="H19" s="2">
        <f>IFERROR(
    _xlfn.MINIFS(
        'Combined Runs'!$G:$G,
        'Combined Runs'!$B:$B, H$17,
        'Combined Runs'!$A:$A, "*" &amp; $B19 &amp; "&amp;0&amp;cPVVE&amp;New&amp;Chiller__PumpCtrl*"
    ),
    ""
)</f>
        <v>2.2175E-2</v>
      </c>
      <c r="I19" s="2">
        <f>IFERROR(
    _xlfn.MINIFS(
        'Combined Runs'!$G:$G,
        'Combined Runs'!$B:$B, I$17,
        'Combined Runs'!$A:$A, "*" &amp; $B19 &amp; "&amp;0&amp;cPVVE&amp;New&amp;Chiller__PumpCtrl*"
    ),
    ""
)</f>
        <v>2.2814999999999998E-2</v>
      </c>
      <c r="J19" s="2">
        <f>IFERROR(
    _xlfn.MINIFS(
        'Combined Runs'!$G:$G,
        'Combined Runs'!$B:$B, J$17,
        'Combined Runs'!$A:$A, "*" &amp; $B19 &amp; "&amp;0&amp;cPVVE&amp;New&amp;Chiller__PumpCtrl*"
    ),
    ""
)</f>
        <v>2.4767999999999998E-2</v>
      </c>
      <c r="K19" s="2">
        <f>IFERROR(
    _xlfn.MINIFS(
        'Combined Runs'!$G:$G,
        'Combined Runs'!$B:$B, K$17,
        'Combined Runs'!$A:$A, "*" &amp; $B19 &amp; "&amp;0&amp;cPVVE&amp;New&amp;Chiller__PumpCtrl*"
    ),
    ""
)</f>
        <v>2.4957E-2</v>
      </c>
      <c r="L19" s="2">
        <f>IFERROR(
    _xlfn.MINIFS(
        'Combined Runs'!$G:$G,
        'Combined Runs'!$B:$B, L$17,
        'Combined Runs'!$A:$A, "*" &amp; $B19 &amp; "&amp;0&amp;cPVVE&amp;New&amp;Chiller__PumpCtrl*"
    ),
    ""
)</f>
        <v>2.6980000000000001E-2</v>
      </c>
      <c r="M19" s="2">
        <f>IFERROR(
    _xlfn.MINIFS(
        'Combined Runs'!$G:$G,
        'Combined Runs'!$B:$B, M$17,
        'Combined Runs'!$A:$A, "*" &amp; $B19 &amp; "&amp;0&amp;cPVVE&amp;New&amp;Chiller__PumpCtrl*"
    ),
    ""
)</f>
        <v>2.3272000000000001E-2</v>
      </c>
      <c r="N19" s="2">
        <f>IFERROR(
    _xlfn.MINIFS(
        'Combined Runs'!$G:$G,
        'Combined Runs'!$B:$B, N$17,
        'Combined Runs'!$A:$A, "*" &amp; $B19 &amp; "&amp;0&amp;cPVVE&amp;New&amp;Chiller__PumpCtrl*"
    ),
    ""
)</f>
        <v>2.3081999999999998E-2</v>
      </c>
      <c r="O19" s="2">
        <f>IFERROR(
    _xlfn.MINIFS(
        'Combined Runs'!$G:$G,
        'Combined Runs'!$B:$B, O$17,
        'Combined Runs'!$A:$A, "*" &amp; $B19 &amp; "&amp;0&amp;cPVVE&amp;New&amp;Chiller__PumpCtrl*"
    ),
    ""
)</f>
        <v>2.4129000000000001E-2</v>
      </c>
      <c r="P19" s="2">
        <f>IFERROR(
    _xlfn.MINIFS(
        'Combined Runs'!$G:$G,
        'Combined Runs'!$B:$B, P$17,
        'Combined Runs'!$A:$A, "*" &amp; $B19 &amp; "&amp;0&amp;cPVVE&amp;New&amp;Chiller__PumpCtrl*"
    ),
    ""
)</f>
        <v>2.4184000000000001E-2</v>
      </c>
      <c r="Q19" s="2">
        <f>IFERROR(
    _xlfn.MINIFS(
        'Combined Runs'!$G:$G,
        'Combined Runs'!$B:$B, Q$17,
        'Combined Runs'!$A:$A, "*" &amp; $B19 &amp; "&amp;0&amp;cPVVE&amp;New&amp;Chiller__PumpCtrl*"
    ),
    ""
)</f>
        <v>2.5433999999999998E-2</v>
      </c>
      <c r="R19" s="4">
        <f>IFERROR(
    _xlfn.MINIFS(
        'Combined Runs'!$G:$G,
        'Combined Runs'!$B:$B, R$17,
        'Combined Runs'!$A:$A, "*" &amp; $B19 &amp; "&amp;0&amp;cPVVE&amp;New&amp;Chiller__PumpCtrl*"
    ),
    ""
)</f>
        <v>2.0577000000000002E-2</v>
      </c>
      <c r="S19" s="2">
        <f>MIN(Table24[[#This Row],[CZ01]:[CZ16]])</f>
        <v>1.6483999999999999E-2</v>
      </c>
      <c r="T19" s="2">
        <f>AVERAGE(Table24[[#This Row],[CZ01]:[CZ16]])</f>
        <v>2.3086437500000001E-2</v>
      </c>
      <c r="U19" s="2">
        <f>MAX(Table24[[#This Row],[CZ01]:[CZ16]])</f>
        <v>2.6980000000000001E-2</v>
      </c>
    </row>
    <row r="20" spans="2:21" x14ac:dyDescent="0.25">
      <c r="B20" s="3" t="s">
        <v>5</v>
      </c>
      <c r="C20" s="2">
        <f>IFERROR(
    _xlfn.MINIFS(
        'Combined Runs'!$G:$G,
        'Combined Runs'!$B:$B, C$17,
        'Combined Runs'!$A:$A, "*" &amp; $B20 &amp; "&amp;0&amp;cPVVE&amp;New&amp;Chiller__PumpCtrl*"
    ),
    ""
)</f>
        <v>0.25468600000000002</v>
      </c>
      <c r="D20" s="2">
        <f>IFERROR(
    _xlfn.MINIFS(
        'Combined Runs'!$G:$G,
        'Combined Runs'!$B:$B, D$17,
        'Combined Runs'!$A:$A, "*" &amp; $B20 &amp; "&amp;0&amp;cPVVE&amp;New&amp;Chiller__PumpCtrl*"
    ),
    ""
)</f>
        <v>0.30602800000000002</v>
      </c>
      <c r="E20" s="2">
        <f>IFERROR(
    _xlfn.MINIFS(
        'Combined Runs'!$G:$G,
        'Combined Runs'!$B:$B, E$17,
        'Combined Runs'!$A:$A, "*" &amp; $B20 &amp; "&amp;0&amp;cPVVE&amp;New&amp;Chiller__PumpCtrl*"
    ),
    ""
)</f>
        <v>0.29651699999999998</v>
      </c>
      <c r="F20" s="2">
        <f>IFERROR(
    _xlfn.MINIFS(
        'Combined Runs'!$G:$G,
        'Combined Runs'!$B:$B, F$17,
        'Combined Runs'!$A:$A, "*" &amp; $B20 &amp; "&amp;0&amp;cPVVE&amp;New&amp;Chiller__PumpCtrl*"
    ),
    ""
)</f>
        <v>0.30935099999999999</v>
      </c>
      <c r="G20" s="2">
        <f>IFERROR(
    _xlfn.MINIFS(
        'Combined Runs'!$G:$G,
        'Combined Runs'!$B:$B, G$17,
        'Combined Runs'!$A:$A, "*" &amp; $B20 &amp; "&amp;0&amp;cPVVE&amp;New&amp;Chiller__PumpCtrl*"
    ),
    ""
)</f>
        <v>0.27540300000000001</v>
      </c>
      <c r="H20" s="2">
        <f>IFERROR(
    _xlfn.MINIFS(
        'Combined Runs'!$G:$G,
        'Combined Runs'!$B:$B, H$17,
        'Combined Runs'!$A:$A, "*" &amp; $B20 &amp; "&amp;0&amp;cPVVE&amp;New&amp;Chiller__PumpCtrl*"
    ),
    ""
)</f>
        <v>0.28924</v>
      </c>
      <c r="I20" s="2">
        <f>IFERROR(
    _xlfn.MINIFS(
        'Combined Runs'!$G:$G,
        'Combined Runs'!$B:$B, I$17,
        'Combined Runs'!$A:$A, "*" &amp; $B20 &amp; "&amp;0&amp;cPVVE&amp;New&amp;Chiller__PumpCtrl*"
    ),
    ""
)</f>
        <v>0.29891899999999999</v>
      </c>
      <c r="J20" s="2">
        <f>IFERROR(
    _xlfn.MINIFS(
        'Combined Runs'!$G:$G,
        'Combined Runs'!$B:$B, J$17,
        'Combined Runs'!$A:$A, "*" &amp; $B20 &amp; "&amp;0&amp;cPVVE&amp;New&amp;Chiller__PumpCtrl*"
    ),
    ""
)</f>
        <v>0.31231700000000001</v>
      </c>
      <c r="K20" s="2">
        <f>IFERROR(
    _xlfn.MINIFS(
        'Combined Runs'!$G:$G,
        'Combined Runs'!$B:$B, K$17,
        'Combined Runs'!$A:$A, "*" &amp; $B20 &amp; "&amp;0&amp;cPVVE&amp;New&amp;Chiller__PumpCtrl*"
    ),
    ""
)</f>
        <v>0.30777100000000002</v>
      </c>
      <c r="L20" s="2">
        <f>IFERROR(
    _xlfn.MINIFS(
        'Combined Runs'!$G:$G,
        'Combined Runs'!$B:$B, L$17,
        'Combined Runs'!$A:$A, "*" &amp; $B20 &amp; "&amp;0&amp;cPVVE&amp;New&amp;Chiller__PumpCtrl*"
    ),
    ""
)</f>
        <v>0.33773199999999998</v>
      </c>
      <c r="M20" s="2">
        <f>IFERROR(
    _xlfn.MINIFS(
        'Combined Runs'!$G:$G,
        'Combined Runs'!$B:$B, M$17,
        'Combined Runs'!$A:$A, "*" &amp; $B20 &amp; "&amp;0&amp;cPVVE&amp;New&amp;Chiller__PumpCtrl*"
    ),
    ""
)</f>
        <v>0.33138200000000001</v>
      </c>
      <c r="N20" s="2">
        <f>IFERROR(
    _xlfn.MINIFS(
        'Combined Runs'!$G:$G,
        'Combined Runs'!$B:$B, N$17,
        'Combined Runs'!$A:$A, "*" &amp; $B20 &amp; "&amp;0&amp;cPVVE&amp;New&amp;Chiller__PumpCtrl*"
    ),
    ""
)</f>
        <v>0.32487300000000002</v>
      </c>
      <c r="O20" s="2">
        <f>IFERROR(
    _xlfn.MINIFS(
        'Combined Runs'!$G:$G,
        'Combined Runs'!$B:$B, O$17,
        'Combined Runs'!$A:$A, "*" &amp; $B20 &amp; "&amp;0&amp;cPVVE&amp;New&amp;Chiller__PumpCtrl*"
    ),
    ""
)</f>
        <v>0.33861400000000003</v>
      </c>
      <c r="P20" s="2">
        <f>IFERROR(
    _xlfn.MINIFS(
        'Combined Runs'!$G:$G,
        'Combined Runs'!$B:$B, P$17,
        'Combined Runs'!$A:$A, "*" &amp; $B20 &amp; "&amp;0&amp;cPVVE&amp;New&amp;Chiller__PumpCtrl*"
    ),
    ""
)</f>
        <v>0.33972999999999998</v>
      </c>
      <c r="Q20" s="2">
        <f>IFERROR(
    _xlfn.MINIFS(
        'Combined Runs'!$G:$G,
        'Combined Runs'!$B:$B, Q$17,
        'Combined Runs'!$A:$A, "*" &amp; $B20 &amp; "&amp;0&amp;cPVVE&amp;New&amp;Chiller__PumpCtrl*"
    ),
    ""
)</f>
        <v>0.35252899999999998</v>
      </c>
      <c r="R20" s="4">
        <f>IFERROR(
    _xlfn.MINIFS(
        'Combined Runs'!$G:$G,
        'Combined Runs'!$B:$B, R$17,
        'Combined Runs'!$A:$A, "*" &amp; $B20 &amp; "&amp;0&amp;cPVVE&amp;New&amp;Chiller__PumpCtrl*"
    ),
    ""
)</f>
        <v>0.29847800000000002</v>
      </c>
      <c r="S20" s="2">
        <f>MIN(Table24[[#This Row],[CZ01]:[CZ16]])</f>
        <v>0.25468600000000002</v>
      </c>
      <c r="T20" s="2">
        <f>AVERAGE(Table24[[#This Row],[CZ01]:[CZ16]])</f>
        <v>0.31084812500000003</v>
      </c>
      <c r="U20" s="2">
        <f>MAX(Table24[[#This Row],[CZ01]:[CZ16]])</f>
        <v>0.35252899999999998</v>
      </c>
    </row>
    <row r="21" spans="2:21" x14ac:dyDescent="0.25">
      <c r="B21" s="3" t="s">
        <v>6</v>
      </c>
      <c r="C21" s="2">
        <f>IFERROR(
    _xlfn.MINIFS(
        'Combined Runs'!$G:$G,
        'Combined Runs'!$B:$B, C$17,
        'Combined Runs'!$A:$A, "*" &amp; $B21 &amp; "&amp;0&amp;cPVVE&amp;New&amp;Chiller__PumpCtrl*"
    ),
    ""
)</f>
        <v>0.14296600000000001</v>
      </c>
      <c r="D21" s="2">
        <f>IFERROR(
    _xlfn.MINIFS(
        'Combined Runs'!$G:$G,
        'Combined Runs'!$B:$B, D$17,
        'Combined Runs'!$A:$A, "*" &amp; $B21 &amp; "&amp;0&amp;cPVVE&amp;New&amp;Chiller__PumpCtrl*"
    ),
    ""
)</f>
        <v>0.192381</v>
      </c>
      <c r="E21" s="2">
        <f>IFERROR(
    _xlfn.MINIFS(
        'Combined Runs'!$G:$G,
        'Combined Runs'!$B:$B, E$17,
        'Combined Runs'!$A:$A, "*" &amp; $B21 &amp; "&amp;0&amp;cPVVE&amp;New&amp;Chiller__PumpCtrl*"
    ),
    ""
)</f>
        <v>0.18088699999999999</v>
      </c>
      <c r="F21" s="2">
        <f>IFERROR(
    _xlfn.MINIFS(
        'Combined Runs'!$G:$G,
        'Combined Runs'!$B:$B, F$17,
        'Combined Runs'!$A:$A, "*" &amp; $B21 &amp; "&amp;0&amp;cPVVE&amp;New&amp;Chiller__PumpCtrl*"
    ),
    ""
)</f>
        <v>0.19470199999999999</v>
      </c>
      <c r="G21" s="2">
        <f>IFERROR(
    _xlfn.MINIFS(
        'Combined Runs'!$G:$G,
        'Combined Runs'!$B:$B, G$17,
        'Combined Runs'!$A:$A, "*" &amp; $B21 &amp; "&amp;0&amp;cPVVE&amp;New&amp;Chiller__PumpCtrl*"
    ),
    ""
)</f>
        <v>0.173009</v>
      </c>
      <c r="H21" s="2">
        <f>IFERROR(
    _xlfn.MINIFS(
        'Combined Runs'!$G:$G,
        'Combined Runs'!$B:$B, H$17,
        'Combined Runs'!$A:$A, "*" &amp; $B21 &amp; "&amp;0&amp;cPVVE&amp;New&amp;Chiller__PumpCtrl*"
    ),
    ""
)</f>
        <v>0.181613</v>
      </c>
      <c r="I21" s="2">
        <f>IFERROR(
    _xlfn.MINIFS(
        'Combined Runs'!$G:$G,
        'Combined Runs'!$B:$B, I$17,
        'Combined Runs'!$A:$A, "*" &amp; $B21 &amp; "&amp;0&amp;cPVVE&amp;New&amp;Chiller__PumpCtrl*"
    ),
    ""
)</f>
        <v>0.18485299999999999</v>
      </c>
      <c r="J21" s="2">
        <f>IFERROR(
    _xlfn.MINIFS(
        'Combined Runs'!$G:$G,
        'Combined Runs'!$B:$B, J$17,
        'Combined Runs'!$A:$A, "*" &amp; $B21 &amp; "&amp;0&amp;cPVVE&amp;New&amp;Chiller__PumpCtrl*"
    ),
    ""
)</f>
        <v>0.198022</v>
      </c>
      <c r="K21" s="2">
        <f>IFERROR(
    _xlfn.MINIFS(
        'Combined Runs'!$G:$G,
        'Combined Runs'!$B:$B, K$17,
        'Combined Runs'!$A:$A, "*" &amp; $B21 &amp; "&amp;0&amp;cPVVE&amp;New&amp;Chiller__PumpCtrl*"
    ),
    ""
)</f>
        <v>0.20270299999999999</v>
      </c>
      <c r="L21" s="2">
        <f>IFERROR(
    _xlfn.MINIFS(
        'Combined Runs'!$G:$G,
        'Combined Runs'!$B:$B, L$17,
        'Combined Runs'!$A:$A, "*" &amp; $B21 &amp; "&amp;0&amp;cPVVE&amp;New&amp;Chiller__PumpCtrl*"
    ),
    ""
)</f>
        <v>0.21410699999999999</v>
      </c>
      <c r="M21" s="2">
        <f>IFERROR(
    _xlfn.MINIFS(
        'Combined Runs'!$G:$G,
        'Combined Runs'!$B:$B, M$17,
        'Combined Runs'!$A:$A, "*" &amp; $B21 &amp; "&amp;0&amp;cPVVE&amp;New&amp;Chiller__PumpCtrl*"
    ),
    ""
)</f>
        <v>0.186168</v>
      </c>
      <c r="N21" s="2">
        <f>IFERROR(
    _xlfn.MINIFS(
        'Combined Runs'!$G:$G,
        'Combined Runs'!$B:$B, N$17,
        'Combined Runs'!$A:$A, "*" &amp; $B21 &amp; "&amp;0&amp;cPVVE&amp;New&amp;Chiller__PumpCtrl*"
    ),
    ""
)</f>
        <v>0.18704200000000001</v>
      </c>
      <c r="O21" s="2">
        <f>IFERROR(
    _xlfn.MINIFS(
        'Combined Runs'!$G:$G,
        'Combined Runs'!$B:$B, O$17,
        'Combined Runs'!$A:$A, "*" &amp; $B21 &amp; "&amp;0&amp;cPVVE&amp;New&amp;Chiller__PumpCtrl*"
    ),
    ""
)</f>
        <v>0.19139500000000001</v>
      </c>
      <c r="P21" s="2">
        <f>IFERROR(
    _xlfn.MINIFS(
        'Combined Runs'!$G:$G,
        'Combined Runs'!$B:$B, P$17,
        'Combined Runs'!$A:$A, "*" &amp; $B21 &amp; "&amp;0&amp;cPVVE&amp;New&amp;Chiller__PumpCtrl*"
    ),
    ""
)</f>
        <v>0.191414</v>
      </c>
      <c r="Q21" s="2">
        <f>IFERROR(
    _xlfn.MINIFS(
        'Combined Runs'!$G:$G,
        'Combined Runs'!$B:$B, Q$17,
        'Combined Runs'!$A:$A, "*" &amp; $B21 &amp; "&amp;0&amp;cPVVE&amp;New&amp;Chiller__PumpCtrl*"
    ),
    ""
)</f>
        <v>0.198188</v>
      </c>
      <c r="R21" s="4">
        <f>IFERROR(
    _xlfn.MINIFS(
        'Combined Runs'!$G:$G,
        'Combined Runs'!$B:$B, R$17,
        'Combined Runs'!$A:$A, "*" &amp; $B21 &amp; "&amp;0&amp;cPVVE&amp;New&amp;Chiller__PumpCtrl*"
    ),
    ""
)</f>
        <v>0.17371600000000001</v>
      </c>
      <c r="S21" s="2">
        <f>MIN(Table24[[#This Row],[CZ01]:[CZ16]])</f>
        <v>0.14296600000000001</v>
      </c>
      <c r="T21" s="2">
        <f>AVERAGE(Table24[[#This Row],[CZ01]:[CZ16]])</f>
        <v>0.187072875</v>
      </c>
      <c r="U21" s="2">
        <f>MAX(Table24[[#This Row],[CZ01]:[CZ16]])</f>
        <v>0.21410699999999999</v>
      </c>
    </row>
    <row r="22" spans="2:21" x14ac:dyDescent="0.25">
      <c r="B22" s="3" t="s">
        <v>7</v>
      </c>
      <c r="C22" s="2">
        <f>IFERROR(
    _xlfn.MINIFS(
        'Combined Runs'!$G:$G,
        'Combined Runs'!$B:$B, C$17,
        'Combined Runs'!$A:$A, "*" &amp; $B22 &amp; "&amp;0&amp;cPVVE&amp;New&amp;Chiller__PumpCtrl*"
    ),
    ""
)</f>
        <v>1.5308E-2</v>
      </c>
      <c r="D22" s="2">
        <f>IFERROR(
    _xlfn.MINIFS(
        'Combined Runs'!$G:$G,
        'Combined Runs'!$B:$B, D$17,
        'Combined Runs'!$A:$A, "*" &amp; $B22 &amp; "&amp;0&amp;cPVVE&amp;New&amp;Chiller__PumpCtrl*"
    ),
    ""
)</f>
        <v>1.9699999999999999E-2</v>
      </c>
      <c r="E22" s="2">
        <f>IFERROR(
    _xlfn.MINIFS(
        'Combined Runs'!$G:$G,
        'Combined Runs'!$B:$B, E$17,
        'Combined Runs'!$A:$A, "*" &amp; $B22 &amp; "&amp;0&amp;cPVVE&amp;New&amp;Chiller__PumpCtrl*"
    ),
    ""
)</f>
        <v>1.9036000000000001E-2</v>
      </c>
      <c r="F22" s="2">
        <f>IFERROR(
    _xlfn.MINIFS(
        'Combined Runs'!$G:$G,
        'Combined Runs'!$B:$B, F$17,
        'Combined Runs'!$A:$A, "*" &amp; $B22 &amp; "&amp;0&amp;cPVVE&amp;New&amp;Chiller__PumpCtrl*"
    ),
    ""
)</f>
        <v>2.0029000000000002E-2</v>
      </c>
      <c r="G22" s="2">
        <f>IFERROR(
    _xlfn.MINIFS(
        'Combined Runs'!$G:$G,
        'Combined Runs'!$B:$B, G$17,
        'Combined Runs'!$A:$A, "*" &amp; $B22 &amp; "&amp;0&amp;cPVVE&amp;New&amp;Chiller__PumpCtrl*"
    ),
    ""
)</f>
        <v>1.7631000000000001E-2</v>
      </c>
      <c r="H22" s="2">
        <f>IFERROR(
    _xlfn.MINIFS(
        'Combined Runs'!$G:$G,
        'Combined Runs'!$B:$B, H$17,
        'Combined Runs'!$A:$A, "*" &amp; $B22 &amp; "&amp;0&amp;cPVVE&amp;New&amp;Chiller__PumpCtrl*"
    ),
    ""
)</f>
        <v>1.8832999999999999E-2</v>
      </c>
      <c r="I22" s="2">
        <f>IFERROR(
    _xlfn.MINIFS(
        'Combined Runs'!$G:$G,
        'Combined Runs'!$B:$B, I$17,
        'Combined Runs'!$A:$A, "*" &amp; $B22 &amp; "&amp;0&amp;cPVVE&amp;New&amp;Chiller__PumpCtrl*"
    ),
    ""
)</f>
        <v>1.9460999999999999E-2</v>
      </c>
      <c r="J22" s="2">
        <f>IFERROR(
    _xlfn.MINIFS(
        'Combined Runs'!$G:$G,
        'Combined Runs'!$B:$B, J$17,
        'Combined Runs'!$A:$A, "*" &amp; $B22 &amp; "&amp;0&amp;cPVVE&amp;New&amp;Chiller__PumpCtrl*"
    ),
    ""
)</f>
        <v>2.0815E-2</v>
      </c>
      <c r="K22" s="2">
        <f>IFERROR(
    _xlfn.MINIFS(
        'Combined Runs'!$G:$G,
        'Combined Runs'!$B:$B, K$17,
        'Combined Runs'!$A:$A, "*" &amp; $B22 &amp; "&amp;0&amp;cPVVE&amp;New&amp;Chiller__PumpCtrl*"
    ),
    ""
)</f>
        <v>2.0021000000000001E-2</v>
      </c>
      <c r="L22" s="2">
        <f>IFERROR(
    _xlfn.MINIFS(
        'Combined Runs'!$G:$G,
        'Combined Runs'!$B:$B, L$17,
        'Combined Runs'!$A:$A, "*" &amp; $B22 &amp; "&amp;0&amp;cPVVE&amp;New&amp;Chiller__PumpCtrl*"
    ),
    ""
)</f>
        <v>2.2526000000000001E-2</v>
      </c>
      <c r="M22" s="2">
        <f>IFERROR(
    _xlfn.MINIFS(
        'Combined Runs'!$G:$G,
        'Combined Runs'!$B:$B, M$17,
        'Combined Runs'!$A:$A, "*" &amp; $B22 &amp; "&amp;0&amp;cPVVE&amp;New&amp;Chiller__PumpCtrl*"
    ),
    ""
)</f>
        <v>2.2187999999999999E-2</v>
      </c>
      <c r="N22" s="2">
        <f>IFERROR(
    _xlfn.MINIFS(
        'Combined Runs'!$G:$G,
        'Combined Runs'!$B:$B, N$17,
        'Combined Runs'!$A:$A, "*" &amp; $B22 &amp; "&amp;0&amp;cPVVE&amp;New&amp;Chiller__PumpCtrl*"
    ),
    ""
)</f>
        <v>2.1892999999999999E-2</v>
      </c>
      <c r="O22" s="2">
        <f>IFERROR(
    _xlfn.MINIFS(
        'Combined Runs'!$G:$G,
        'Combined Runs'!$B:$B, O$17,
        'Combined Runs'!$A:$A, "*" &amp; $B22 &amp; "&amp;0&amp;cPVVE&amp;New&amp;Chiller__PumpCtrl*"
    ),
    ""
)</f>
        <v>2.2957999999999999E-2</v>
      </c>
      <c r="P22" s="2">
        <f>IFERROR(
    _xlfn.MINIFS(
        'Combined Runs'!$G:$G,
        'Combined Runs'!$B:$B, P$17,
        'Combined Runs'!$A:$A, "*" &amp; $B22 &amp; "&amp;0&amp;cPVVE&amp;New&amp;Chiller__PumpCtrl*"
    ),
    ""
)</f>
        <v>2.2929999999999999E-2</v>
      </c>
      <c r="Q22" s="2">
        <f>IFERROR(
    _xlfn.MINIFS(
        'Combined Runs'!$G:$G,
        'Combined Runs'!$B:$B, Q$17,
        'Combined Runs'!$A:$A, "*" &amp; $B22 &amp; "&amp;0&amp;cPVVE&amp;New&amp;Chiller__PumpCtrl*"
    ),
    ""
)</f>
        <v>2.3675000000000002E-2</v>
      </c>
      <c r="R22" s="4">
        <f>IFERROR(
    _xlfn.MINIFS(
        'Combined Runs'!$G:$G,
        'Combined Runs'!$B:$B, R$17,
        'Combined Runs'!$A:$A, "*" &amp; $B22 &amp; "&amp;0&amp;cPVVE&amp;New&amp;Chiller__PumpCtrl*"
    ),
    ""
)</f>
        <v>1.9782000000000001E-2</v>
      </c>
      <c r="S22" s="2">
        <f>MIN(Table24[[#This Row],[CZ01]:[CZ16]])</f>
        <v>1.5308E-2</v>
      </c>
      <c r="T22" s="2">
        <f>AVERAGE(Table24[[#This Row],[CZ01]:[CZ16]])</f>
        <v>2.0424125000000001E-2</v>
      </c>
      <c r="U22" s="2">
        <f>MAX(Table24[[#This Row],[CZ01]:[CZ16]])</f>
        <v>2.3675000000000002E-2</v>
      </c>
    </row>
    <row r="23" spans="2:21" x14ac:dyDescent="0.25">
      <c r="B23" s="3" t="s">
        <v>8</v>
      </c>
      <c r="C23" s="2">
        <f>IFERROR(
    _xlfn.MINIFS(
        'Combined Runs'!$G:$G,
        'Combined Runs'!$B:$B, C$17,
        'Combined Runs'!$A:$A, "*" &amp; $B23 &amp; "&amp;0&amp;cPVVE&amp;New&amp;Chiller__PumpCtrl*"
    ),
    ""
)</f>
        <v>9.0241000000000002E-2</v>
      </c>
      <c r="D23" s="2">
        <f>IFERROR(
    _xlfn.MINIFS(
        'Combined Runs'!$G:$G,
        'Combined Runs'!$B:$B, D$17,
        'Combined Runs'!$A:$A, "*" &amp; $B23 &amp; "&amp;0&amp;cPVVE&amp;New&amp;Chiller__PumpCtrl*"
    ),
    ""
)</f>
        <v>0.112632</v>
      </c>
      <c r="E23" s="2">
        <f>IFERROR(
    _xlfn.MINIFS(
        'Combined Runs'!$G:$G,
        'Combined Runs'!$B:$B, E$17,
        'Combined Runs'!$A:$A, "*" &amp; $B23 &amp; "&amp;0&amp;cPVVE&amp;New&amp;Chiller__PumpCtrl*"
    ),
    ""
)</f>
        <v>0.106831</v>
      </c>
      <c r="F23" s="2">
        <f>IFERROR(
    _xlfn.MINIFS(
        'Combined Runs'!$G:$G,
        'Combined Runs'!$B:$B, F$17,
        'Combined Runs'!$A:$A, "*" &amp; $B23 &amp; "&amp;0&amp;cPVVE&amp;New&amp;Chiller__PumpCtrl*"
    ),
    ""
)</f>
        <v>0.113262</v>
      </c>
      <c r="G23" s="2">
        <f>IFERROR(
    _xlfn.MINIFS(
        'Combined Runs'!$G:$G,
        'Combined Runs'!$B:$B, G$17,
        'Combined Runs'!$A:$A, "*" &amp; $B23 &amp; "&amp;0&amp;cPVVE&amp;New&amp;Chiller__PumpCtrl*"
    ),
    ""
)</f>
        <v>0.101248</v>
      </c>
      <c r="H23" s="2">
        <f>IFERROR(
    _xlfn.MINIFS(
        'Combined Runs'!$G:$G,
        'Combined Runs'!$B:$B, H$17,
        'Combined Runs'!$A:$A, "*" &amp; $B23 &amp; "&amp;0&amp;cPVVE&amp;New&amp;Chiller__PumpCtrl*"
    ),
    ""
)</f>
        <v>0.104863</v>
      </c>
      <c r="I23" s="2">
        <f>IFERROR(
    _xlfn.MINIFS(
        'Combined Runs'!$G:$G,
        'Combined Runs'!$B:$B, I$17,
        'Combined Runs'!$A:$A, "*" &amp; $B23 &amp; "&amp;0&amp;cPVVE&amp;New&amp;Chiller__PumpCtrl*"
    ),
    ""
)</f>
        <v>0.107166</v>
      </c>
      <c r="J23" s="2">
        <f>IFERROR(
    _xlfn.MINIFS(
        'Combined Runs'!$G:$G,
        'Combined Runs'!$B:$B, J$17,
        'Combined Runs'!$A:$A, "*" &amp; $B23 &amp; "&amp;0&amp;cPVVE&amp;New&amp;Chiller__PumpCtrl*"
    ),
    ""
)</f>
        <v>0.113846</v>
      </c>
      <c r="K23" s="2">
        <f>IFERROR(
    _xlfn.MINIFS(
        'Combined Runs'!$G:$G,
        'Combined Runs'!$B:$B, K$17,
        'Combined Runs'!$A:$A, "*" &amp; $B23 &amp; "&amp;0&amp;cPVVE&amp;New&amp;Chiller__PumpCtrl*"
    ),
    ""
)</f>
        <v>0.111816</v>
      </c>
      <c r="L23" s="2">
        <f>IFERROR(
    _xlfn.MINIFS(
        'Combined Runs'!$G:$G,
        'Combined Runs'!$B:$B, L$17,
        'Combined Runs'!$A:$A, "*" &amp; $B23 &amp; "&amp;0&amp;cPVVE&amp;New&amp;Chiller__PumpCtrl*"
    ),
    ""
)</f>
        <v>0.12431499999999999</v>
      </c>
      <c r="M23" s="2">
        <f>IFERROR(
    _xlfn.MINIFS(
        'Combined Runs'!$G:$G,
        'Combined Runs'!$B:$B, M$17,
        'Combined Runs'!$A:$A, "*" &amp; $B23 &amp; "&amp;0&amp;cPVVE&amp;New&amp;Chiller__PumpCtrl*"
    ),
    ""
)</f>
        <v>0.123645</v>
      </c>
      <c r="N23" s="2">
        <f>IFERROR(
    _xlfn.MINIFS(
        'Combined Runs'!$G:$G,
        'Combined Runs'!$B:$B, N$17,
        'Combined Runs'!$A:$A, "*" &amp; $B23 &amp; "&amp;0&amp;cPVVE&amp;New&amp;Chiller__PumpCtrl*"
    ),
    ""
)</f>
        <v>0.121653</v>
      </c>
      <c r="O23" s="2">
        <f>IFERROR(
    _xlfn.MINIFS(
        'Combined Runs'!$G:$G,
        'Combined Runs'!$B:$B, O$17,
        'Combined Runs'!$A:$A, "*" &amp; $B23 &amp; "&amp;0&amp;cPVVE&amp;New&amp;Chiller__PumpCtrl*"
    ),
    ""
)</f>
        <v>0.125085</v>
      </c>
      <c r="P23" s="2">
        <f>IFERROR(
    _xlfn.MINIFS(
        'Combined Runs'!$G:$G,
        'Combined Runs'!$B:$B, P$17,
        'Combined Runs'!$A:$A, "*" &amp; $B23 &amp; "&amp;0&amp;cPVVE&amp;New&amp;Chiller__PumpCtrl*"
    ),
    ""
)</f>
        <v>0.12725400000000001</v>
      </c>
      <c r="Q23" s="2">
        <f>IFERROR(
    _xlfn.MINIFS(
        'Combined Runs'!$G:$G,
        'Combined Runs'!$B:$B, Q$17,
        'Combined Runs'!$A:$A, "*" &amp; $B23 &amp; "&amp;0&amp;cPVVE&amp;New&amp;Chiller__PumpCtrl*"
    ),
    ""
)</f>
        <v>0.131436</v>
      </c>
      <c r="R23" s="4">
        <f>IFERROR(
    _xlfn.MINIFS(
        'Combined Runs'!$G:$G,
        'Combined Runs'!$B:$B, R$17,
        'Combined Runs'!$A:$A, "*" &amp; $B23 &amp; "&amp;0&amp;cPVVE&amp;New&amp;Chiller__PumpCtrl*"
    ),
    ""
)</f>
        <v>0.11733499999999999</v>
      </c>
      <c r="S23" s="2">
        <f>MIN(Table24[[#This Row],[CZ01]:[CZ16]])</f>
        <v>9.0241000000000002E-2</v>
      </c>
      <c r="T23" s="2">
        <f>AVERAGE(Table24[[#This Row],[CZ01]:[CZ16]])</f>
        <v>0.11453925</v>
      </c>
      <c r="U23" s="2">
        <f>MAX(Table24[[#This Row],[CZ01]:[CZ16]])</f>
        <v>0.131436</v>
      </c>
    </row>
    <row r="24" spans="2:21" x14ac:dyDescent="0.25">
      <c r="B24" s="3" t="s">
        <v>9</v>
      </c>
      <c r="C24" s="2">
        <f>IFERROR(
    _xlfn.MINIFS(
        'Combined Runs'!$G:$G,
        'Combined Runs'!$B:$B, C$17,
        'Combined Runs'!$A:$A, "*" &amp; $B24 &amp; "&amp;0&amp;cPVVE&amp;New&amp;Chiller__PumpCtrl*"
    ),
    ""
)</f>
        <v>5.4019999999999997E-3</v>
      </c>
      <c r="D24" s="2">
        <f>IFERROR(
    _xlfn.MINIFS(
        'Combined Runs'!$G:$G,
        'Combined Runs'!$B:$B, D$17,
        'Combined Runs'!$A:$A, "*" &amp; $B24 &amp; "&amp;0&amp;cPVVE&amp;New&amp;Chiller__PumpCtrl*"
    ),
    ""
)</f>
        <v>6.9179999999999997E-3</v>
      </c>
      <c r="E24" s="2">
        <f>IFERROR(
    _xlfn.MINIFS(
        'Combined Runs'!$G:$G,
        'Combined Runs'!$B:$B, E$17,
        'Combined Runs'!$A:$A, "*" &amp; $B24 &amp; "&amp;0&amp;cPVVE&amp;New&amp;Chiller__PumpCtrl*"
    ),
    ""
)</f>
        <v>6.79E-3</v>
      </c>
      <c r="F24" s="2">
        <f>IFERROR(
    _xlfn.MINIFS(
        'Combined Runs'!$G:$G,
        'Combined Runs'!$B:$B, F$17,
        'Combined Runs'!$A:$A, "*" &amp; $B24 &amp; "&amp;0&amp;cPVVE&amp;New&amp;Chiller__PumpCtrl*"
    ),
    ""
)</f>
        <v>7.0429999999999998E-3</v>
      </c>
      <c r="G24" s="2">
        <f>IFERROR(
    _xlfn.MINIFS(
        'Combined Runs'!$G:$G,
        'Combined Runs'!$B:$B, G$17,
        'Combined Runs'!$A:$A, "*" &amp; $B24 &amp; "&amp;0&amp;cPVVE&amp;New&amp;Chiller__PumpCtrl*"
    ),
    ""
)</f>
        <v>6.2969999999999996E-3</v>
      </c>
      <c r="H24" s="2">
        <f>IFERROR(
    _xlfn.MINIFS(
        'Combined Runs'!$G:$G,
        'Combined Runs'!$B:$B, H$17,
        'Combined Runs'!$A:$A, "*" &amp; $B24 &amp; "&amp;0&amp;cPVVE&amp;New&amp;Chiller__PumpCtrl*"
    ),
    ""
)</f>
        <v>6.8069999999999997E-3</v>
      </c>
      <c r="I24" s="2">
        <f>IFERROR(
    _xlfn.MINIFS(
        'Combined Runs'!$G:$G,
        'Combined Runs'!$B:$B, I$17,
        'Combined Runs'!$A:$A, "*" &amp; $B24 &amp; "&amp;0&amp;cPVVE&amp;New&amp;Chiller__PumpCtrl*"
    ),
    ""
)</f>
        <v>6.9560000000000004E-3</v>
      </c>
      <c r="J24" s="2">
        <f>IFERROR(
    _xlfn.MINIFS(
        'Combined Runs'!$G:$G,
        'Combined Runs'!$B:$B, J$17,
        'Combined Runs'!$A:$A, "*" &amp; $B24 &amp; "&amp;0&amp;cPVVE&amp;New&amp;Chiller__PumpCtrl*"
    ),
    ""
)</f>
        <v>7.4400000000000004E-3</v>
      </c>
      <c r="K24" s="2">
        <f>IFERROR(
    _xlfn.MINIFS(
        'Combined Runs'!$G:$G,
        'Combined Runs'!$B:$B, K$17,
        'Combined Runs'!$A:$A, "*" &amp; $B24 &amp; "&amp;0&amp;cPVVE&amp;New&amp;Chiller__PumpCtrl*"
    ),
    ""
)</f>
        <v>6.9969999999999997E-3</v>
      </c>
      <c r="L24" s="2">
        <f>IFERROR(
    _xlfn.MINIFS(
        'Combined Runs'!$G:$G,
        'Combined Runs'!$B:$B, L$17,
        'Combined Runs'!$A:$A, "*" &amp; $B24 &amp; "&amp;0&amp;cPVVE&amp;New&amp;Chiller__PumpCtrl*"
    ),
    ""
)</f>
        <v>7.7640000000000001E-3</v>
      </c>
      <c r="M24" s="2">
        <f>IFERROR(
    _xlfn.MINIFS(
        'Combined Runs'!$G:$G,
        'Combined Runs'!$B:$B, M$17,
        'Combined Runs'!$A:$A, "*" &amp; $B24 &amp; "&amp;0&amp;cPVVE&amp;New&amp;Chiller__PumpCtrl*"
    ),
    ""
)</f>
        <v>7.6109999999999997E-3</v>
      </c>
      <c r="N24" s="2">
        <f>IFERROR(
    _xlfn.MINIFS(
        'Combined Runs'!$G:$G,
        'Combined Runs'!$B:$B, N$17,
        'Combined Runs'!$A:$A, "*" &amp; $B24 &amp; "&amp;0&amp;cPVVE&amp;New&amp;Chiller__PumpCtrl*"
    ),
    ""
)</f>
        <v>7.3070000000000001E-3</v>
      </c>
      <c r="O24" s="2">
        <f>IFERROR(
    _xlfn.MINIFS(
        'Combined Runs'!$G:$G,
        'Combined Runs'!$B:$B, O$17,
        'Combined Runs'!$A:$A, "*" &amp; $B24 &amp; "&amp;0&amp;cPVVE&amp;New&amp;Chiller__PumpCtrl*"
    ),
    ""
)</f>
        <v>7.7479999999999997E-3</v>
      </c>
      <c r="P24" s="2">
        <f>IFERROR(
    _xlfn.MINIFS(
        'Combined Runs'!$G:$G,
        'Combined Runs'!$B:$B, P$17,
        'Combined Runs'!$A:$A, "*" &amp; $B24 &amp; "&amp;0&amp;cPVVE&amp;New&amp;Chiller__PumpCtrl*"
    ),
    ""
)</f>
        <v>8.0239999999999999E-3</v>
      </c>
      <c r="Q24" s="2">
        <f>IFERROR(
    _xlfn.MINIFS(
        'Combined Runs'!$G:$G,
        'Combined Runs'!$B:$B, Q$17,
        'Combined Runs'!$A:$A, "*" &amp; $B24 &amp; "&amp;0&amp;cPVVE&amp;New&amp;Chiller__PumpCtrl*"
    ),
    ""
)</f>
        <v>8.2570000000000005E-3</v>
      </c>
      <c r="R24" s="4">
        <f>IFERROR(
    _xlfn.MINIFS(
        'Combined Runs'!$G:$G,
        'Combined Runs'!$B:$B, R$17,
        'Combined Runs'!$A:$A, "*" &amp; $B24 &amp; "&amp;0&amp;cPVVE&amp;New&amp;Chiller__PumpCtrl*"
    ),
    ""
)</f>
        <v>7.2760000000000003E-3</v>
      </c>
      <c r="S24" s="2">
        <f>MIN(Table24[[#This Row],[CZ01]:[CZ16]])</f>
        <v>5.4019999999999997E-3</v>
      </c>
      <c r="T24" s="2">
        <f>AVERAGE(Table24[[#This Row],[CZ01]:[CZ16]])</f>
        <v>7.164812500000001E-3</v>
      </c>
      <c r="U24" s="2">
        <f>MAX(Table24[[#This Row],[CZ01]:[CZ16]])</f>
        <v>8.2570000000000005E-3</v>
      </c>
    </row>
    <row r="25" spans="2:21" x14ac:dyDescent="0.25">
      <c r="B25" s="8" t="s">
        <v>10</v>
      </c>
      <c r="C25" s="9">
        <f>IFERROR(
    _xlfn.MINIFS(
        'Combined Runs'!$G:$G,
        'Combined Runs'!$B:$B, C$17,
        'Combined Runs'!$A:$A, "*" &amp; $B25 &amp; "&amp;0&amp;cPVVE&amp;New&amp;Chiller__PumpCtrl*"
    ),
    ""
)</f>
        <v>6.5632999999999997E-2</v>
      </c>
      <c r="D25" s="9">
        <f>IFERROR(
    _xlfn.MINIFS(
        'Combined Runs'!$G:$G,
        'Combined Runs'!$B:$B, D$17,
        'Combined Runs'!$A:$A, "*" &amp; $B25 &amp; "&amp;0&amp;cPVVE&amp;New&amp;Chiller__PumpCtrl*"
    ),
    ""
)</f>
        <v>0.11562500000000001</v>
      </c>
      <c r="E25" s="9">
        <f>IFERROR(
    _xlfn.MINIFS(
        'Combined Runs'!$G:$G,
        'Combined Runs'!$B:$B, E$17,
        'Combined Runs'!$A:$A, "*" &amp; $B25 &amp; "&amp;0&amp;cPVVE&amp;New&amp;Chiller__PumpCtrl*"
    ),
    ""
)</f>
        <v>0.107451</v>
      </c>
      <c r="F25" s="9">
        <f>IFERROR(
    _xlfn.MINIFS(
        'Combined Runs'!$G:$G,
        'Combined Runs'!$B:$B, F$17,
        'Combined Runs'!$A:$A, "*" &amp; $B25 &amp; "&amp;0&amp;cPVVE&amp;New&amp;Chiller__PumpCtrl*"
    ),
    ""
)</f>
        <v>0.11826299999999999</v>
      </c>
      <c r="G25" s="9">
        <f>IFERROR(
    _xlfn.MINIFS(
        'Combined Runs'!$G:$G,
        'Combined Runs'!$B:$B, G$17,
        'Combined Runs'!$A:$A, "*" &amp; $B25 &amp; "&amp;0&amp;cPVVE&amp;New&amp;Chiller__PumpCtrl*"
    ),
    ""
)</f>
        <v>0.10081900000000001</v>
      </c>
      <c r="H25" s="9">
        <f>IFERROR(
    _xlfn.MINIFS(
        'Combined Runs'!$G:$G,
        'Combined Runs'!$B:$B, H$17,
        'Combined Runs'!$A:$A, "*" &amp; $B25 &amp; "&amp;0&amp;cPVVE&amp;New&amp;Chiller__PumpCtrl*"
    ),
    ""
)</f>
        <v>0.10917499999999999</v>
      </c>
      <c r="I25" s="9">
        <f>IFERROR(
    _xlfn.MINIFS(
        'Combined Runs'!$G:$G,
        'Combined Runs'!$B:$B, I$17,
        'Combined Runs'!$A:$A, "*" &amp; $B25 &amp; "&amp;0&amp;cPVVE&amp;New&amp;Chiller__PumpCtrl*"
    ),
    ""
)</f>
        <v>0.111805</v>
      </c>
      <c r="J25" s="9">
        <f>IFERROR(
    _xlfn.MINIFS(
        'Combined Runs'!$G:$G,
        'Combined Runs'!$B:$B, J$17,
        'Combined Runs'!$A:$A, "*" &amp; $B25 &amp; "&amp;0&amp;cPVVE&amp;New&amp;Chiller__PumpCtrl*"
    ),
    ""
)</f>
        <v>0.122185</v>
      </c>
      <c r="K25" s="9">
        <f>IFERROR(
    _xlfn.MINIFS(
        'Combined Runs'!$G:$G,
        'Combined Runs'!$B:$B, K$17,
        'Combined Runs'!$A:$A, "*" &amp; $B25 &amp; "&amp;0&amp;cPVVE&amp;New&amp;Chiller__PumpCtrl*"
    ),
    ""
)</f>
        <v>0.130165</v>
      </c>
      <c r="L25" s="9">
        <f>IFERROR(
    _xlfn.MINIFS(
        'Combined Runs'!$G:$G,
        'Combined Runs'!$B:$B, L$17,
        'Combined Runs'!$A:$A, "*" &amp; $B25 &amp; "&amp;0&amp;cPVVE&amp;New&amp;Chiller__PumpCtrl*"
    ),
    ""
)</f>
        <v>0.13257099999999999</v>
      </c>
      <c r="M25" s="9">
        <f>IFERROR(
    _xlfn.MINIFS(
        'Combined Runs'!$G:$G,
        'Combined Runs'!$B:$B, M$17,
        'Combined Runs'!$A:$A, "*" &amp; $B25 &amp; "&amp;0&amp;cPVVE&amp;New&amp;Chiller__PumpCtrl*"
    ),
    ""
)</f>
        <v>9.4223000000000001E-2</v>
      </c>
      <c r="N25" s="9">
        <f>IFERROR(
    _xlfn.MINIFS(
        'Combined Runs'!$G:$G,
        'Combined Runs'!$B:$B, N$17,
        'Combined Runs'!$A:$A, "*" &amp; $B25 &amp; "&amp;0&amp;cPVVE&amp;New&amp;Chiller__PumpCtrl*"
    ),
    ""
)</f>
        <v>9.5507999999999996E-2</v>
      </c>
      <c r="O25" s="9">
        <f>IFERROR(
    _xlfn.MINIFS(
        'Combined Runs'!$G:$G,
        'Combined Runs'!$B:$B, O$17,
        'Combined Runs'!$A:$A, "*" &amp; $B25 &amp; "&amp;0&amp;cPVVE&amp;New&amp;Chiller__PumpCtrl*"
    ),
    ""
)</f>
        <v>9.9464999999999998E-2</v>
      </c>
      <c r="P25" s="9">
        <f>IFERROR(
    _xlfn.MINIFS(
        'Combined Runs'!$G:$G,
        'Combined Runs'!$B:$B, P$17,
        'Combined Runs'!$A:$A, "*" &amp; $B25 &amp; "&amp;0&amp;cPVVE&amp;New&amp;Chiller__PumpCtrl*"
    ),
    ""
)</f>
        <v>9.8530999999999994E-2</v>
      </c>
      <c r="Q25" s="9">
        <f>IFERROR(
    _xlfn.MINIFS(
        'Combined Runs'!$G:$G,
        'Combined Runs'!$B:$B, Q$17,
        'Combined Runs'!$A:$A, "*" &amp; $B25 &amp; "&amp;0&amp;cPVVE&amp;New&amp;Chiller__PumpCtrl*"
    ),
    ""
)</f>
        <v>0.10487200000000001</v>
      </c>
      <c r="R25" s="10">
        <f>IFERROR(
    _xlfn.MINIFS(
        'Combined Runs'!$G:$G,
        'Combined Runs'!$B:$B, R$17,
        'Combined Runs'!$A:$A, "*" &amp; $B25 &amp; "&amp;0&amp;cPVVE&amp;New&amp;Chiller__PumpCtrl*"
    ),
    ""
)</f>
        <v>8.3228999999999997E-2</v>
      </c>
      <c r="S25" s="2">
        <f>MIN(Table24[[#This Row],[CZ01]:[CZ16]])</f>
        <v>6.5632999999999997E-2</v>
      </c>
      <c r="T25" s="2">
        <f>AVERAGE(Table24[[#This Row],[CZ01]:[CZ16]])</f>
        <v>0.10559499999999998</v>
      </c>
      <c r="U25" s="2">
        <f>MAX(Table24[[#This Row],[CZ01]:[CZ16]])</f>
        <v>0.13257099999999999</v>
      </c>
    </row>
    <row r="26" spans="2:21" x14ac:dyDescent="0.25">
      <c r="B26" s="8" t="s">
        <v>639</v>
      </c>
      <c r="C26" s="9">
        <f>IFERROR(
    _xlfn.MINIFS(
        'Combined Runs'!$G:$G,
        'Combined Runs'!$B:$B, C$17,
        'Combined Runs'!$A:$A, "*" &amp; $B26 &amp; "&amp;0&amp;cPVVE&amp;New&amp;Chiller__PumpCtrl*"
    ),
    ""
)</f>
        <v>1.5125E-2</v>
      </c>
      <c r="D26" s="9">
        <f>IFERROR(
    _xlfn.MINIFS(
        'Combined Runs'!$G:$G,
        'Combined Runs'!$B:$B, D$17,
        'Combined Runs'!$A:$A, "*" &amp; $B26 &amp; "&amp;0&amp;cPVVE&amp;New&amp;Chiller__PumpCtrl*"
    ),
    ""
)</f>
        <v>1.9748000000000002E-2</v>
      </c>
      <c r="E26" s="9">
        <f>IFERROR(
    _xlfn.MINIFS(
        'Combined Runs'!$G:$G,
        'Combined Runs'!$B:$B, E$17,
        'Combined Runs'!$A:$A, "*" &amp; $B26 &amp; "&amp;0&amp;cPVVE&amp;New&amp;Chiller__PumpCtrl*"
    ),
    ""
)</f>
        <v>1.8617999999999999E-2</v>
      </c>
      <c r="F26" s="9">
        <f>IFERROR(
    _xlfn.MINIFS(
        'Combined Runs'!$G:$G,
        'Combined Runs'!$B:$B, F$17,
        'Combined Runs'!$A:$A, "*" &amp; $B26 &amp; "&amp;0&amp;cPVVE&amp;New&amp;Chiller__PumpCtrl*"
    ),
    ""
)</f>
        <v>2.0021000000000001E-2</v>
      </c>
      <c r="G26" s="9">
        <f>IFERROR(
    _xlfn.MINIFS(
        'Combined Runs'!$G:$G,
        'Combined Runs'!$B:$B, G$17,
        'Combined Runs'!$A:$A, "*" &amp; $B26 &amp; "&amp;0&amp;cPVVE&amp;New&amp;Chiller__PumpCtrl*"
    ),
    ""
)</f>
        <v>1.7273E-2</v>
      </c>
      <c r="H26" s="9">
        <f>IFERROR(
    _xlfn.MINIFS(
        'Combined Runs'!$G:$G,
        'Combined Runs'!$B:$B, H$17,
        'Combined Runs'!$A:$A, "*" &amp; $B26 &amp; "&amp;0&amp;cPVVE&amp;New&amp;Chiller__PumpCtrl*"
    ),
    ""
)</f>
        <v>1.8308999999999999E-2</v>
      </c>
      <c r="I26" s="9">
        <f>IFERROR(
    _xlfn.MINIFS(
        'Combined Runs'!$G:$G,
        'Combined Runs'!$B:$B, I$17,
        'Combined Runs'!$A:$A, "*" &amp; $B26 &amp; "&amp;0&amp;cPVVE&amp;New&amp;Chiller__PumpCtrl*"
    ),
    ""
)</f>
        <v>1.924E-2</v>
      </c>
      <c r="J26" s="9">
        <f>IFERROR(
    _xlfn.MINIFS(
        'Combined Runs'!$G:$G,
        'Combined Runs'!$B:$B, J$17,
        'Combined Runs'!$A:$A, "*" &amp; $B26 &amp; "&amp;0&amp;cPVVE&amp;New&amp;Chiller__PumpCtrl*"
    ),
    ""
)</f>
        <v>2.0362999999999999E-2</v>
      </c>
      <c r="K26" s="9">
        <f>IFERROR(
    _xlfn.MINIFS(
        'Combined Runs'!$G:$G,
        'Combined Runs'!$B:$B, K$17,
        'Combined Runs'!$A:$A, "*" &amp; $B26 &amp; "&amp;0&amp;cPVVE&amp;New&amp;Chiller__PumpCtrl*"
    ),
    ""
)</f>
        <v>2.0211E-2</v>
      </c>
      <c r="L26" s="9">
        <f>IFERROR(
    _xlfn.MINIFS(
        'Combined Runs'!$G:$G,
        'Combined Runs'!$B:$B, L$17,
        'Combined Runs'!$A:$A, "*" &amp; $B26 &amp; "&amp;0&amp;cPVVE&amp;New&amp;Chiller__PumpCtrl*"
    ),
    ""
)</f>
        <v>2.2665999999999999E-2</v>
      </c>
      <c r="M26" s="9">
        <f>IFERROR(
    _xlfn.MINIFS(
        'Combined Runs'!$G:$G,
        'Combined Runs'!$B:$B, M$17,
        'Combined Runs'!$A:$A, "*" &amp; $B26 &amp; "&amp;0&amp;cPVVE&amp;New&amp;Chiller__PumpCtrl*"
    ),
    ""
)</f>
        <v>2.2943999999999999E-2</v>
      </c>
      <c r="N26" s="9">
        <f>IFERROR(
    _xlfn.MINIFS(
        'Combined Runs'!$G:$G,
        'Combined Runs'!$B:$B, N$17,
        'Combined Runs'!$A:$A, "*" &amp; $B26 &amp; "&amp;0&amp;cPVVE&amp;New&amp;Chiller__PumpCtrl*"
    ),
    ""
)</f>
        <v>2.2620000000000001E-2</v>
      </c>
      <c r="O26" s="9">
        <f>IFERROR(
    _xlfn.MINIFS(
        'Combined Runs'!$G:$G,
        'Combined Runs'!$B:$B, O$17,
        'Combined Runs'!$A:$A, "*" &amp; $B26 &amp; "&amp;0&amp;cPVVE&amp;New&amp;Chiller__PumpCtrl*"
    ),
    ""
)</f>
        <v>2.3599999999999999E-2</v>
      </c>
      <c r="P26" s="9">
        <f>IFERROR(
    _xlfn.MINIFS(
        'Combined Runs'!$G:$G,
        'Combined Runs'!$B:$B, P$17,
        'Combined Runs'!$A:$A, "*" &amp; $B26 &amp; "&amp;0&amp;cPVVE&amp;New&amp;Chiller__PumpCtrl*"
    ),
    ""
)</f>
        <v>2.3699999999999999E-2</v>
      </c>
      <c r="Q26" s="9">
        <f>IFERROR(
    _xlfn.MINIFS(
        'Combined Runs'!$G:$G,
        'Combined Runs'!$B:$B, Q$17,
        'Combined Runs'!$A:$A, "*" &amp; $B26 &amp; "&amp;0&amp;cPVVE&amp;New&amp;Chiller__PumpCtrl*"
    ),
    ""
)</f>
        <v>2.4417999999999999E-2</v>
      </c>
      <c r="R26" s="10">
        <f>IFERROR(
    _xlfn.MINIFS(
        'Combined Runs'!$G:$G,
        'Combined Runs'!$B:$B, R$17,
        'Combined Runs'!$A:$A, "*" &amp; $B26 &amp; "&amp;0&amp;cPVVE&amp;New&amp;Chiller__PumpCtrl*"
    ),
    ""
)</f>
        <v>2.0212000000000001E-2</v>
      </c>
      <c r="S26" s="9">
        <f>MIN(Table24[[#This Row],[CZ01]:[CZ16]])</f>
        <v>1.5125E-2</v>
      </c>
      <c r="T26" s="9">
        <f>AVERAGE(Table24[[#This Row],[CZ01]:[CZ16]])</f>
        <v>2.0566749999999998E-2</v>
      </c>
      <c r="U26" s="9">
        <f>MAX(Table24[[#This Row],[CZ01]:[CZ16]])</f>
        <v>2.4417999999999999E-2</v>
      </c>
    </row>
  </sheetData>
  <mergeCells count="2">
    <mergeCell ref="S3:U3"/>
    <mergeCell ref="S16:U16"/>
  </mergeCells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6271-E63D-4398-8678-C502A7192683}">
  <dimension ref="A1:X54"/>
  <sheetViews>
    <sheetView topLeftCell="A10" workbookViewId="0">
      <selection activeCell="B28" sqref="B28"/>
    </sheetView>
  </sheetViews>
  <sheetFormatPr defaultRowHeight="15" x14ac:dyDescent="0.25"/>
  <cols>
    <col min="2" max="2" width="14.5703125" customWidth="1"/>
    <col min="19" max="19" width="17.28515625" customWidth="1"/>
    <col min="20" max="20" width="15" customWidth="1"/>
    <col min="21" max="21" width="11.7109375" customWidth="1"/>
    <col min="22" max="22" width="19.5703125" customWidth="1"/>
  </cols>
  <sheetData>
    <row r="1" spans="1:24" x14ac:dyDescent="0.25">
      <c r="A1" t="s">
        <v>1</v>
      </c>
      <c r="B1" s="1" t="s">
        <v>2</v>
      </c>
    </row>
    <row r="2" spans="1:24" x14ac:dyDescent="0.25">
      <c r="B2" s="1" t="s">
        <v>652</v>
      </c>
    </row>
    <row r="3" spans="1:24" x14ac:dyDescent="0.25">
      <c r="B3" t="s">
        <v>640</v>
      </c>
      <c r="S3" s="23" t="s">
        <v>650</v>
      </c>
      <c r="T3" s="23"/>
      <c r="U3" s="23"/>
    </row>
    <row r="4" spans="1:24" x14ac:dyDescent="0.25">
      <c r="B4" s="5" t="s">
        <v>0</v>
      </c>
      <c r="C4" s="6" t="s">
        <v>11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  <c r="L4" s="6" t="s">
        <v>20</v>
      </c>
      <c r="M4" s="6" t="s">
        <v>21</v>
      </c>
      <c r="N4" s="6" t="s">
        <v>22</v>
      </c>
      <c r="O4" s="6" t="s">
        <v>23</v>
      </c>
      <c r="P4" s="6" t="s">
        <v>24</v>
      </c>
      <c r="Q4" s="6" t="s">
        <v>25</v>
      </c>
      <c r="R4" s="7" t="s">
        <v>26</v>
      </c>
      <c r="S4" s="6" t="s">
        <v>642</v>
      </c>
      <c r="T4" s="6" t="s">
        <v>644</v>
      </c>
      <c r="U4" s="6" t="s">
        <v>645</v>
      </c>
      <c r="W4" t="s">
        <v>648</v>
      </c>
    </row>
    <row r="5" spans="1:24" x14ac:dyDescent="0.25">
      <c r="B5" s="3" t="s">
        <v>3</v>
      </c>
      <c r="C5" s="2">
        <f>'Design flow rate'!C5*0.7</f>
        <v>9.7987399999999988E-2</v>
      </c>
      <c r="D5" s="2">
        <f>'Design flow rate'!D5*0.7</f>
        <v>0.12599509999999997</v>
      </c>
      <c r="E5" s="2">
        <f>'Design flow rate'!E5*0.7</f>
        <v>0.11842179999999998</v>
      </c>
      <c r="F5" s="2">
        <f>'Design flow rate'!F5*0.7</f>
        <v>0.12757639999999998</v>
      </c>
      <c r="G5" s="2">
        <f>'Design flow rate'!G5*0.7</f>
        <v>0.11193349999999999</v>
      </c>
      <c r="H5" s="2">
        <f>'Design flow rate'!H5*0.7</f>
        <v>0.11671029999999999</v>
      </c>
      <c r="I5" s="2">
        <f>'Design flow rate'!I5*0.7</f>
        <v>0.1196916</v>
      </c>
      <c r="J5" s="2">
        <f>'Design flow rate'!J5*0.7</f>
        <v>0.12847310000000001</v>
      </c>
      <c r="K5" s="2">
        <f>'Design flow rate'!K5*0.7</f>
        <v>0.13023779999999999</v>
      </c>
      <c r="L5" s="2">
        <f>'Design flow rate'!L5*0.7</f>
        <v>0.13971789999999998</v>
      </c>
      <c r="M5" s="2">
        <f>'Design flow rate'!M5*0.7</f>
        <v>0.14124529999999999</v>
      </c>
      <c r="N5" s="2">
        <f>'Design flow rate'!N5*0.7</f>
        <v>0.13778170000000001</v>
      </c>
      <c r="O5" s="2">
        <f>'Design flow rate'!O5*0.7</f>
        <v>0.14218609999999998</v>
      </c>
      <c r="P5" s="2">
        <f>'Design flow rate'!P5*0.7</f>
        <v>0.14188019999999998</v>
      </c>
      <c r="Q5" s="2">
        <f>'Design flow rate'!Q5*0.7</f>
        <v>0.14687049999999999</v>
      </c>
      <c r="R5" s="2">
        <f>'Design flow rate'!R5*0.7</f>
        <v>0.1245734</v>
      </c>
      <c r="S5" s="2">
        <f>'Design flow rate'!S5*0.7</f>
        <v>9.7987399999999988E-2</v>
      </c>
      <c r="T5" s="2">
        <f>'Design flow rate'!T5*0.7</f>
        <v>0.12820513124999997</v>
      </c>
      <c r="U5" s="2">
        <f>'Design flow rate'!U5*0.7</f>
        <v>0.14687049999999999</v>
      </c>
      <c r="W5">
        <v>995</v>
      </c>
      <c r="X5" t="s">
        <v>643</v>
      </c>
    </row>
    <row r="6" spans="1:24" x14ac:dyDescent="0.25">
      <c r="B6" s="3" t="s">
        <v>4</v>
      </c>
      <c r="C6" s="2">
        <f>'Design flow rate'!C6*0.7</f>
        <v>1.6264499999999998E-2</v>
      </c>
      <c r="D6" s="2">
        <f>'Design flow rate'!D6*0.7</f>
        <v>2.0885899999999999E-2</v>
      </c>
      <c r="E6" s="2">
        <f>'Design flow rate'!E6*0.7</f>
        <v>1.9812799999999998E-2</v>
      </c>
      <c r="F6" s="2">
        <f>'Design flow rate'!F6*0.7</f>
        <v>2.1209299999999997E-2</v>
      </c>
      <c r="G6" s="2">
        <f>'Design flow rate'!G6*0.7</f>
        <v>1.8653599999999999E-2</v>
      </c>
      <c r="H6" s="2">
        <f>'Design flow rate'!H6*0.7</f>
        <v>1.9523699999999998E-2</v>
      </c>
      <c r="I6" s="2">
        <f>'Design flow rate'!I6*0.7</f>
        <v>2.0006699999999999E-2</v>
      </c>
      <c r="J6" s="2">
        <f>'Design flow rate'!J6*0.7</f>
        <v>2.1391999999999998E-2</v>
      </c>
      <c r="K6" s="2">
        <f>'Design flow rate'!K6*0.7</f>
        <v>2.1965999999999996E-2</v>
      </c>
      <c r="L6" s="2">
        <f>'Design flow rate'!L6*0.7</f>
        <v>2.27563E-2</v>
      </c>
      <c r="M6" s="2">
        <f>'Design flow rate'!M6*0.7</f>
        <v>2.3092299999999996E-2</v>
      </c>
      <c r="N6" s="2">
        <f>'Design flow rate'!N6*0.7</f>
        <v>2.2185799999999999E-2</v>
      </c>
      <c r="O6" s="2">
        <f>'Design flow rate'!O6*0.7</f>
        <v>2.31448E-2</v>
      </c>
      <c r="P6" s="2">
        <f>'Design flow rate'!P6*0.7</f>
        <v>2.3067799999999996E-2</v>
      </c>
      <c r="Q6" s="2">
        <f>'Design flow rate'!Q6*0.7</f>
        <v>2.38126E-2</v>
      </c>
      <c r="R6" s="2">
        <f>'Design flow rate'!R6*0.7</f>
        <v>2.01754E-2</v>
      </c>
      <c r="S6" s="2">
        <f>'Design flow rate'!S6*0.7</f>
        <v>1.6264499999999998E-2</v>
      </c>
      <c r="T6" s="2">
        <f>'Design flow rate'!T6*0.7</f>
        <v>2.1121843749999997E-2</v>
      </c>
      <c r="U6" s="2">
        <f>'Design flow rate'!U6*0.7</f>
        <v>2.38126E-2</v>
      </c>
    </row>
    <row r="7" spans="1:24" x14ac:dyDescent="0.25">
      <c r="B7" s="3" t="s">
        <v>5</v>
      </c>
      <c r="C7" s="2">
        <f>'Design flow rate'!C7*0.7</f>
        <v>0.25078759999999994</v>
      </c>
      <c r="D7" s="2">
        <f>'Design flow rate'!D7*0.7</f>
        <v>0.29743769999999997</v>
      </c>
      <c r="E7" s="2">
        <f>'Design flow rate'!E7*0.7</f>
        <v>0.28772169999999997</v>
      </c>
      <c r="F7" s="2">
        <f>'Design flow rate'!F7*0.7</f>
        <v>0.30021389999999998</v>
      </c>
      <c r="G7" s="2">
        <f>'Design flow rate'!G7*0.7</f>
        <v>0.27315400000000001</v>
      </c>
      <c r="H7" s="2">
        <f>'Design flow rate'!H7*0.7</f>
        <v>0.2816226</v>
      </c>
      <c r="I7" s="2">
        <f>'Design flow rate'!I7*0.7</f>
        <v>0.28680049999999996</v>
      </c>
      <c r="J7" s="2">
        <f>'Design flow rate'!J7*0.7</f>
        <v>0.30224319999999999</v>
      </c>
      <c r="K7" s="2">
        <f>'Design flow rate'!K7*0.7</f>
        <v>0.3071005</v>
      </c>
      <c r="L7" s="2">
        <f>'Design flow rate'!L7*0.7</f>
        <v>0.31171070000000001</v>
      </c>
      <c r="M7" s="2">
        <f>'Design flow rate'!M7*0.7</f>
        <v>0.32070359999999998</v>
      </c>
      <c r="N7" s="2">
        <f>'Design flow rate'!N7*0.7</f>
        <v>0.31329689999999999</v>
      </c>
      <c r="O7" s="2">
        <f>'Design flow rate'!O7*0.7</f>
        <v>0.3223241</v>
      </c>
      <c r="P7" s="2">
        <f>'Design flow rate'!P7*0.7</f>
        <v>0.32245639999999998</v>
      </c>
      <c r="Q7" s="2">
        <f>'Design flow rate'!Q7*0.7</f>
        <v>0.32970909999999998</v>
      </c>
      <c r="R7" s="2">
        <f>'Design flow rate'!R7*0.7</f>
        <v>0.2924523</v>
      </c>
      <c r="S7" s="2">
        <f>'Design flow rate'!S7*0.7</f>
        <v>0.25078759999999994</v>
      </c>
      <c r="T7" s="2">
        <f>'Design flow rate'!T7*0.7</f>
        <v>0.29998342499999997</v>
      </c>
      <c r="U7" s="2">
        <f>'Design flow rate'!U7*0.7</f>
        <v>0.32970909999999998</v>
      </c>
    </row>
    <row r="8" spans="1:24" x14ac:dyDescent="0.25">
      <c r="B8" s="3" t="s">
        <v>6</v>
      </c>
      <c r="C8" s="2">
        <f>'Design flow rate'!C8*0.7</f>
        <v>0.1175783</v>
      </c>
      <c r="D8" s="2">
        <f>'Design flow rate'!D8*0.7</f>
        <v>0.14466969999999998</v>
      </c>
      <c r="E8" s="2">
        <f>'Design flow rate'!E8*0.7</f>
        <v>0.13759339999999998</v>
      </c>
      <c r="F8" s="2">
        <f>'Design flow rate'!F8*0.7</f>
        <v>0.14659329999999998</v>
      </c>
      <c r="G8" s="2">
        <f>'Design flow rate'!G8*0.7</f>
        <v>0.13268779999999999</v>
      </c>
      <c r="H8" s="2">
        <f>'Design flow rate'!H8*0.7</f>
        <v>0.13807639999999999</v>
      </c>
      <c r="I8" s="2">
        <f>'Design flow rate'!I8*0.7</f>
        <v>0.1414966</v>
      </c>
      <c r="J8" s="2">
        <f>'Design flow rate'!J8*0.7</f>
        <v>0.1486912</v>
      </c>
      <c r="K8" s="2">
        <f>'Design flow rate'!K8*0.7</f>
        <v>0.15179219999999999</v>
      </c>
      <c r="L8" s="2">
        <f>'Design flow rate'!L8*0.7</f>
        <v>0.16148789999999999</v>
      </c>
      <c r="M8" s="2">
        <f>'Design flow rate'!M8*0.7</f>
        <v>0.15925420000000001</v>
      </c>
      <c r="N8" s="2">
        <f>'Design flow rate'!N8*0.7</f>
        <v>0.1557248</v>
      </c>
      <c r="O8" s="2">
        <f>'Design flow rate'!O8*0.7</f>
        <v>0.16091249999999999</v>
      </c>
      <c r="P8" s="2">
        <f>'Design flow rate'!P8*0.7</f>
        <v>0.16013619999999998</v>
      </c>
      <c r="Q8" s="2">
        <f>'Design flow rate'!Q8*0.7</f>
        <v>0.1652805</v>
      </c>
      <c r="R8" s="2">
        <f>'Design flow rate'!R8*0.7</f>
        <v>0.14507429999999999</v>
      </c>
      <c r="S8" s="2">
        <f>'Design flow rate'!S8*0.7</f>
        <v>0.1175783</v>
      </c>
      <c r="T8" s="2">
        <f>'Design flow rate'!T8*0.7</f>
        <v>0.14794058124999995</v>
      </c>
      <c r="U8" s="2">
        <f>'Design flow rate'!U8*0.7</f>
        <v>0.1652805</v>
      </c>
    </row>
    <row r="9" spans="1:24" x14ac:dyDescent="0.25">
      <c r="B9" s="3" t="s">
        <v>7</v>
      </c>
      <c r="C9" s="2">
        <f>'Design flow rate'!C9*0.7</f>
        <v>1.49891E-2</v>
      </c>
      <c r="D9" s="2">
        <f>'Design flow rate'!D9*0.7</f>
        <v>1.9063799999999999E-2</v>
      </c>
      <c r="E9" s="2">
        <f>'Design flow rate'!E9*0.7</f>
        <v>1.8039699999999999E-2</v>
      </c>
      <c r="F9" s="2">
        <f>'Design flow rate'!F9*0.7</f>
        <v>1.93137E-2</v>
      </c>
      <c r="G9" s="2">
        <f>'Design flow rate'!G9*0.7</f>
        <v>1.6956799999999998E-2</v>
      </c>
      <c r="H9" s="2">
        <f>'Design flow rate'!H9*0.7</f>
        <v>1.7677799999999997E-2</v>
      </c>
      <c r="I9" s="2">
        <f>'Design flow rate'!I9*0.7</f>
        <v>1.8008899999999998E-2</v>
      </c>
      <c r="J9" s="2">
        <f>'Design flow rate'!J9*0.7</f>
        <v>1.9378099999999999E-2</v>
      </c>
      <c r="K9" s="2">
        <f>'Design flow rate'!K9*0.7</f>
        <v>1.9515999999999999E-2</v>
      </c>
      <c r="L9" s="2">
        <f>'Design flow rate'!L9*0.7</f>
        <v>2.0572299999999998E-2</v>
      </c>
      <c r="M9" s="2">
        <f>'Design flow rate'!M9*0.7</f>
        <v>2.1217699999999999E-2</v>
      </c>
      <c r="N9" s="2">
        <f>'Design flow rate'!N9*0.7</f>
        <v>2.0458199999999999E-2</v>
      </c>
      <c r="O9" s="2">
        <f>'Design flow rate'!O9*0.7</f>
        <v>2.1285599999999998E-2</v>
      </c>
      <c r="P9" s="2">
        <f>'Design flow rate'!P9*0.7</f>
        <v>2.1415799999999999E-2</v>
      </c>
      <c r="Q9" s="2">
        <f>'Design flow rate'!Q9*0.7</f>
        <v>2.1946399999999998E-2</v>
      </c>
      <c r="R9" s="2">
        <f>'Design flow rate'!R9*0.7</f>
        <v>1.8785199999999998E-2</v>
      </c>
      <c r="S9" s="2">
        <f>'Design flow rate'!S9*0.7</f>
        <v>1.49891E-2</v>
      </c>
      <c r="T9" s="2">
        <f>'Design flow rate'!T9*0.7</f>
        <v>1.9289068749999999E-2</v>
      </c>
      <c r="U9" s="2">
        <f>'Design flow rate'!U9*0.7</f>
        <v>2.1946399999999998E-2</v>
      </c>
    </row>
    <row r="10" spans="1:24" x14ac:dyDescent="0.25">
      <c r="B10" s="3" t="s">
        <v>8</v>
      </c>
      <c r="C10" s="2">
        <f>'Design flow rate'!C10*0.7</f>
        <v>9.6963999999999995E-2</v>
      </c>
      <c r="D10" s="2">
        <f>'Design flow rate'!D10*0.7</f>
        <v>0.12082419999999999</v>
      </c>
      <c r="E10" s="2">
        <f>'Design flow rate'!E10*0.7</f>
        <v>0.11421269999999999</v>
      </c>
      <c r="F10" s="2">
        <f>'Design flow rate'!F10*0.7</f>
        <v>0.12164459999999998</v>
      </c>
      <c r="G10" s="2">
        <f>'Design flow rate'!G10*0.7</f>
        <v>0.1103949</v>
      </c>
      <c r="H10" s="2">
        <f>'Design flow rate'!H10*0.7</f>
        <v>0.11170599999999999</v>
      </c>
      <c r="I10" s="2">
        <f>'Design flow rate'!I10*0.7</f>
        <v>0.112427</v>
      </c>
      <c r="J10" s="2">
        <f>'Design flow rate'!J10*0.7</f>
        <v>0.12095649999999999</v>
      </c>
      <c r="K10" s="2">
        <f>'Design flow rate'!K10*0.7</f>
        <v>0.12361509999999999</v>
      </c>
      <c r="L10" s="2">
        <f>'Design flow rate'!L10*0.7</f>
        <v>0.12370749999999998</v>
      </c>
      <c r="M10" s="2">
        <f>'Design flow rate'!M10*0.7</f>
        <v>0.13078239999999999</v>
      </c>
      <c r="N10" s="2">
        <f>'Design flow rate'!N10*0.7</f>
        <v>0.1262702</v>
      </c>
      <c r="O10" s="2">
        <f>'Design flow rate'!O10*0.7</f>
        <v>0.1292711</v>
      </c>
      <c r="P10" s="2">
        <f>'Design flow rate'!P10*0.7</f>
        <v>0.1314649</v>
      </c>
      <c r="Q10" s="2">
        <f>'Design flow rate'!Q10*0.7</f>
        <v>0.13295239999999997</v>
      </c>
      <c r="R10" s="2">
        <f>'Design flow rate'!R10*0.7</f>
        <v>0.12128899999999999</v>
      </c>
      <c r="S10" s="2">
        <f>'Design flow rate'!S10*0.7</f>
        <v>9.6963999999999995E-2</v>
      </c>
      <c r="T10" s="2">
        <f>'Design flow rate'!T10*0.7</f>
        <v>0.12053015624999996</v>
      </c>
      <c r="U10" s="2">
        <f>'Design flow rate'!U10*0.7</f>
        <v>0.13295239999999997</v>
      </c>
    </row>
    <row r="11" spans="1:24" x14ac:dyDescent="0.25">
      <c r="B11" s="3" t="s">
        <v>9</v>
      </c>
      <c r="C11" s="2">
        <f>'Design flow rate'!C11*0.7</f>
        <v>7.2855999999999997E-3</v>
      </c>
      <c r="D11" s="2">
        <f>'Design flow rate'!D11*0.7</f>
        <v>9.0719999999999985E-3</v>
      </c>
      <c r="E11" s="2">
        <f>'Design flow rate'!E11*0.7</f>
        <v>8.7142999999999995E-3</v>
      </c>
      <c r="F11" s="2">
        <f>'Design flow rate'!F11*0.7</f>
        <v>9.1903000000000002E-3</v>
      </c>
      <c r="G11" s="2">
        <f>'Design flow rate'!G11*0.7</f>
        <v>8.3076000000000001E-3</v>
      </c>
      <c r="H11" s="2">
        <f>'Design flow rate'!H11*0.7</f>
        <v>8.4889000000000006E-3</v>
      </c>
      <c r="I11" s="2">
        <f>'Design flow rate'!I11*0.7</f>
        <v>8.4944999999999986E-3</v>
      </c>
      <c r="J11" s="2">
        <f>'Design flow rate'!J11*0.7</f>
        <v>9.1532000000000002E-3</v>
      </c>
      <c r="K11" s="2">
        <f>'Design flow rate'!K11*0.7</f>
        <v>9.5759999999999994E-3</v>
      </c>
      <c r="L11" s="2">
        <f>'Design flow rate'!L11*0.7</f>
        <v>8.9788999999999997E-3</v>
      </c>
      <c r="M11" s="2">
        <f>'Design flow rate'!M11*0.7</f>
        <v>9.9098999999999993E-3</v>
      </c>
      <c r="N11" s="2">
        <f>'Design flow rate'!N11*0.7</f>
        <v>9.2819999999999986E-3</v>
      </c>
      <c r="O11" s="2">
        <f>'Design flow rate'!O11*0.7</f>
        <v>9.6326999999999992E-3</v>
      </c>
      <c r="P11" s="2">
        <f>'Design flow rate'!P11*0.7</f>
        <v>9.8329000000000003E-3</v>
      </c>
      <c r="Q11" s="2">
        <f>'Design flow rate'!Q11*0.7</f>
        <v>9.8881999999999998E-3</v>
      </c>
      <c r="R11" s="2">
        <f>'Design flow rate'!R11*0.7</f>
        <v>9.0803999999999989E-3</v>
      </c>
      <c r="S11" s="2">
        <f>'Design flow rate'!S11*0.7</f>
        <v>7.2855999999999997E-3</v>
      </c>
      <c r="T11" s="2">
        <f>'Design flow rate'!T11*0.7</f>
        <v>9.0554625E-3</v>
      </c>
      <c r="U11" s="2">
        <f>'Design flow rate'!U11*0.7</f>
        <v>9.9098999999999993E-3</v>
      </c>
    </row>
    <row r="12" spans="1:24" x14ac:dyDescent="0.25">
      <c r="B12" s="8" t="s">
        <v>10</v>
      </c>
      <c r="C12" s="2">
        <f>'Design flow rate'!C12*0.7</f>
        <v>6.4326499999999995E-2</v>
      </c>
      <c r="D12" s="2">
        <f>'Design flow rate'!D12*0.7</f>
        <v>8.554769999999999E-2</v>
      </c>
      <c r="E12" s="2">
        <f>'Design flow rate'!E12*0.7</f>
        <v>8.0906699999999998E-2</v>
      </c>
      <c r="F12" s="2">
        <f>'Design flow rate'!F12*0.7</f>
        <v>8.7632999999999989E-2</v>
      </c>
      <c r="G12" s="2">
        <f>'Design flow rate'!G12*0.7</f>
        <v>7.6965699999999984E-2</v>
      </c>
      <c r="H12" s="2">
        <f>'Design flow rate'!H12*0.7</f>
        <v>8.2245100000000002E-2</v>
      </c>
      <c r="I12" s="2">
        <f>'Design flow rate'!I12*0.7</f>
        <v>8.5932699999999987E-2</v>
      </c>
      <c r="J12" s="2">
        <f>'Design flow rate'!J12*0.7</f>
        <v>8.9933899999999997E-2</v>
      </c>
      <c r="K12" s="2">
        <f>'Design flow rate'!K12*0.7</f>
        <v>9.3949099999999994E-2</v>
      </c>
      <c r="L12" s="2">
        <f>'Design flow rate'!L12*0.7</f>
        <v>0.1011465</v>
      </c>
      <c r="M12" s="2">
        <f>'Design flow rate'!M12*0.7</f>
        <v>9.5529699999999995E-2</v>
      </c>
      <c r="N12" s="2">
        <f>'Design flow rate'!N12*0.7</f>
        <v>9.2388799999999993E-2</v>
      </c>
      <c r="O12" s="2">
        <f>'Design flow rate'!O12*0.7</f>
        <v>9.719499999999999E-2</v>
      </c>
      <c r="P12" s="2">
        <f>'Design flow rate'!P12*0.7</f>
        <v>9.4906000000000004E-2</v>
      </c>
      <c r="Q12" s="2">
        <f>'Design flow rate'!Q12*0.7</f>
        <v>0.1000286</v>
      </c>
      <c r="R12" s="2">
        <f>'Design flow rate'!R12*0.7</f>
        <v>8.2357799999999995E-2</v>
      </c>
      <c r="S12" s="2">
        <f>'Design flow rate'!S12*0.7</f>
        <v>6.4326499999999995E-2</v>
      </c>
      <c r="T12" s="2">
        <f>'Design flow rate'!T12*0.7</f>
        <v>8.8187049999999989E-2</v>
      </c>
      <c r="U12" s="2">
        <f>'Design flow rate'!U12*0.7</f>
        <v>0.1011465</v>
      </c>
    </row>
    <row r="13" spans="1:24" x14ac:dyDescent="0.25">
      <c r="B13" s="8" t="s">
        <v>639</v>
      </c>
      <c r="C13" s="9">
        <f>'Design flow rate'!C13*0.7</f>
        <v>1.2004300000000001E-2</v>
      </c>
      <c r="D13" s="9">
        <f>'Design flow rate'!D13*0.7</f>
        <v>1.6040499999999999E-2</v>
      </c>
      <c r="E13" s="9">
        <f>'Design flow rate'!E13*0.7</f>
        <v>1.5101799999999999E-2</v>
      </c>
      <c r="F13" s="9">
        <f>'Design flow rate'!F13*0.7</f>
        <v>1.6264499999999998E-2</v>
      </c>
      <c r="G13" s="9">
        <f>'Design flow rate'!G13*0.7</f>
        <v>1.3923E-2</v>
      </c>
      <c r="H13" s="9">
        <f>'Design flow rate'!H13*0.7</f>
        <v>1.4688100000000001E-2</v>
      </c>
      <c r="I13" s="9">
        <f>'Design flow rate'!I13*0.7</f>
        <v>1.49786E-2</v>
      </c>
      <c r="J13" s="9">
        <f>'Design flow rate'!J13*0.7</f>
        <v>1.6433199999999999E-2</v>
      </c>
      <c r="K13" s="9">
        <f>'Design flow rate'!K13*0.7</f>
        <v>1.6467499999999999E-2</v>
      </c>
      <c r="L13" s="9">
        <f>'Design flow rate'!L13*0.7</f>
        <v>1.7943799999999999E-2</v>
      </c>
      <c r="M13" s="9">
        <f>'Design flow rate'!M13*0.7</f>
        <v>1.8580800000000001E-2</v>
      </c>
      <c r="N13" s="9">
        <f>'Design flow rate'!N13*0.7</f>
        <v>1.79683E-2</v>
      </c>
      <c r="O13" s="9">
        <f>'Design flow rate'!O13*0.7</f>
        <v>1.88153E-2</v>
      </c>
      <c r="P13" s="9">
        <f>'Design flow rate'!P13*0.7</f>
        <v>1.8612999999999998E-2</v>
      </c>
      <c r="Q13" s="9">
        <f>'Design flow rate'!Q13*0.7</f>
        <v>1.9268199999999999E-2</v>
      </c>
      <c r="R13" s="10">
        <f>'Design flow rate'!R13*0.7</f>
        <v>1.62372E-2</v>
      </c>
      <c r="S13" s="2">
        <f>'Design flow rate'!S13*0.7</f>
        <v>1.2004300000000001E-2</v>
      </c>
      <c r="T13" s="2">
        <f>'Design flow rate'!T13*0.7</f>
        <v>1.6458006249999997E-2</v>
      </c>
      <c r="U13" s="2">
        <f>'Design flow rate'!U13*0.7</f>
        <v>1.9268199999999999E-2</v>
      </c>
    </row>
    <row r="16" spans="1:24" x14ac:dyDescent="0.25">
      <c r="B16" t="s">
        <v>641</v>
      </c>
      <c r="S16" s="23" t="s">
        <v>650</v>
      </c>
      <c r="T16" s="23"/>
      <c r="U16" s="23"/>
    </row>
    <row r="17" spans="2:21" x14ac:dyDescent="0.25">
      <c r="B17" s="5" t="s">
        <v>0</v>
      </c>
      <c r="C17" s="6" t="s">
        <v>11</v>
      </c>
      <c r="D17" s="6" t="s">
        <v>12</v>
      </c>
      <c r="E17" s="6" t="s">
        <v>13</v>
      </c>
      <c r="F17" s="6" t="s">
        <v>14</v>
      </c>
      <c r="G17" s="6" t="s">
        <v>15</v>
      </c>
      <c r="H17" s="6" t="s">
        <v>16</v>
      </c>
      <c r="I17" s="6" t="s">
        <v>17</v>
      </c>
      <c r="J17" s="6" t="s">
        <v>18</v>
      </c>
      <c r="K17" s="6" t="s">
        <v>19</v>
      </c>
      <c r="L17" s="6" t="s">
        <v>20</v>
      </c>
      <c r="M17" s="6" t="s">
        <v>21</v>
      </c>
      <c r="N17" s="6" t="s">
        <v>22</v>
      </c>
      <c r="O17" s="6" t="s">
        <v>23</v>
      </c>
      <c r="P17" s="6" t="s">
        <v>24</v>
      </c>
      <c r="Q17" s="6" t="s">
        <v>25</v>
      </c>
      <c r="R17" s="7" t="s">
        <v>26</v>
      </c>
      <c r="S17" s="6" t="s">
        <v>642</v>
      </c>
      <c r="T17" s="6" t="s">
        <v>644</v>
      </c>
      <c r="U17" s="6" t="s">
        <v>645</v>
      </c>
    </row>
    <row r="18" spans="2:21" x14ac:dyDescent="0.25">
      <c r="B18" s="3" t="s">
        <v>3</v>
      </c>
      <c r="C18" s="2">
        <f>'Design flow rate'!C18*0.7</f>
        <v>7.5866000000000003E-2</v>
      </c>
      <c r="D18" s="2">
        <f>'Design flow rate'!D18*0.7</f>
        <v>0.10569579999999999</v>
      </c>
      <c r="E18" s="2">
        <f>'Design flow rate'!E18*0.7</f>
        <v>9.8077700000000004E-2</v>
      </c>
      <c r="F18" s="2">
        <f>'Design flow rate'!F18*0.7</f>
        <v>0.10717979999999999</v>
      </c>
      <c r="G18" s="2">
        <f>'Design flow rate'!G18*0.7</f>
        <v>9.1604099999999994E-2</v>
      </c>
      <c r="H18" s="2">
        <f>'Design flow rate'!H18*0.7</f>
        <v>9.7184499999999979E-2</v>
      </c>
      <c r="I18" s="2">
        <f>'Design flow rate'!I18*0.7</f>
        <v>9.9945299999999987E-2</v>
      </c>
      <c r="J18" s="2">
        <f>'Design flow rate'!J18*0.7</f>
        <v>0.10883039999999999</v>
      </c>
      <c r="K18" s="2">
        <f>'Design flow rate'!K18*0.7</f>
        <v>0.10984960000000001</v>
      </c>
      <c r="L18" s="2">
        <f>'Design flow rate'!L18*0.7</f>
        <v>0.12046509999999999</v>
      </c>
      <c r="M18" s="2">
        <f>'Design flow rate'!M18*0.7</f>
        <v>0.1101401</v>
      </c>
      <c r="N18" s="2">
        <f>'Design flow rate'!N18*0.7</f>
        <v>0.1102556</v>
      </c>
      <c r="O18" s="2">
        <f>'Design flow rate'!O18*0.7</f>
        <v>0.1135386</v>
      </c>
      <c r="P18" s="2">
        <f>'Design flow rate'!P18*0.7</f>
        <v>0.11340839999999998</v>
      </c>
      <c r="Q18" s="2">
        <f>'Design flow rate'!Q18*0.7</f>
        <v>0.11837139999999999</v>
      </c>
      <c r="R18" s="2">
        <f>'Design flow rate'!R18*0.7</f>
        <v>9.8578200000000005E-2</v>
      </c>
      <c r="S18" s="2">
        <f>'Design flow rate'!S18*0.7</f>
        <v>7.5866000000000003E-2</v>
      </c>
      <c r="T18" s="2">
        <f>'Design flow rate'!T18*0.7</f>
        <v>0.10493691250000001</v>
      </c>
      <c r="U18" s="2">
        <f>'Design flow rate'!U18*0.7</f>
        <v>0.12046509999999999</v>
      </c>
    </row>
    <row r="19" spans="2:21" x14ac:dyDescent="0.25">
      <c r="B19" s="3" t="s">
        <v>4</v>
      </c>
      <c r="C19" s="2">
        <f>'Design flow rate'!C19*0.7</f>
        <v>1.1538799999999998E-2</v>
      </c>
      <c r="D19" s="2">
        <f>'Design flow rate'!D19*0.7</f>
        <v>1.6596999999999997E-2</v>
      </c>
      <c r="E19" s="2">
        <f>'Design flow rate'!E19*0.7</f>
        <v>1.5527399999999998E-2</v>
      </c>
      <c r="F19" s="2">
        <f>'Design flow rate'!F19*0.7</f>
        <v>1.6882599999999998E-2</v>
      </c>
      <c r="G19" s="2">
        <f>'Design flow rate'!G19*0.7</f>
        <v>1.4361199999999999E-2</v>
      </c>
      <c r="H19" s="2">
        <f>'Design flow rate'!H19*0.7</f>
        <v>1.55225E-2</v>
      </c>
      <c r="I19" s="2">
        <f>'Design flow rate'!I19*0.7</f>
        <v>1.5970499999999999E-2</v>
      </c>
      <c r="J19" s="2">
        <f>'Design flow rate'!J19*0.7</f>
        <v>1.7337599999999998E-2</v>
      </c>
      <c r="K19" s="2">
        <f>'Design flow rate'!K19*0.7</f>
        <v>1.74699E-2</v>
      </c>
      <c r="L19" s="2">
        <f>'Design flow rate'!L19*0.7</f>
        <v>1.8886E-2</v>
      </c>
      <c r="M19" s="2">
        <f>'Design flow rate'!M19*0.7</f>
        <v>1.62904E-2</v>
      </c>
      <c r="N19" s="2">
        <f>'Design flow rate'!N19*0.7</f>
        <v>1.6157399999999999E-2</v>
      </c>
      <c r="O19" s="2">
        <f>'Design flow rate'!O19*0.7</f>
        <v>1.68903E-2</v>
      </c>
      <c r="P19" s="2">
        <f>'Design flow rate'!P19*0.7</f>
        <v>1.6928800000000001E-2</v>
      </c>
      <c r="Q19" s="2">
        <f>'Design flow rate'!Q19*0.7</f>
        <v>1.7803799999999998E-2</v>
      </c>
      <c r="R19" s="2">
        <f>'Design flow rate'!R19*0.7</f>
        <v>1.4403900000000001E-2</v>
      </c>
      <c r="S19" s="2">
        <f>'Design flow rate'!S19*0.7</f>
        <v>1.1538799999999998E-2</v>
      </c>
      <c r="T19" s="2">
        <f>'Design flow rate'!T19*0.7</f>
        <v>1.6160506250000001E-2</v>
      </c>
      <c r="U19" s="2">
        <f>'Design flow rate'!U19*0.7</f>
        <v>1.8886E-2</v>
      </c>
    </row>
    <row r="20" spans="2:21" x14ac:dyDescent="0.25">
      <c r="B20" s="3" t="s">
        <v>5</v>
      </c>
      <c r="C20" s="2">
        <f>'Design flow rate'!C20*0.7</f>
        <v>0.1782802</v>
      </c>
      <c r="D20" s="2">
        <f>'Design flow rate'!D20*0.7</f>
        <v>0.21421960000000001</v>
      </c>
      <c r="E20" s="2">
        <f>'Design flow rate'!E20*0.7</f>
        <v>0.20756189999999997</v>
      </c>
      <c r="F20" s="2">
        <f>'Design flow rate'!F20*0.7</f>
        <v>0.21654569999999998</v>
      </c>
      <c r="G20" s="2">
        <f>'Design flow rate'!G20*0.7</f>
        <v>0.19278209999999998</v>
      </c>
      <c r="H20" s="2">
        <f>'Design flow rate'!H20*0.7</f>
        <v>0.20246799999999998</v>
      </c>
      <c r="I20" s="2">
        <f>'Design flow rate'!I20*0.7</f>
        <v>0.20924329999999999</v>
      </c>
      <c r="J20" s="2">
        <f>'Design flow rate'!J20*0.7</f>
        <v>0.21862190000000001</v>
      </c>
      <c r="K20" s="2">
        <f>'Design flow rate'!K20*0.7</f>
        <v>0.21543970000000001</v>
      </c>
      <c r="L20" s="2">
        <f>'Design flow rate'!L20*0.7</f>
        <v>0.23641239999999997</v>
      </c>
      <c r="M20" s="2">
        <f>'Design flow rate'!M20*0.7</f>
        <v>0.23196739999999999</v>
      </c>
      <c r="N20" s="2">
        <f>'Design flow rate'!N20*0.7</f>
        <v>0.2274111</v>
      </c>
      <c r="O20" s="2">
        <f>'Design flow rate'!O20*0.7</f>
        <v>0.23702980000000001</v>
      </c>
      <c r="P20" s="2">
        <f>'Design flow rate'!P20*0.7</f>
        <v>0.23781099999999997</v>
      </c>
      <c r="Q20" s="2">
        <f>'Design flow rate'!Q20*0.7</f>
        <v>0.24677029999999997</v>
      </c>
      <c r="R20" s="2">
        <f>'Design flow rate'!R20*0.7</f>
        <v>0.2089346</v>
      </c>
      <c r="S20" s="2">
        <f>'Design flow rate'!S20*0.7</f>
        <v>0.1782802</v>
      </c>
      <c r="T20" s="2">
        <f>'Design flow rate'!T20*0.7</f>
        <v>0.21759368750000002</v>
      </c>
      <c r="U20" s="2">
        <f>'Design flow rate'!U20*0.7</f>
        <v>0.24677029999999997</v>
      </c>
    </row>
    <row r="21" spans="2:21" x14ac:dyDescent="0.25">
      <c r="B21" s="3" t="s">
        <v>6</v>
      </c>
      <c r="C21" s="2">
        <f>'Design flow rate'!C21*0.7</f>
        <v>0.1000762</v>
      </c>
      <c r="D21" s="2">
        <f>'Design flow rate'!D21*0.7</f>
        <v>0.1346667</v>
      </c>
      <c r="E21" s="2">
        <f>'Design flow rate'!E21*0.7</f>
        <v>0.12662089999999998</v>
      </c>
      <c r="F21" s="2">
        <f>'Design flow rate'!F21*0.7</f>
        <v>0.13629139999999998</v>
      </c>
      <c r="G21" s="2">
        <f>'Design flow rate'!G21*0.7</f>
        <v>0.12110629999999999</v>
      </c>
      <c r="H21" s="2">
        <f>'Design flow rate'!H21*0.7</f>
        <v>0.12712909999999999</v>
      </c>
      <c r="I21" s="2">
        <f>'Design flow rate'!I21*0.7</f>
        <v>0.12939709999999999</v>
      </c>
      <c r="J21" s="2">
        <f>'Design flow rate'!J21*0.7</f>
        <v>0.1386154</v>
      </c>
      <c r="K21" s="2">
        <f>'Design flow rate'!K21*0.7</f>
        <v>0.14189209999999999</v>
      </c>
      <c r="L21" s="2">
        <f>'Design flow rate'!L21*0.7</f>
        <v>0.14987489999999998</v>
      </c>
      <c r="M21" s="2">
        <f>'Design flow rate'!M21*0.7</f>
        <v>0.13031760000000001</v>
      </c>
      <c r="N21" s="2">
        <f>'Design flow rate'!N21*0.7</f>
        <v>0.1309294</v>
      </c>
      <c r="O21" s="2">
        <f>'Design flow rate'!O21*0.7</f>
        <v>0.1339765</v>
      </c>
      <c r="P21" s="2">
        <f>'Design flow rate'!P21*0.7</f>
        <v>0.13398979999999999</v>
      </c>
      <c r="Q21" s="2">
        <f>'Design flow rate'!Q21*0.7</f>
        <v>0.13873159999999998</v>
      </c>
      <c r="R21" s="2">
        <f>'Design flow rate'!R21*0.7</f>
        <v>0.12160119999999999</v>
      </c>
      <c r="S21" s="2">
        <f>'Design flow rate'!S21*0.7</f>
        <v>0.1000762</v>
      </c>
      <c r="T21" s="2">
        <f>'Design flow rate'!T21*0.7</f>
        <v>0.13095101249999999</v>
      </c>
      <c r="U21" s="2">
        <f>'Design flow rate'!U21*0.7</f>
        <v>0.14987489999999998</v>
      </c>
    </row>
    <row r="22" spans="2:21" x14ac:dyDescent="0.25">
      <c r="B22" s="3" t="s">
        <v>7</v>
      </c>
      <c r="C22" s="2">
        <f>'Design flow rate'!C22*0.7</f>
        <v>1.07156E-2</v>
      </c>
      <c r="D22" s="2">
        <f>'Design flow rate'!D22*0.7</f>
        <v>1.3789999999999998E-2</v>
      </c>
      <c r="E22" s="2">
        <f>'Design flow rate'!E22*0.7</f>
        <v>1.3325200000000001E-2</v>
      </c>
      <c r="F22" s="2">
        <f>'Design flow rate'!F22*0.7</f>
        <v>1.4020299999999999E-2</v>
      </c>
      <c r="G22" s="2">
        <f>'Design flow rate'!G22*0.7</f>
        <v>1.2341700000000001E-2</v>
      </c>
      <c r="H22" s="2">
        <f>'Design flow rate'!H22*0.7</f>
        <v>1.3183099999999998E-2</v>
      </c>
      <c r="I22" s="2">
        <f>'Design flow rate'!I22*0.7</f>
        <v>1.3622699999999998E-2</v>
      </c>
      <c r="J22" s="2">
        <f>'Design flow rate'!J22*0.7</f>
        <v>1.4570499999999998E-2</v>
      </c>
      <c r="K22" s="2">
        <f>'Design flow rate'!K22*0.7</f>
        <v>1.40147E-2</v>
      </c>
      <c r="L22" s="2">
        <f>'Design flow rate'!L22*0.7</f>
        <v>1.57682E-2</v>
      </c>
      <c r="M22" s="2">
        <f>'Design flow rate'!M22*0.7</f>
        <v>1.5531599999999998E-2</v>
      </c>
      <c r="N22" s="2">
        <f>'Design flow rate'!N22*0.7</f>
        <v>1.5325099999999998E-2</v>
      </c>
      <c r="O22" s="2">
        <f>'Design flow rate'!O22*0.7</f>
        <v>1.6070599999999997E-2</v>
      </c>
      <c r="P22" s="2">
        <f>'Design flow rate'!P22*0.7</f>
        <v>1.6050999999999999E-2</v>
      </c>
      <c r="Q22" s="2">
        <f>'Design flow rate'!Q22*0.7</f>
        <v>1.65725E-2</v>
      </c>
      <c r="R22" s="2">
        <f>'Design flow rate'!R22*0.7</f>
        <v>1.3847399999999999E-2</v>
      </c>
      <c r="S22" s="2">
        <f>'Design flow rate'!S22*0.7</f>
        <v>1.07156E-2</v>
      </c>
      <c r="T22" s="2">
        <f>'Design flow rate'!T22*0.7</f>
        <v>1.4296887499999999E-2</v>
      </c>
      <c r="U22" s="2">
        <f>'Design flow rate'!U22*0.7</f>
        <v>1.65725E-2</v>
      </c>
    </row>
    <row r="23" spans="2:21" x14ac:dyDescent="0.25">
      <c r="B23" s="3" t="s">
        <v>8</v>
      </c>
      <c r="C23" s="2">
        <f>'Design flow rate'!C23*0.7</f>
        <v>6.3168699999999994E-2</v>
      </c>
      <c r="D23" s="2">
        <f>'Design flow rate'!D23*0.7</f>
        <v>7.8842399999999993E-2</v>
      </c>
      <c r="E23" s="2">
        <f>'Design flow rate'!E23*0.7</f>
        <v>7.4781699999999993E-2</v>
      </c>
      <c r="F23" s="2">
        <f>'Design flow rate'!F23*0.7</f>
        <v>7.928339999999999E-2</v>
      </c>
      <c r="G23" s="2">
        <f>'Design flow rate'!G23*0.7</f>
        <v>7.0873599999999995E-2</v>
      </c>
      <c r="H23" s="2">
        <f>'Design flow rate'!H23*0.7</f>
        <v>7.34041E-2</v>
      </c>
      <c r="I23" s="2">
        <f>'Design flow rate'!I23*0.7</f>
        <v>7.5016199999999991E-2</v>
      </c>
      <c r="J23" s="2">
        <f>'Design flow rate'!J23*0.7</f>
        <v>7.9692199999999991E-2</v>
      </c>
      <c r="K23" s="2">
        <f>'Design flow rate'!K23*0.7</f>
        <v>7.8271199999999999E-2</v>
      </c>
      <c r="L23" s="2">
        <f>'Design flow rate'!L23*0.7</f>
        <v>8.7020499999999987E-2</v>
      </c>
      <c r="M23" s="2">
        <f>'Design flow rate'!M23*0.7</f>
        <v>8.6551500000000003E-2</v>
      </c>
      <c r="N23" s="2">
        <f>'Design flow rate'!N23*0.7</f>
        <v>8.5157099999999999E-2</v>
      </c>
      <c r="O23" s="2">
        <f>'Design flow rate'!O23*0.7</f>
        <v>8.7559499999999998E-2</v>
      </c>
      <c r="P23" s="2">
        <f>'Design flow rate'!P23*0.7</f>
        <v>8.9077799999999999E-2</v>
      </c>
      <c r="Q23" s="2">
        <f>'Design flow rate'!Q23*0.7</f>
        <v>9.2005199999999995E-2</v>
      </c>
      <c r="R23" s="2">
        <f>'Design flow rate'!R23*0.7</f>
        <v>8.2134499999999985E-2</v>
      </c>
      <c r="S23" s="2">
        <f>'Design flow rate'!S23*0.7</f>
        <v>6.3168699999999994E-2</v>
      </c>
      <c r="T23" s="2">
        <f>'Design flow rate'!T23*0.7</f>
        <v>8.0177474999999998E-2</v>
      </c>
      <c r="U23" s="2">
        <f>'Design flow rate'!U23*0.7</f>
        <v>9.2005199999999995E-2</v>
      </c>
    </row>
    <row r="24" spans="2:21" x14ac:dyDescent="0.25">
      <c r="B24" s="3" t="s">
        <v>9</v>
      </c>
      <c r="C24" s="2">
        <f>'Design flow rate'!C24*0.7</f>
        <v>3.7813999999999994E-3</v>
      </c>
      <c r="D24" s="2">
        <f>'Design flow rate'!D24*0.7</f>
        <v>4.8425999999999999E-3</v>
      </c>
      <c r="E24" s="2">
        <f>'Design flow rate'!E24*0.7</f>
        <v>4.7529999999999994E-3</v>
      </c>
      <c r="F24" s="2">
        <f>'Design flow rate'!F24*0.7</f>
        <v>4.9300999999999998E-3</v>
      </c>
      <c r="G24" s="2">
        <f>'Design flow rate'!G24*0.7</f>
        <v>4.4078999999999993E-3</v>
      </c>
      <c r="H24" s="2">
        <f>'Design flow rate'!H24*0.7</f>
        <v>4.7648999999999999E-3</v>
      </c>
      <c r="I24" s="2">
        <f>'Design flow rate'!I24*0.7</f>
        <v>4.8691999999999997E-3</v>
      </c>
      <c r="J24" s="2">
        <f>'Design flow rate'!J24*0.7</f>
        <v>5.208E-3</v>
      </c>
      <c r="K24" s="2">
        <f>'Design flow rate'!K24*0.7</f>
        <v>4.8978999999999993E-3</v>
      </c>
      <c r="L24" s="2">
        <f>'Design flow rate'!L24*0.7</f>
        <v>5.4348E-3</v>
      </c>
      <c r="M24" s="2">
        <f>'Design flow rate'!M24*0.7</f>
        <v>5.3276999999999995E-3</v>
      </c>
      <c r="N24" s="2">
        <f>'Design flow rate'!N24*0.7</f>
        <v>5.1148999999999995E-3</v>
      </c>
      <c r="O24" s="2">
        <f>'Design flow rate'!O24*0.7</f>
        <v>5.4235999999999998E-3</v>
      </c>
      <c r="P24" s="2">
        <f>'Design flow rate'!P24*0.7</f>
        <v>5.6167999999999999E-3</v>
      </c>
      <c r="Q24" s="2">
        <f>'Design flow rate'!Q24*0.7</f>
        <v>5.7799000000000001E-3</v>
      </c>
      <c r="R24" s="2">
        <f>'Design flow rate'!R24*0.7</f>
        <v>5.0932E-3</v>
      </c>
      <c r="S24" s="2">
        <f>'Design flow rate'!S24*0.7</f>
        <v>3.7813999999999994E-3</v>
      </c>
      <c r="T24" s="2">
        <f>'Design flow rate'!T24*0.7</f>
        <v>5.0153687500000006E-3</v>
      </c>
      <c r="U24" s="2">
        <f>'Design flow rate'!U24*0.7</f>
        <v>5.7799000000000001E-3</v>
      </c>
    </row>
    <row r="25" spans="2:21" x14ac:dyDescent="0.25">
      <c r="B25" s="8" t="s">
        <v>10</v>
      </c>
      <c r="C25" s="2">
        <f>'Design flow rate'!C25*0.7</f>
        <v>4.5943099999999994E-2</v>
      </c>
      <c r="D25" s="2">
        <f>'Design flow rate'!D25*0.7</f>
        <v>8.0937499999999996E-2</v>
      </c>
      <c r="E25" s="2">
        <f>'Design flow rate'!E25*0.7</f>
        <v>7.5215699999999996E-2</v>
      </c>
      <c r="F25" s="2">
        <f>'Design flow rate'!F25*0.7</f>
        <v>8.2784099999999985E-2</v>
      </c>
      <c r="G25" s="2">
        <f>'Design flow rate'!G25*0.7</f>
        <v>7.0573300000000005E-2</v>
      </c>
      <c r="H25" s="2">
        <f>'Design flow rate'!H25*0.7</f>
        <v>7.642249999999999E-2</v>
      </c>
      <c r="I25" s="2">
        <f>'Design flow rate'!I25*0.7</f>
        <v>7.82635E-2</v>
      </c>
      <c r="J25" s="2">
        <f>'Design flow rate'!J25*0.7</f>
        <v>8.5529499999999994E-2</v>
      </c>
      <c r="K25" s="2">
        <f>'Design flow rate'!K25*0.7</f>
        <v>9.1115500000000002E-2</v>
      </c>
      <c r="L25" s="2">
        <f>'Design flow rate'!L25*0.7</f>
        <v>9.2799699999999985E-2</v>
      </c>
      <c r="M25" s="2">
        <f>'Design flow rate'!M25*0.7</f>
        <v>6.595609999999999E-2</v>
      </c>
      <c r="N25" s="2">
        <f>'Design flow rate'!N25*0.7</f>
        <v>6.6855599999999987E-2</v>
      </c>
      <c r="O25" s="2">
        <f>'Design flow rate'!O25*0.7</f>
        <v>6.9625499999999993E-2</v>
      </c>
      <c r="P25" s="2">
        <f>'Design flow rate'!P25*0.7</f>
        <v>6.8971699999999997E-2</v>
      </c>
      <c r="Q25" s="2">
        <f>'Design flow rate'!Q25*0.7</f>
        <v>7.3410400000000001E-2</v>
      </c>
      <c r="R25" s="2">
        <f>'Design flow rate'!R25*0.7</f>
        <v>5.8260299999999994E-2</v>
      </c>
      <c r="S25" s="2">
        <f>'Design flow rate'!S25*0.7</f>
        <v>4.5943099999999994E-2</v>
      </c>
      <c r="T25" s="2">
        <f>'Design flow rate'!T25*0.7</f>
        <v>7.3916499999999982E-2</v>
      </c>
      <c r="U25" s="2">
        <f>'Design flow rate'!U25*0.7</f>
        <v>9.2799699999999985E-2</v>
      </c>
    </row>
    <row r="26" spans="2:21" x14ac:dyDescent="0.25">
      <c r="B26" s="8" t="s">
        <v>639</v>
      </c>
      <c r="C26" s="9">
        <f>'Design flow rate'!C26*0.7</f>
        <v>1.05875E-2</v>
      </c>
      <c r="D26" s="9">
        <f>'Design flow rate'!D26*0.7</f>
        <v>1.38236E-2</v>
      </c>
      <c r="E26" s="9">
        <f>'Design flow rate'!E26*0.7</f>
        <v>1.3032599999999998E-2</v>
      </c>
      <c r="F26" s="9">
        <f>'Design flow rate'!F26*0.7</f>
        <v>1.40147E-2</v>
      </c>
      <c r="G26" s="9">
        <f>'Design flow rate'!G26*0.7</f>
        <v>1.2091099999999999E-2</v>
      </c>
      <c r="H26" s="9">
        <f>'Design flow rate'!H26*0.7</f>
        <v>1.2816299999999999E-2</v>
      </c>
      <c r="I26" s="9">
        <f>'Design flow rate'!I26*0.7</f>
        <v>1.3467999999999999E-2</v>
      </c>
      <c r="J26" s="9">
        <f>'Design flow rate'!J26*0.7</f>
        <v>1.4254099999999999E-2</v>
      </c>
      <c r="K26" s="9">
        <f>'Design flow rate'!K26*0.7</f>
        <v>1.4147699999999999E-2</v>
      </c>
      <c r="L26" s="9">
        <f>'Design flow rate'!L26*0.7</f>
        <v>1.5866199999999997E-2</v>
      </c>
      <c r="M26" s="9">
        <f>'Design flow rate'!M26*0.7</f>
        <v>1.60608E-2</v>
      </c>
      <c r="N26" s="9">
        <f>'Design flow rate'!N26*0.7</f>
        <v>1.5834000000000001E-2</v>
      </c>
      <c r="O26" s="9">
        <f>'Design flow rate'!O26*0.7</f>
        <v>1.652E-2</v>
      </c>
      <c r="P26" s="9">
        <f>'Design flow rate'!P26*0.7</f>
        <v>1.6589999999999997E-2</v>
      </c>
      <c r="Q26" s="9">
        <f>'Design flow rate'!Q26*0.7</f>
        <v>1.7092599999999999E-2</v>
      </c>
      <c r="R26" s="10">
        <f>'Design flow rate'!R26*0.7</f>
        <v>1.41484E-2</v>
      </c>
      <c r="S26" s="2">
        <f>'Design flow rate'!S26*0.7</f>
        <v>1.05875E-2</v>
      </c>
      <c r="T26" s="2">
        <f>'Design flow rate'!T26*0.7</f>
        <v>1.4396724999999997E-2</v>
      </c>
      <c r="U26" s="2">
        <f>'Design flow rate'!U26*0.7</f>
        <v>1.7092599999999999E-2</v>
      </c>
    </row>
    <row r="28" spans="2:21" ht="15.75" thickBot="1" x14ac:dyDescent="0.3">
      <c r="B28" s="22" t="s">
        <v>653</v>
      </c>
    </row>
    <row r="29" spans="2:21" x14ac:dyDescent="0.25">
      <c r="B29" s="12" t="s">
        <v>646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4"/>
    </row>
    <row r="30" spans="2:21" x14ac:dyDescent="0.25">
      <c r="B30" s="15" t="s">
        <v>3</v>
      </c>
      <c r="C30" s="18">
        <f t="shared" ref="C30:R30" si="0">C5*$W$5</f>
        <v>97.497462999999982</v>
      </c>
      <c r="D30" s="18">
        <f t="shared" si="0"/>
        <v>125.36512449999996</v>
      </c>
      <c r="E30" s="18">
        <f t="shared" si="0"/>
        <v>117.82969099999998</v>
      </c>
      <c r="F30" s="18">
        <f t="shared" si="0"/>
        <v>126.93851799999997</v>
      </c>
      <c r="G30" s="18">
        <f t="shared" si="0"/>
        <v>111.37383249999999</v>
      </c>
      <c r="H30" s="18">
        <f t="shared" si="0"/>
        <v>116.12674849999999</v>
      </c>
      <c r="I30" s="18">
        <f t="shared" si="0"/>
        <v>119.093142</v>
      </c>
      <c r="J30" s="18">
        <f t="shared" si="0"/>
        <v>127.83073450000001</v>
      </c>
      <c r="K30" s="18">
        <f t="shared" si="0"/>
        <v>129.58661099999998</v>
      </c>
      <c r="L30" s="18">
        <f t="shared" si="0"/>
        <v>139.01931049999999</v>
      </c>
      <c r="M30" s="18">
        <f t="shared" si="0"/>
        <v>140.5390735</v>
      </c>
      <c r="N30" s="18">
        <f t="shared" si="0"/>
        <v>137.0927915</v>
      </c>
      <c r="O30" s="18">
        <f t="shared" si="0"/>
        <v>141.47516949999999</v>
      </c>
      <c r="P30" s="18">
        <f t="shared" si="0"/>
        <v>141.17079899999999</v>
      </c>
      <c r="Q30" s="18">
        <f t="shared" si="0"/>
        <v>146.13614749999999</v>
      </c>
      <c r="R30" s="19">
        <f t="shared" si="0"/>
        <v>123.95053300000001</v>
      </c>
    </row>
    <row r="31" spans="2:21" x14ac:dyDescent="0.25">
      <c r="B31" s="15" t="s">
        <v>4</v>
      </c>
      <c r="C31" s="18">
        <f t="shared" ref="C31:R31" si="1">C6*$W$5</f>
        <v>16.183177499999999</v>
      </c>
      <c r="D31" s="18">
        <f t="shared" si="1"/>
        <v>20.781470499999998</v>
      </c>
      <c r="E31" s="18">
        <f t="shared" si="1"/>
        <v>19.713735999999997</v>
      </c>
      <c r="F31" s="18">
        <f t="shared" si="1"/>
        <v>21.103253499999997</v>
      </c>
      <c r="G31" s="18">
        <f t="shared" si="1"/>
        <v>18.560331999999999</v>
      </c>
      <c r="H31" s="18">
        <f t="shared" si="1"/>
        <v>19.426081499999999</v>
      </c>
      <c r="I31" s="18">
        <f t="shared" si="1"/>
        <v>19.9066665</v>
      </c>
      <c r="J31" s="18">
        <f t="shared" si="1"/>
        <v>21.285039999999999</v>
      </c>
      <c r="K31" s="18">
        <f t="shared" si="1"/>
        <v>21.856169999999995</v>
      </c>
      <c r="L31" s="18">
        <f t="shared" si="1"/>
        <v>22.642518500000001</v>
      </c>
      <c r="M31" s="18">
        <f t="shared" si="1"/>
        <v>22.976838499999996</v>
      </c>
      <c r="N31" s="18">
        <f t="shared" si="1"/>
        <v>22.074870999999998</v>
      </c>
      <c r="O31" s="18">
        <f t="shared" si="1"/>
        <v>23.029076</v>
      </c>
      <c r="P31" s="18">
        <f t="shared" si="1"/>
        <v>22.952460999999996</v>
      </c>
      <c r="Q31" s="18">
        <f t="shared" si="1"/>
        <v>23.693536999999999</v>
      </c>
      <c r="R31" s="19">
        <f t="shared" si="1"/>
        <v>20.074522999999999</v>
      </c>
    </row>
    <row r="32" spans="2:21" x14ac:dyDescent="0.25">
      <c r="B32" s="15" t="s">
        <v>5</v>
      </c>
      <c r="C32" s="18">
        <f t="shared" ref="C32:R32" si="2">C7*$W$5</f>
        <v>249.53366199999994</v>
      </c>
      <c r="D32" s="18">
        <f t="shared" si="2"/>
        <v>295.95051149999995</v>
      </c>
      <c r="E32" s="18">
        <f t="shared" si="2"/>
        <v>286.28309149999995</v>
      </c>
      <c r="F32" s="18">
        <f t="shared" si="2"/>
        <v>298.7128305</v>
      </c>
      <c r="G32" s="18">
        <f t="shared" si="2"/>
        <v>271.78823</v>
      </c>
      <c r="H32" s="18">
        <f t="shared" si="2"/>
        <v>280.21448700000002</v>
      </c>
      <c r="I32" s="18">
        <f t="shared" si="2"/>
        <v>285.36649749999998</v>
      </c>
      <c r="J32" s="18">
        <f t="shared" si="2"/>
        <v>300.73198400000001</v>
      </c>
      <c r="K32" s="18">
        <f t="shared" si="2"/>
        <v>305.5649975</v>
      </c>
      <c r="L32" s="18">
        <f t="shared" si="2"/>
        <v>310.15214650000001</v>
      </c>
      <c r="M32" s="18">
        <f t="shared" si="2"/>
        <v>319.10008199999999</v>
      </c>
      <c r="N32" s="18">
        <f t="shared" si="2"/>
        <v>311.73041549999999</v>
      </c>
      <c r="O32" s="18">
        <f t="shared" si="2"/>
        <v>320.71247950000003</v>
      </c>
      <c r="P32" s="18">
        <f t="shared" si="2"/>
        <v>320.84411799999998</v>
      </c>
      <c r="Q32" s="18">
        <f t="shared" si="2"/>
        <v>328.06055449999997</v>
      </c>
      <c r="R32" s="19">
        <f t="shared" si="2"/>
        <v>290.99003850000003</v>
      </c>
    </row>
    <row r="33" spans="2:18" x14ac:dyDescent="0.25">
      <c r="B33" s="15" t="s">
        <v>6</v>
      </c>
      <c r="C33" s="18">
        <f t="shared" ref="C33:R33" si="3">C8*$W$5</f>
        <v>116.9904085</v>
      </c>
      <c r="D33" s="18">
        <f t="shared" si="3"/>
        <v>143.94635149999999</v>
      </c>
      <c r="E33" s="18">
        <f t="shared" si="3"/>
        <v>136.90543299999999</v>
      </c>
      <c r="F33" s="18">
        <f t="shared" si="3"/>
        <v>145.8603335</v>
      </c>
      <c r="G33" s="18">
        <f t="shared" si="3"/>
        <v>132.024361</v>
      </c>
      <c r="H33" s="18">
        <f t="shared" si="3"/>
        <v>137.38601799999998</v>
      </c>
      <c r="I33" s="18">
        <f t="shared" si="3"/>
        <v>140.789117</v>
      </c>
      <c r="J33" s="18">
        <f t="shared" si="3"/>
        <v>147.947744</v>
      </c>
      <c r="K33" s="18">
        <f t="shared" si="3"/>
        <v>151.03323899999998</v>
      </c>
      <c r="L33" s="18">
        <f t="shared" si="3"/>
        <v>160.68046049999998</v>
      </c>
      <c r="M33" s="18">
        <f t="shared" si="3"/>
        <v>158.45792900000001</v>
      </c>
      <c r="N33" s="18">
        <f t="shared" si="3"/>
        <v>154.94617600000001</v>
      </c>
      <c r="O33" s="18">
        <f t="shared" si="3"/>
        <v>160.10793749999999</v>
      </c>
      <c r="P33" s="18">
        <f t="shared" si="3"/>
        <v>159.33551899999998</v>
      </c>
      <c r="Q33" s="18">
        <f t="shared" si="3"/>
        <v>164.45409749999999</v>
      </c>
      <c r="R33" s="19">
        <f t="shared" si="3"/>
        <v>144.3489285</v>
      </c>
    </row>
    <row r="34" spans="2:18" x14ac:dyDescent="0.25">
      <c r="B34" s="15" t="s">
        <v>7</v>
      </c>
      <c r="C34" s="18">
        <f t="shared" ref="C34:R34" si="4">C9*$W$5</f>
        <v>14.9141545</v>
      </c>
      <c r="D34" s="18">
        <f t="shared" si="4"/>
        <v>18.968480999999997</v>
      </c>
      <c r="E34" s="18">
        <f t="shared" si="4"/>
        <v>17.9495015</v>
      </c>
      <c r="F34" s="18">
        <f t="shared" si="4"/>
        <v>19.217131500000001</v>
      </c>
      <c r="G34" s="18">
        <f t="shared" si="4"/>
        <v>16.872015999999999</v>
      </c>
      <c r="H34" s="18">
        <f t="shared" si="4"/>
        <v>17.589410999999998</v>
      </c>
      <c r="I34" s="18">
        <f t="shared" si="4"/>
        <v>17.918855499999999</v>
      </c>
      <c r="J34" s="18">
        <f t="shared" si="4"/>
        <v>19.281209499999999</v>
      </c>
      <c r="K34" s="18">
        <f t="shared" si="4"/>
        <v>19.418419999999998</v>
      </c>
      <c r="L34" s="18">
        <f t="shared" si="4"/>
        <v>20.469438499999999</v>
      </c>
      <c r="M34" s="18">
        <f t="shared" si="4"/>
        <v>21.111611499999999</v>
      </c>
      <c r="N34" s="18">
        <f t="shared" si="4"/>
        <v>20.355909</v>
      </c>
      <c r="O34" s="18">
        <f t="shared" si="4"/>
        <v>21.179171999999998</v>
      </c>
      <c r="P34" s="18">
        <f t="shared" si="4"/>
        <v>21.308720999999998</v>
      </c>
      <c r="Q34" s="18">
        <f t="shared" si="4"/>
        <v>21.836668</v>
      </c>
      <c r="R34" s="19">
        <f t="shared" si="4"/>
        <v>18.691274</v>
      </c>
    </row>
    <row r="35" spans="2:18" x14ac:dyDescent="0.25">
      <c r="B35" s="15" t="s">
        <v>8</v>
      </c>
      <c r="C35" s="18">
        <f t="shared" ref="C35:R35" si="5">C10*$W$5</f>
        <v>96.479179999999999</v>
      </c>
      <c r="D35" s="18">
        <f t="shared" si="5"/>
        <v>120.220079</v>
      </c>
      <c r="E35" s="18">
        <f t="shared" si="5"/>
        <v>113.64163649999999</v>
      </c>
      <c r="F35" s="18">
        <f t="shared" si="5"/>
        <v>121.03637699999997</v>
      </c>
      <c r="G35" s="18">
        <f t="shared" si="5"/>
        <v>109.84292550000001</v>
      </c>
      <c r="H35" s="18">
        <f t="shared" si="5"/>
        <v>111.14746999999998</v>
      </c>
      <c r="I35" s="18">
        <f t="shared" si="5"/>
        <v>111.86486499999999</v>
      </c>
      <c r="J35" s="18">
        <f t="shared" si="5"/>
        <v>120.35171749999999</v>
      </c>
      <c r="K35" s="18">
        <f t="shared" si="5"/>
        <v>122.99702449999999</v>
      </c>
      <c r="L35" s="18">
        <f t="shared" si="5"/>
        <v>123.08896249999998</v>
      </c>
      <c r="M35" s="18">
        <f t="shared" si="5"/>
        <v>130.128488</v>
      </c>
      <c r="N35" s="18">
        <f t="shared" si="5"/>
        <v>125.63884899999999</v>
      </c>
      <c r="O35" s="18">
        <f t="shared" si="5"/>
        <v>128.62474449999999</v>
      </c>
      <c r="P35" s="18">
        <f t="shared" si="5"/>
        <v>130.80757549999998</v>
      </c>
      <c r="Q35" s="18">
        <f t="shared" si="5"/>
        <v>132.28763799999996</v>
      </c>
      <c r="R35" s="19">
        <f t="shared" si="5"/>
        <v>120.68255499999999</v>
      </c>
    </row>
    <row r="36" spans="2:18" x14ac:dyDescent="0.25">
      <c r="B36" s="15" t="s">
        <v>9</v>
      </c>
      <c r="C36" s="18">
        <f t="shared" ref="C36:R36" si="6">C11*$W$5</f>
        <v>7.2491719999999997</v>
      </c>
      <c r="D36" s="18">
        <f t="shared" si="6"/>
        <v>9.0266399999999987</v>
      </c>
      <c r="E36" s="18">
        <f t="shared" si="6"/>
        <v>8.6707284999999992</v>
      </c>
      <c r="F36" s="18">
        <f t="shared" si="6"/>
        <v>9.1443484999999995</v>
      </c>
      <c r="G36" s="18">
        <f t="shared" si="6"/>
        <v>8.2660619999999998</v>
      </c>
      <c r="H36" s="18">
        <f t="shared" si="6"/>
        <v>8.4464555000000008</v>
      </c>
      <c r="I36" s="18">
        <f t="shared" si="6"/>
        <v>8.452027499999998</v>
      </c>
      <c r="J36" s="18">
        <f t="shared" si="6"/>
        <v>9.1074339999999996</v>
      </c>
      <c r="K36" s="18">
        <f t="shared" si="6"/>
        <v>9.5281199999999995</v>
      </c>
      <c r="L36" s="18">
        <f t="shared" si="6"/>
        <v>8.9340054999999996</v>
      </c>
      <c r="M36" s="18">
        <f t="shared" si="6"/>
        <v>9.8603504999999991</v>
      </c>
      <c r="N36" s="18">
        <f t="shared" si="6"/>
        <v>9.2355899999999984</v>
      </c>
      <c r="O36" s="18">
        <f t="shared" si="6"/>
        <v>9.5845364999999987</v>
      </c>
      <c r="P36" s="18">
        <f t="shared" si="6"/>
        <v>9.7837355000000006</v>
      </c>
      <c r="Q36" s="18">
        <f t="shared" si="6"/>
        <v>9.8387589999999996</v>
      </c>
      <c r="R36" s="19">
        <f t="shared" si="6"/>
        <v>9.0349979999999981</v>
      </c>
    </row>
    <row r="37" spans="2:18" x14ac:dyDescent="0.25">
      <c r="B37" s="15" t="s">
        <v>10</v>
      </c>
      <c r="C37" s="18">
        <f t="shared" ref="C37:R37" si="7">C12*$W$5</f>
        <v>64.004867499999989</v>
      </c>
      <c r="D37" s="18">
        <f t="shared" si="7"/>
        <v>85.119961499999988</v>
      </c>
      <c r="E37" s="18">
        <f t="shared" si="7"/>
        <v>80.502166500000001</v>
      </c>
      <c r="F37" s="18">
        <f t="shared" si="7"/>
        <v>87.194834999999983</v>
      </c>
      <c r="G37" s="18">
        <f t="shared" si="7"/>
        <v>76.580871499999986</v>
      </c>
      <c r="H37" s="18">
        <f t="shared" si="7"/>
        <v>81.833874500000007</v>
      </c>
      <c r="I37" s="18">
        <f t="shared" si="7"/>
        <v>85.503036499999993</v>
      </c>
      <c r="J37" s="18">
        <f t="shared" si="7"/>
        <v>89.484230499999995</v>
      </c>
      <c r="K37" s="18">
        <f t="shared" si="7"/>
        <v>93.479354499999999</v>
      </c>
      <c r="L37" s="18">
        <f t="shared" si="7"/>
        <v>100.6407675</v>
      </c>
      <c r="M37" s="18">
        <f t="shared" si="7"/>
        <v>95.05205149999999</v>
      </c>
      <c r="N37" s="18">
        <f t="shared" si="7"/>
        <v>91.926855999999987</v>
      </c>
      <c r="O37" s="18">
        <f t="shared" si="7"/>
        <v>96.709024999999983</v>
      </c>
      <c r="P37" s="18">
        <f t="shared" si="7"/>
        <v>94.431470000000004</v>
      </c>
      <c r="Q37" s="18">
        <f t="shared" si="7"/>
        <v>99.528456999999989</v>
      </c>
      <c r="R37" s="19">
        <f t="shared" si="7"/>
        <v>81.946010999999999</v>
      </c>
    </row>
    <row r="38" spans="2:18" ht="15.75" thickBot="1" x14ac:dyDescent="0.3">
      <c r="B38" s="16" t="s">
        <v>639</v>
      </c>
      <c r="C38" s="20">
        <f t="shared" ref="C38:R38" si="8">C13*$W$5</f>
        <v>11.944278500000001</v>
      </c>
      <c r="D38" s="20">
        <f t="shared" si="8"/>
        <v>15.960297499999999</v>
      </c>
      <c r="E38" s="20">
        <f t="shared" si="8"/>
        <v>15.026290999999999</v>
      </c>
      <c r="F38" s="20">
        <f t="shared" si="8"/>
        <v>16.183177499999999</v>
      </c>
      <c r="G38" s="20">
        <f t="shared" si="8"/>
        <v>13.853384999999999</v>
      </c>
      <c r="H38" s="20">
        <f t="shared" si="8"/>
        <v>14.6146595</v>
      </c>
      <c r="I38" s="20">
        <f t="shared" si="8"/>
        <v>14.903707000000001</v>
      </c>
      <c r="J38" s="20">
        <f t="shared" si="8"/>
        <v>16.351033999999999</v>
      </c>
      <c r="K38" s="20">
        <f t="shared" si="8"/>
        <v>16.3851625</v>
      </c>
      <c r="L38" s="20">
        <f t="shared" si="8"/>
        <v>17.854081000000001</v>
      </c>
      <c r="M38" s="20">
        <f t="shared" si="8"/>
        <v>18.487896000000003</v>
      </c>
      <c r="N38" s="20">
        <f t="shared" si="8"/>
        <v>17.878458500000001</v>
      </c>
      <c r="O38" s="20">
        <f t="shared" si="8"/>
        <v>18.721223500000001</v>
      </c>
      <c r="P38" s="20">
        <f t="shared" si="8"/>
        <v>18.519934999999997</v>
      </c>
      <c r="Q38" s="20">
        <f t="shared" si="8"/>
        <v>19.171858999999998</v>
      </c>
      <c r="R38" s="21">
        <f t="shared" si="8"/>
        <v>16.156013999999999</v>
      </c>
    </row>
    <row r="39" spans="2:18" x14ac:dyDescent="0.25">
      <c r="C39" s="11"/>
    </row>
    <row r="40" spans="2:18" x14ac:dyDescent="0.25">
      <c r="C40" s="11"/>
    </row>
    <row r="41" spans="2:18" ht="15.75" thickBot="1" x14ac:dyDescent="0.3">
      <c r="B41" s="22" t="s">
        <v>649</v>
      </c>
      <c r="C41" s="11"/>
    </row>
    <row r="42" spans="2:18" x14ac:dyDescent="0.25">
      <c r="B42" s="12" t="s">
        <v>647</v>
      </c>
      <c r="C42" s="1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4"/>
    </row>
    <row r="43" spans="2:18" x14ac:dyDescent="0.25">
      <c r="B43" s="15" t="s">
        <v>3</v>
      </c>
      <c r="C43" s="18">
        <f t="shared" ref="C43:R43" si="9">C18*$W$5</f>
        <v>75.486670000000004</v>
      </c>
      <c r="D43" s="18">
        <f t="shared" si="9"/>
        <v>105.16732099999999</v>
      </c>
      <c r="E43" s="18">
        <f t="shared" si="9"/>
        <v>97.587311499999998</v>
      </c>
      <c r="F43" s="18">
        <f t="shared" si="9"/>
        <v>106.64390099999999</v>
      </c>
      <c r="G43" s="18">
        <f t="shared" si="9"/>
        <v>91.146079499999999</v>
      </c>
      <c r="H43" s="18">
        <f t="shared" si="9"/>
        <v>96.698577499999985</v>
      </c>
      <c r="I43" s="18">
        <f t="shared" si="9"/>
        <v>99.445573499999981</v>
      </c>
      <c r="J43" s="18">
        <f t="shared" si="9"/>
        <v>108.286248</v>
      </c>
      <c r="K43" s="18">
        <f t="shared" si="9"/>
        <v>109.300352</v>
      </c>
      <c r="L43" s="18">
        <f t="shared" si="9"/>
        <v>119.86277449999999</v>
      </c>
      <c r="M43" s="18">
        <f t="shared" si="9"/>
        <v>109.5893995</v>
      </c>
      <c r="N43" s="18">
        <f t="shared" si="9"/>
        <v>109.70432199999999</v>
      </c>
      <c r="O43" s="18">
        <f t="shared" si="9"/>
        <v>112.970907</v>
      </c>
      <c r="P43" s="18">
        <f t="shared" si="9"/>
        <v>112.84135799999999</v>
      </c>
      <c r="Q43" s="18">
        <f t="shared" si="9"/>
        <v>117.77954299999999</v>
      </c>
      <c r="R43" s="19">
        <f t="shared" si="9"/>
        <v>98.085309000000009</v>
      </c>
    </row>
    <row r="44" spans="2:18" x14ac:dyDescent="0.25">
      <c r="B44" s="15" t="s">
        <v>4</v>
      </c>
      <c r="C44" s="18">
        <f t="shared" ref="C44:R44" si="10">C19*$W$5</f>
        <v>11.481105999999999</v>
      </c>
      <c r="D44" s="18">
        <f t="shared" si="10"/>
        <v>16.514014999999997</v>
      </c>
      <c r="E44" s="18">
        <f t="shared" si="10"/>
        <v>15.449762999999999</v>
      </c>
      <c r="F44" s="18">
        <f t="shared" si="10"/>
        <v>16.798186999999999</v>
      </c>
      <c r="G44" s="18">
        <f t="shared" si="10"/>
        <v>14.289394</v>
      </c>
      <c r="H44" s="18">
        <f t="shared" si="10"/>
        <v>15.4448875</v>
      </c>
      <c r="I44" s="18">
        <f t="shared" si="10"/>
        <v>15.890647499999998</v>
      </c>
      <c r="J44" s="18">
        <f t="shared" si="10"/>
        <v>17.250912</v>
      </c>
      <c r="K44" s="18">
        <f t="shared" si="10"/>
        <v>17.382550500000001</v>
      </c>
      <c r="L44" s="18">
        <f t="shared" si="10"/>
        <v>18.79157</v>
      </c>
      <c r="M44" s="18">
        <f t="shared" si="10"/>
        <v>16.208947999999999</v>
      </c>
      <c r="N44" s="18">
        <f t="shared" si="10"/>
        <v>16.076612999999998</v>
      </c>
      <c r="O44" s="18">
        <f t="shared" si="10"/>
        <v>16.8058485</v>
      </c>
      <c r="P44" s="18">
        <f t="shared" si="10"/>
        <v>16.844156000000002</v>
      </c>
      <c r="Q44" s="18">
        <f t="shared" si="10"/>
        <v>17.714780999999999</v>
      </c>
      <c r="R44" s="19">
        <f t="shared" si="10"/>
        <v>14.3318805</v>
      </c>
    </row>
    <row r="45" spans="2:18" x14ac:dyDescent="0.25">
      <c r="B45" s="15" t="s">
        <v>5</v>
      </c>
      <c r="C45" s="18">
        <f t="shared" ref="C45:R45" si="11">C20*$W$5</f>
        <v>177.38879900000001</v>
      </c>
      <c r="D45" s="18">
        <f t="shared" si="11"/>
        <v>213.14850200000001</v>
      </c>
      <c r="E45" s="18">
        <f t="shared" si="11"/>
        <v>206.52409049999997</v>
      </c>
      <c r="F45" s="18">
        <f t="shared" si="11"/>
        <v>215.46297149999998</v>
      </c>
      <c r="G45" s="18">
        <f t="shared" si="11"/>
        <v>191.81818949999999</v>
      </c>
      <c r="H45" s="18">
        <f t="shared" si="11"/>
        <v>201.45565999999999</v>
      </c>
      <c r="I45" s="18">
        <f t="shared" si="11"/>
        <v>208.19708349999999</v>
      </c>
      <c r="J45" s="18">
        <f t="shared" si="11"/>
        <v>217.52879050000001</v>
      </c>
      <c r="K45" s="18">
        <f t="shared" si="11"/>
        <v>214.36250150000001</v>
      </c>
      <c r="L45" s="18">
        <f t="shared" si="11"/>
        <v>235.23033799999996</v>
      </c>
      <c r="M45" s="18">
        <f t="shared" si="11"/>
        <v>230.80756299999999</v>
      </c>
      <c r="N45" s="18">
        <f t="shared" si="11"/>
        <v>226.2740445</v>
      </c>
      <c r="O45" s="18">
        <f t="shared" si="11"/>
        <v>235.844651</v>
      </c>
      <c r="P45" s="18">
        <f t="shared" si="11"/>
        <v>236.62194499999995</v>
      </c>
      <c r="Q45" s="18">
        <f t="shared" si="11"/>
        <v>245.53644849999998</v>
      </c>
      <c r="R45" s="19">
        <f t="shared" si="11"/>
        <v>207.889927</v>
      </c>
    </row>
    <row r="46" spans="2:18" x14ac:dyDescent="0.25">
      <c r="B46" s="15" t="s">
        <v>6</v>
      </c>
      <c r="C46" s="18">
        <f t="shared" ref="C46:R46" si="12">C21*$W$5</f>
        <v>99.57581900000001</v>
      </c>
      <c r="D46" s="18">
        <f t="shared" si="12"/>
        <v>133.99336650000001</v>
      </c>
      <c r="E46" s="18">
        <f t="shared" si="12"/>
        <v>125.98779549999998</v>
      </c>
      <c r="F46" s="18">
        <f t="shared" si="12"/>
        <v>135.60994299999999</v>
      </c>
      <c r="G46" s="18">
        <f t="shared" si="12"/>
        <v>120.50076849999999</v>
      </c>
      <c r="H46" s="18">
        <f t="shared" si="12"/>
        <v>126.4934545</v>
      </c>
      <c r="I46" s="18">
        <f t="shared" si="12"/>
        <v>128.7501145</v>
      </c>
      <c r="J46" s="18">
        <f t="shared" si="12"/>
        <v>137.92232300000001</v>
      </c>
      <c r="K46" s="18">
        <f t="shared" si="12"/>
        <v>141.18263949999999</v>
      </c>
      <c r="L46" s="18">
        <f t="shared" si="12"/>
        <v>149.12552549999998</v>
      </c>
      <c r="M46" s="18">
        <f t="shared" si="12"/>
        <v>129.66601199999999</v>
      </c>
      <c r="N46" s="18">
        <f t="shared" si="12"/>
        <v>130.274753</v>
      </c>
      <c r="O46" s="18">
        <f t="shared" si="12"/>
        <v>133.30661749999999</v>
      </c>
      <c r="P46" s="18">
        <f t="shared" si="12"/>
        <v>133.319851</v>
      </c>
      <c r="Q46" s="18">
        <f t="shared" si="12"/>
        <v>138.03794199999999</v>
      </c>
      <c r="R46" s="19">
        <f t="shared" si="12"/>
        <v>120.99319399999999</v>
      </c>
    </row>
    <row r="47" spans="2:18" x14ac:dyDescent="0.25">
      <c r="B47" s="15" t="s">
        <v>7</v>
      </c>
      <c r="C47" s="18">
        <f t="shared" ref="C47:R47" si="13">C22*$W$5</f>
        <v>10.662022</v>
      </c>
      <c r="D47" s="18">
        <f t="shared" si="13"/>
        <v>13.721049999999998</v>
      </c>
      <c r="E47" s="18">
        <f t="shared" si="13"/>
        <v>13.258574000000001</v>
      </c>
      <c r="F47" s="18">
        <f t="shared" si="13"/>
        <v>13.950198499999999</v>
      </c>
      <c r="G47" s="18">
        <f t="shared" si="13"/>
        <v>12.279991500000001</v>
      </c>
      <c r="H47" s="18">
        <f t="shared" si="13"/>
        <v>13.117184499999999</v>
      </c>
      <c r="I47" s="18">
        <f t="shared" si="13"/>
        <v>13.554586499999997</v>
      </c>
      <c r="J47" s="18">
        <f t="shared" si="13"/>
        <v>14.497647499999998</v>
      </c>
      <c r="K47" s="18">
        <f t="shared" si="13"/>
        <v>13.9446265</v>
      </c>
      <c r="L47" s="18">
        <f t="shared" si="13"/>
        <v>15.689359</v>
      </c>
      <c r="M47" s="18">
        <f t="shared" si="13"/>
        <v>15.453941999999998</v>
      </c>
      <c r="N47" s="18">
        <f t="shared" si="13"/>
        <v>15.248474499999999</v>
      </c>
      <c r="O47" s="18">
        <f t="shared" si="13"/>
        <v>15.990246999999997</v>
      </c>
      <c r="P47" s="18">
        <f t="shared" si="13"/>
        <v>15.970744999999999</v>
      </c>
      <c r="Q47" s="18">
        <f t="shared" si="13"/>
        <v>16.489637500000001</v>
      </c>
      <c r="R47" s="19">
        <f t="shared" si="13"/>
        <v>13.778162999999999</v>
      </c>
    </row>
    <row r="48" spans="2:18" x14ac:dyDescent="0.25">
      <c r="B48" s="15" t="s">
        <v>8</v>
      </c>
      <c r="C48" s="18">
        <f t="shared" ref="C48:R48" si="14">C23*$W$5</f>
        <v>62.852856499999994</v>
      </c>
      <c r="D48" s="18">
        <f t="shared" si="14"/>
        <v>78.448187999999988</v>
      </c>
      <c r="E48" s="18">
        <f t="shared" si="14"/>
        <v>74.407791499999988</v>
      </c>
      <c r="F48" s="18">
        <f t="shared" si="14"/>
        <v>78.886982999999987</v>
      </c>
      <c r="G48" s="18">
        <f t="shared" si="14"/>
        <v>70.519231999999988</v>
      </c>
      <c r="H48" s="18">
        <f t="shared" si="14"/>
        <v>73.037079500000004</v>
      </c>
      <c r="I48" s="18">
        <f t="shared" si="14"/>
        <v>74.641118999999989</v>
      </c>
      <c r="J48" s="18">
        <f t="shared" si="14"/>
        <v>79.293738999999988</v>
      </c>
      <c r="K48" s="18">
        <f t="shared" si="14"/>
        <v>77.879844000000006</v>
      </c>
      <c r="L48" s="18">
        <f t="shared" si="14"/>
        <v>86.585397499999985</v>
      </c>
      <c r="M48" s="18">
        <f t="shared" si="14"/>
        <v>86.11874250000001</v>
      </c>
      <c r="N48" s="18">
        <f t="shared" si="14"/>
        <v>84.731314499999996</v>
      </c>
      <c r="O48" s="18">
        <f t="shared" si="14"/>
        <v>87.121702499999998</v>
      </c>
      <c r="P48" s="18">
        <f t="shared" si="14"/>
        <v>88.632411000000005</v>
      </c>
      <c r="Q48" s="18">
        <f t="shared" si="14"/>
        <v>91.545173999999989</v>
      </c>
      <c r="R48" s="19">
        <f t="shared" si="14"/>
        <v>81.723827499999985</v>
      </c>
    </row>
    <row r="49" spans="2:18" x14ac:dyDescent="0.25">
      <c r="B49" s="15" t="s">
        <v>9</v>
      </c>
      <c r="C49" s="18">
        <f t="shared" ref="C49:R49" si="15">C24*$W$5</f>
        <v>3.7624929999999996</v>
      </c>
      <c r="D49" s="18">
        <f t="shared" si="15"/>
        <v>4.8183869999999995</v>
      </c>
      <c r="E49" s="18">
        <f t="shared" si="15"/>
        <v>4.7292349999999992</v>
      </c>
      <c r="F49" s="18">
        <f t="shared" si="15"/>
        <v>4.9054494999999996</v>
      </c>
      <c r="G49" s="18">
        <f t="shared" si="15"/>
        <v>4.3858604999999997</v>
      </c>
      <c r="H49" s="18">
        <f t="shared" si="15"/>
        <v>4.7410755</v>
      </c>
      <c r="I49" s="18">
        <f t="shared" si="15"/>
        <v>4.8448539999999998</v>
      </c>
      <c r="J49" s="18">
        <f t="shared" si="15"/>
        <v>5.1819600000000001</v>
      </c>
      <c r="K49" s="18">
        <f t="shared" si="15"/>
        <v>4.8734104999999994</v>
      </c>
      <c r="L49" s="18">
        <f t="shared" si="15"/>
        <v>5.4076260000000005</v>
      </c>
      <c r="M49" s="18">
        <f t="shared" si="15"/>
        <v>5.3010614999999994</v>
      </c>
      <c r="N49" s="18">
        <f t="shared" si="15"/>
        <v>5.0893254999999993</v>
      </c>
      <c r="O49" s="18">
        <f t="shared" si="15"/>
        <v>5.3964819999999998</v>
      </c>
      <c r="P49" s="18">
        <f t="shared" si="15"/>
        <v>5.5887159999999998</v>
      </c>
      <c r="Q49" s="18">
        <f t="shared" si="15"/>
        <v>5.7510005</v>
      </c>
      <c r="R49" s="19">
        <f t="shared" si="15"/>
        <v>5.0677339999999997</v>
      </c>
    </row>
    <row r="50" spans="2:18" x14ac:dyDescent="0.25">
      <c r="B50" s="15" t="s">
        <v>10</v>
      </c>
      <c r="C50" s="18">
        <f t="shared" ref="C50:R50" si="16">C25*$W$5</f>
        <v>45.713384499999997</v>
      </c>
      <c r="D50" s="18">
        <f t="shared" si="16"/>
        <v>80.532812499999991</v>
      </c>
      <c r="E50" s="18">
        <f t="shared" si="16"/>
        <v>74.839621499999993</v>
      </c>
      <c r="F50" s="18">
        <f t="shared" si="16"/>
        <v>82.370179499999992</v>
      </c>
      <c r="G50" s="18">
        <f t="shared" si="16"/>
        <v>70.220433499999999</v>
      </c>
      <c r="H50" s="18">
        <f t="shared" si="16"/>
        <v>76.040387499999994</v>
      </c>
      <c r="I50" s="18">
        <f t="shared" si="16"/>
        <v>77.872182499999994</v>
      </c>
      <c r="J50" s="18">
        <f t="shared" si="16"/>
        <v>85.101852499999993</v>
      </c>
      <c r="K50" s="18">
        <f t="shared" si="16"/>
        <v>90.659922500000008</v>
      </c>
      <c r="L50" s="18">
        <f t="shared" si="16"/>
        <v>92.335701499999985</v>
      </c>
      <c r="M50" s="18">
        <f t="shared" si="16"/>
        <v>65.626319499999994</v>
      </c>
      <c r="N50" s="18">
        <f t="shared" si="16"/>
        <v>66.521321999999984</v>
      </c>
      <c r="O50" s="18">
        <f t="shared" si="16"/>
        <v>69.277372499999998</v>
      </c>
      <c r="P50" s="18">
        <f t="shared" si="16"/>
        <v>68.626841499999998</v>
      </c>
      <c r="Q50" s="18">
        <f t="shared" si="16"/>
        <v>73.043347999999995</v>
      </c>
      <c r="R50" s="19">
        <f t="shared" si="16"/>
        <v>57.968998499999991</v>
      </c>
    </row>
    <row r="51" spans="2:18" ht="15.75" thickBot="1" x14ac:dyDescent="0.3">
      <c r="B51" s="16" t="s">
        <v>639</v>
      </c>
      <c r="C51" s="20">
        <f t="shared" ref="C51:R51" si="17">C26*$W$5</f>
        <v>10.5345625</v>
      </c>
      <c r="D51" s="20">
        <f t="shared" si="17"/>
        <v>13.754481999999999</v>
      </c>
      <c r="E51" s="20">
        <f t="shared" si="17"/>
        <v>12.967436999999999</v>
      </c>
      <c r="F51" s="20">
        <f t="shared" si="17"/>
        <v>13.9446265</v>
      </c>
      <c r="G51" s="20">
        <f t="shared" si="17"/>
        <v>12.030644499999999</v>
      </c>
      <c r="H51" s="20">
        <f t="shared" si="17"/>
        <v>12.7522185</v>
      </c>
      <c r="I51" s="20">
        <f t="shared" si="17"/>
        <v>13.400659999999998</v>
      </c>
      <c r="J51" s="20">
        <f t="shared" si="17"/>
        <v>14.182829499999999</v>
      </c>
      <c r="K51" s="20">
        <f t="shared" si="17"/>
        <v>14.076961499999999</v>
      </c>
      <c r="L51" s="20">
        <f t="shared" si="17"/>
        <v>15.786868999999998</v>
      </c>
      <c r="M51" s="20">
        <f t="shared" si="17"/>
        <v>15.980496</v>
      </c>
      <c r="N51" s="20">
        <f t="shared" si="17"/>
        <v>15.75483</v>
      </c>
      <c r="O51" s="20">
        <f t="shared" si="17"/>
        <v>16.4374</v>
      </c>
      <c r="P51" s="20">
        <f t="shared" si="17"/>
        <v>16.507049999999996</v>
      </c>
      <c r="Q51" s="20">
        <f t="shared" si="17"/>
        <v>17.007137</v>
      </c>
      <c r="R51" s="21">
        <f t="shared" si="17"/>
        <v>14.077658</v>
      </c>
    </row>
    <row r="52" spans="2:18" x14ac:dyDescent="0.25">
      <c r="C52" s="11"/>
    </row>
    <row r="53" spans="2:18" x14ac:dyDescent="0.25">
      <c r="C53" s="11"/>
    </row>
    <row r="54" spans="2:18" x14ac:dyDescent="0.25">
      <c r="C54" s="11"/>
    </row>
  </sheetData>
  <mergeCells count="2">
    <mergeCell ref="S3:U3"/>
    <mergeCell ref="S16:U16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41601-5353-4730-9813-FADF2E78CB7D}">
  <dimension ref="A1:AJ577"/>
  <sheetViews>
    <sheetView workbookViewId="0">
      <selection activeCell="G1" sqref="G1"/>
    </sheetView>
  </sheetViews>
  <sheetFormatPr defaultRowHeight="15" x14ac:dyDescent="0.25"/>
  <cols>
    <col min="1" max="1" width="68.7109375" customWidth="1"/>
  </cols>
  <sheetData>
    <row r="1" spans="1:3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s="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</row>
    <row r="2" spans="1:36" x14ac:dyDescent="0.25">
      <c r="A2" t="s">
        <v>302</v>
      </c>
      <c r="B2" t="s">
        <v>11</v>
      </c>
      <c r="D2">
        <v>17607.39</v>
      </c>
      <c r="E2">
        <v>6167.59</v>
      </c>
      <c r="G2">
        <v>9.1895000000000004E-2</v>
      </c>
      <c r="H2">
        <v>0</v>
      </c>
      <c r="I2">
        <v>48308.84</v>
      </c>
      <c r="J2">
        <v>774617.57</v>
      </c>
      <c r="K2">
        <v>0</v>
      </c>
      <c r="L2">
        <v>436518</v>
      </c>
      <c r="M2">
        <v>0</v>
      </c>
      <c r="N2">
        <v>118665.49</v>
      </c>
      <c r="O2">
        <v>20015.34</v>
      </c>
      <c r="P2">
        <v>18746.11</v>
      </c>
      <c r="Q2">
        <v>0</v>
      </c>
      <c r="R2">
        <v>0</v>
      </c>
      <c r="S2">
        <v>0</v>
      </c>
      <c r="T2">
        <v>0</v>
      </c>
      <c r="U2">
        <v>0</v>
      </c>
      <c r="V2">
        <v>253108.53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192561.22</v>
      </c>
      <c r="AH2">
        <v>0</v>
      </c>
      <c r="AI2">
        <v>0</v>
      </c>
      <c r="AJ2">
        <v>1338904359.0875101</v>
      </c>
    </row>
    <row r="3" spans="1:36" x14ac:dyDescent="0.25">
      <c r="A3" t="s">
        <v>303</v>
      </c>
      <c r="B3" t="s">
        <v>11</v>
      </c>
      <c r="C3">
        <v>6167.59</v>
      </c>
      <c r="D3">
        <v>17607.39</v>
      </c>
      <c r="G3">
        <v>9.1895000000000004E-2</v>
      </c>
      <c r="H3">
        <v>0</v>
      </c>
      <c r="I3">
        <v>55866.92</v>
      </c>
      <c r="J3">
        <v>774617.57</v>
      </c>
      <c r="K3">
        <v>0</v>
      </c>
      <c r="L3">
        <v>436518</v>
      </c>
      <c r="M3">
        <v>0</v>
      </c>
      <c r="N3">
        <v>118735.41</v>
      </c>
      <c r="O3">
        <v>27270.16</v>
      </c>
      <c r="P3">
        <v>21468.36</v>
      </c>
      <c r="Q3">
        <v>0</v>
      </c>
      <c r="R3">
        <v>0</v>
      </c>
      <c r="S3">
        <v>0</v>
      </c>
      <c r="T3">
        <v>0</v>
      </c>
      <c r="U3">
        <v>0</v>
      </c>
      <c r="V3">
        <v>253613.15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192558</v>
      </c>
      <c r="AH3">
        <v>0</v>
      </c>
      <c r="AI3">
        <v>0</v>
      </c>
      <c r="AJ3">
        <v>1348749771.5325899</v>
      </c>
    </row>
    <row r="4" spans="1:36" x14ac:dyDescent="0.25">
      <c r="A4" t="s">
        <v>305</v>
      </c>
      <c r="B4" t="s">
        <v>11</v>
      </c>
      <c r="D4">
        <v>1994.24</v>
      </c>
      <c r="E4">
        <v>698.55</v>
      </c>
      <c r="G4">
        <v>1.0408000000000001E-2</v>
      </c>
      <c r="H4">
        <v>0</v>
      </c>
      <c r="I4">
        <v>4750.96</v>
      </c>
      <c r="J4">
        <v>23792.959999999999</v>
      </c>
      <c r="K4">
        <v>0</v>
      </c>
      <c r="L4">
        <v>29466.65</v>
      </c>
      <c r="M4">
        <v>0</v>
      </c>
      <c r="N4">
        <v>92403.61</v>
      </c>
      <c r="O4">
        <v>3900.59</v>
      </c>
      <c r="P4">
        <v>3920.4</v>
      </c>
      <c r="Q4">
        <v>0</v>
      </c>
      <c r="R4">
        <v>0</v>
      </c>
      <c r="S4">
        <v>0</v>
      </c>
      <c r="T4">
        <v>0</v>
      </c>
      <c r="U4">
        <v>0</v>
      </c>
      <c r="V4">
        <v>7941.68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5049.1000000000004</v>
      </c>
      <c r="AH4">
        <v>0</v>
      </c>
      <c r="AI4">
        <v>0</v>
      </c>
      <c r="AJ4">
        <v>78869043.624389395</v>
      </c>
    </row>
    <row r="5" spans="1:36" x14ac:dyDescent="0.25">
      <c r="A5" t="s">
        <v>306</v>
      </c>
      <c r="B5" t="s">
        <v>11</v>
      </c>
      <c r="C5">
        <v>698.55</v>
      </c>
      <c r="D5">
        <v>1994.24</v>
      </c>
      <c r="G5">
        <v>1.0408000000000001E-2</v>
      </c>
      <c r="H5">
        <v>0</v>
      </c>
      <c r="I5">
        <v>6259.67</v>
      </c>
      <c r="J5">
        <v>23792.959999999999</v>
      </c>
      <c r="K5">
        <v>0</v>
      </c>
      <c r="L5">
        <v>29466.65</v>
      </c>
      <c r="M5">
        <v>0</v>
      </c>
      <c r="N5">
        <v>92403.61</v>
      </c>
      <c r="O5">
        <v>8071.77</v>
      </c>
      <c r="P5">
        <v>6207.59</v>
      </c>
      <c r="Q5">
        <v>0</v>
      </c>
      <c r="R5">
        <v>0</v>
      </c>
      <c r="S5">
        <v>0</v>
      </c>
      <c r="T5">
        <v>0</v>
      </c>
      <c r="U5">
        <v>0</v>
      </c>
      <c r="V5">
        <v>7941.68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5049.1000000000004</v>
      </c>
      <c r="AH5">
        <v>0</v>
      </c>
      <c r="AI5">
        <v>0</v>
      </c>
      <c r="AJ5">
        <v>92963779.949434102</v>
      </c>
    </row>
    <row r="6" spans="1:36" x14ac:dyDescent="0.25">
      <c r="A6" t="s">
        <v>307</v>
      </c>
      <c r="B6" t="s">
        <v>11</v>
      </c>
      <c r="D6">
        <v>4102.88</v>
      </c>
      <c r="E6">
        <v>1437.17</v>
      </c>
      <c r="G6">
        <v>2.1413000000000001E-2</v>
      </c>
      <c r="H6">
        <v>0</v>
      </c>
      <c r="I6">
        <v>35794.410000000003</v>
      </c>
      <c r="J6">
        <v>201226.15</v>
      </c>
      <c r="K6">
        <v>0</v>
      </c>
      <c r="L6">
        <v>282049.05</v>
      </c>
      <c r="M6">
        <v>0</v>
      </c>
      <c r="N6">
        <v>71093.179999999993</v>
      </c>
      <c r="O6">
        <v>5378.3</v>
      </c>
      <c r="P6">
        <v>4950.49</v>
      </c>
      <c r="Q6">
        <v>0</v>
      </c>
      <c r="R6">
        <v>0</v>
      </c>
      <c r="S6">
        <v>0</v>
      </c>
      <c r="T6">
        <v>0</v>
      </c>
      <c r="U6">
        <v>0</v>
      </c>
      <c r="V6">
        <v>178006.16</v>
      </c>
      <c r="W6">
        <v>0</v>
      </c>
      <c r="X6">
        <v>0</v>
      </c>
      <c r="Y6">
        <v>0</v>
      </c>
      <c r="Z6">
        <v>65854.75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137437.71</v>
      </c>
      <c r="AH6">
        <v>0</v>
      </c>
      <c r="AI6">
        <v>0</v>
      </c>
      <c r="AJ6">
        <v>342090687.01695597</v>
      </c>
    </row>
    <row r="7" spans="1:36" x14ac:dyDescent="0.25">
      <c r="A7" t="s">
        <v>308</v>
      </c>
      <c r="B7" t="s">
        <v>11</v>
      </c>
      <c r="C7">
        <v>1437.17</v>
      </c>
      <c r="D7">
        <v>4102.88</v>
      </c>
      <c r="G7">
        <v>2.1413000000000001E-2</v>
      </c>
      <c r="H7">
        <v>0</v>
      </c>
      <c r="I7">
        <v>36734.699999999997</v>
      </c>
      <c r="J7">
        <v>201226.15</v>
      </c>
      <c r="K7">
        <v>0</v>
      </c>
      <c r="L7">
        <v>282049.05</v>
      </c>
      <c r="M7">
        <v>0</v>
      </c>
      <c r="N7">
        <v>71096.2</v>
      </c>
      <c r="O7">
        <v>5949.52</v>
      </c>
      <c r="P7">
        <v>5026.82</v>
      </c>
      <c r="Q7">
        <v>0</v>
      </c>
      <c r="R7">
        <v>0</v>
      </c>
      <c r="S7">
        <v>0</v>
      </c>
      <c r="T7">
        <v>0</v>
      </c>
      <c r="U7">
        <v>0</v>
      </c>
      <c r="V7">
        <v>178023.19</v>
      </c>
      <c r="W7">
        <v>0</v>
      </c>
      <c r="X7">
        <v>0</v>
      </c>
      <c r="Y7">
        <v>0</v>
      </c>
      <c r="Z7">
        <v>65854.75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137437.79</v>
      </c>
      <c r="AH7">
        <v>0</v>
      </c>
      <c r="AI7">
        <v>0</v>
      </c>
      <c r="AJ7">
        <v>355230656.95953202</v>
      </c>
    </row>
    <row r="8" spans="1:36" x14ac:dyDescent="0.25">
      <c r="A8" t="s">
        <v>309</v>
      </c>
      <c r="B8" t="s">
        <v>11</v>
      </c>
      <c r="D8">
        <v>26540.880000000001</v>
      </c>
      <c r="E8">
        <v>9296.85</v>
      </c>
      <c r="G8">
        <v>0.13852</v>
      </c>
      <c r="H8">
        <v>0</v>
      </c>
      <c r="I8">
        <v>88092.55</v>
      </c>
      <c r="J8">
        <v>463682.79</v>
      </c>
      <c r="K8">
        <v>0</v>
      </c>
      <c r="L8">
        <v>831153.37</v>
      </c>
      <c r="M8">
        <v>0</v>
      </c>
      <c r="N8">
        <v>162571.37</v>
      </c>
      <c r="O8">
        <v>89893</v>
      </c>
      <c r="P8">
        <v>95038.16</v>
      </c>
      <c r="Q8">
        <v>0</v>
      </c>
      <c r="R8">
        <v>0</v>
      </c>
      <c r="S8">
        <v>0</v>
      </c>
      <c r="T8">
        <v>0</v>
      </c>
      <c r="U8">
        <v>0</v>
      </c>
      <c r="V8">
        <v>775480.49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126002.45</v>
      </c>
      <c r="AH8">
        <v>0</v>
      </c>
      <c r="AI8">
        <v>0</v>
      </c>
      <c r="AJ8">
        <v>1423702696.9358399</v>
      </c>
    </row>
    <row r="9" spans="1:36" x14ac:dyDescent="0.25">
      <c r="A9" t="s">
        <v>310</v>
      </c>
      <c r="B9" t="s">
        <v>11</v>
      </c>
      <c r="C9">
        <v>9296.85</v>
      </c>
      <c r="D9">
        <v>26540.880000000001</v>
      </c>
      <c r="G9">
        <v>0.13852</v>
      </c>
      <c r="H9">
        <v>0</v>
      </c>
      <c r="I9">
        <v>151713.66</v>
      </c>
      <c r="J9">
        <v>463682.79</v>
      </c>
      <c r="K9">
        <v>0</v>
      </c>
      <c r="L9">
        <v>831153.37</v>
      </c>
      <c r="M9">
        <v>0</v>
      </c>
      <c r="N9">
        <v>162578</v>
      </c>
      <c r="O9">
        <v>112374.17</v>
      </c>
      <c r="P9">
        <v>98658.62</v>
      </c>
      <c r="Q9">
        <v>0</v>
      </c>
      <c r="R9">
        <v>0</v>
      </c>
      <c r="S9">
        <v>0</v>
      </c>
      <c r="T9">
        <v>0</v>
      </c>
      <c r="U9">
        <v>0</v>
      </c>
      <c r="V9">
        <v>774104.7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126002.03</v>
      </c>
      <c r="AH9">
        <v>0</v>
      </c>
      <c r="AI9">
        <v>0</v>
      </c>
      <c r="AJ9">
        <v>1522269587.2402301</v>
      </c>
    </row>
    <row r="10" spans="1:36" x14ac:dyDescent="0.25">
      <c r="A10" t="s">
        <v>311</v>
      </c>
      <c r="B10" t="s">
        <v>11</v>
      </c>
      <c r="C10">
        <v>11273.28</v>
      </c>
      <c r="D10">
        <v>32183.24</v>
      </c>
      <c r="G10">
        <v>0.16796900000000001</v>
      </c>
      <c r="H10">
        <v>0</v>
      </c>
      <c r="I10">
        <v>331585.53999999998</v>
      </c>
      <c r="J10">
        <v>857863.39</v>
      </c>
      <c r="K10">
        <v>0</v>
      </c>
      <c r="L10">
        <v>1141299.43</v>
      </c>
      <c r="M10">
        <v>0</v>
      </c>
      <c r="N10">
        <v>209811.94</v>
      </c>
      <c r="O10">
        <v>328180.67</v>
      </c>
      <c r="P10">
        <v>298785.99</v>
      </c>
      <c r="Q10">
        <v>0</v>
      </c>
      <c r="R10">
        <v>0</v>
      </c>
      <c r="S10">
        <v>0</v>
      </c>
      <c r="T10">
        <v>0</v>
      </c>
      <c r="U10">
        <v>0</v>
      </c>
      <c r="V10">
        <v>515855.9</v>
      </c>
      <c r="W10">
        <v>0</v>
      </c>
      <c r="X10">
        <v>0</v>
      </c>
      <c r="Y10">
        <v>0</v>
      </c>
      <c r="Z10">
        <v>43737.51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299616.37</v>
      </c>
      <c r="AH10">
        <v>0</v>
      </c>
      <c r="AI10">
        <v>0</v>
      </c>
      <c r="AJ10">
        <v>1851890986.7426901</v>
      </c>
    </row>
    <row r="11" spans="1:36" x14ac:dyDescent="0.25">
      <c r="A11" t="s">
        <v>312</v>
      </c>
      <c r="B11" t="s">
        <v>11</v>
      </c>
      <c r="D11">
        <v>32183.24</v>
      </c>
      <c r="E11">
        <v>11273.28</v>
      </c>
      <c r="G11">
        <v>0.16796900000000001</v>
      </c>
      <c r="H11">
        <v>0</v>
      </c>
      <c r="I11">
        <v>152430.32999999999</v>
      </c>
      <c r="J11">
        <v>857863.39</v>
      </c>
      <c r="K11">
        <v>0</v>
      </c>
      <c r="L11">
        <v>1141299.43</v>
      </c>
      <c r="M11">
        <v>0</v>
      </c>
      <c r="N11">
        <v>209771.42</v>
      </c>
      <c r="O11">
        <v>259312.43</v>
      </c>
      <c r="P11">
        <v>284923.53999999998</v>
      </c>
      <c r="Q11">
        <v>0</v>
      </c>
      <c r="R11">
        <v>0</v>
      </c>
      <c r="S11">
        <v>0</v>
      </c>
      <c r="T11">
        <v>0</v>
      </c>
      <c r="U11">
        <v>0</v>
      </c>
      <c r="V11">
        <v>516985.46</v>
      </c>
      <c r="W11">
        <v>0</v>
      </c>
      <c r="X11">
        <v>0</v>
      </c>
      <c r="Y11">
        <v>0</v>
      </c>
      <c r="Z11">
        <v>43737.51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299615.73</v>
      </c>
      <c r="AH11">
        <v>0</v>
      </c>
      <c r="AI11">
        <v>0</v>
      </c>
      <c r="AJ11">
        <v>1784646141.20439</v>
      </c>
    </row>
    <row r="12" spans="1:36" x14ac:dyDescent="0.25">
      <c r="A12" t="s">
        <v>313</v>
      </c>
      <c r="B12" t="s">
        <v>11</v>
      </c>
      <c r="D12">
        <v>4451.92</v>
      </c>
      <c r="E12">
        <v>1559.44</v>
      </c>
      <c r="G12">
        <v>2.3234999999999999E-2</v>
      </c>
      <c r="H12">
        <v>0</v>
      </c>
      <c r="I12">
        <v>27464.91</v>
      </c>
      <c r="J12">
        <v>197273.03</v>
      </c>
      <c r="K12">
        <v>0</v>
      </c>
      <c r="L12">
        <v>258328.15</v>
      </c>
      <c r="M12">
        <v>0</v>
      </c>
      <c r="N12">
        <v>314608.24</v>
      </c>
      <c r="O12">
        <v>5857.67</v>
      </c>
      <c r="P12">
        <v>6001.69</v>
      </c>
      <c r="Q12">
        <v>0</v>
      </c>
      <c r="R12">
        <v>0</v>
      </c>
      <c r="S12">
        <v>0</v>
      </c>
      <c r="T12">
        <v>0</v>
      </c>
      <c r="U12">
        <v>0</v>
      </c>
      <c r="V12">
        <v>196347.49</v>
      </c>
      <c r="W12">
        <v>0</v>
      </c>
      <c r="X12">
        <v>0</v>
      </c>
      <c r="Y12">
        <v>0</v>
      </c>
      <c r="Z12">
        <v>64094.3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253176.88</v>
      </c>
      <c r="AH12">
        <v>0</v>
      </c>
      <c r="AI12">
        <v>0</v>
      </c>
      <c r="AJ12">
        <v>564260322.53592896</v>
      </c>
    </row>
    <row r="13" spans="1:36" x14ac:dyDescent="0.25">
      <c r="A13" t="s">
        <v>314</v>
      </c>
      <c r="B13" t="s">
        <v>11</v>
      </c>
      <c r="C13">
        <v>1559.44</v>
      </c>
      <c r="D13">
        <v>4451.92</v>
      </c>
      <c r="G13">
        <v>2.3234999999999999E-2</v>
      </c>
      <c r="H13">
        <v>0</v>
      </c>
      <c r="I13">
        <v>30252.43</v>
      </c>
      <c r="J13">
        <v>197273.03</v>
      </c>
      <c r="K13">
        <v>0</v>
      </c>
      <c r="L13">
        <v>258328.15</v>
      </c>
      <c r="M13">
        <v>0</v>
      </c>
      <c r="N13">
        <v>314624.27</v>
      </c>
      <c r="O13">
        <v>6771.3</v>
      </c>
      <c r="P13">
        <v>5981.25</v>
      </c>
      <c r="Q13">
        <v>0</v>
      </c>
      <c r="R13">
        <v>0</v>
      </c>
      <c r="S13">
        <v>0</v>
      </c>
      <c r="T13">
        <v>0</v>
      </c>
      <c r="U13">
        <v>0</v>
      </c>
      <c r="V13">
        <v>196355.18</v>
      </c>
      <c r="W13">
        <v>0</v>
      </c>
      <c r="X13">
        <v>0</v>
      </c>
      <c r="Y13">
        <v>0</v>
      </c>
      <c r="Z13">
        <v>64094.3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253183.63</v>
      </c>
      <c r="AH13">
        <v>0</v>
      </c>
      <c r="AI13">
        <v>0</v>
      </c>
      <c r="AJ13">
        <v>579250703.51422799</v>
      </c>
    </row>
    <row r="14" spans="1:36" x14ac:dyDescent="0.25">
      <c r="A14" t="s">
        <v>315</v>
      </c>
      <c r="B14" t="s">
        <v>11</v>
      </c>
      <c r="C14">
        <v>9394.92</v>
      </c>
      <c r="D14">
        <v>26820.85</v>
      </c>
      <c r="G14">
        <v>0.139982</v>
      </c>
      <c r="H14">
        <v>0</v>
      </c>
      <c r="I14">
        <v>306314.87</v>
      </c>
      <c r="J14">
        <v>350734.07</v>
      </c>
      <c r="K14">
        <v>0</v>
      </c>
      <c r="L14">
        <v>936314.72</v>
      </c>
      <c r="M14">
        <v>0</v>
      </c>
      <c r="N14">
        <v>250366.74</v>
      </c>
      <c r="O14">
        <v>219858.82</v>
      </c>
      <c r="P14">
        <v>203288.72</v>
      </c>
      <c r="Q14">
        <v>0</v>
      </c>
      <c r="R14">
        <v>0</v>
      </c>
      <c r="S14">
        <v>0</v>
      </c>
      <c r="T14">
        <v>0</v>
      </c>
      <c r="U14">
        <v>0</v>
      </c>
      <c r="V14">
        <v>333355.78999999998</v>
      </c>
      <c r="W14">
        <v>0</v>
      </c>
      <c r="X14">
        <v>0</v>
      </c>
      <c r="Y14">
        <v>0</v>
      </c>
      <c r="Z14">
        <v>68627.600000000006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530266</v>
      </c>
      <c r="AH14">
        <v>0</v>
      </c>
      <c r="AI14">
        <v>0</v>
      </c>
      <c r="AJ14">
        <v>1615348954.5117199</v>
      </c>
    </row>
    <row r="15" spans="1:36" x14ac:dyDescent="0.25">
      <c r="A15" t="s">
        <v>316</v>
      </c>
      <c r="B15" t="s">
        <v>11</v>
      </c>
      <c r="C15">
        <v>24045.29</v>
      </c>
      <c r="D15">
        <v>68645.119999999995</v>
      </c>
      <c r="G15">
        <v>0.35826799999999998</v>
      </c>
      <c r="H15">
        <v>0</v>
      </c>
      <c r="I15">
        <v>245988.82</v>
      </c>
      <c r="J15">
        <v>1274541.22</v>
      </c>
      <c r="K15">
        <v>0</v>
      </c>
      <c r="L15">
        <v>3553012.2</v>
      </c>
      <c r="M15">
        <v>0</v>
      </c>
      <c r="N15">
        <v>893241.61</v>
      </c>
      <c r="O15">
        <v>76585.009999999995</v>
      </c>
      <c r="P15">
        <v>62110.23</v>
      </c>
      <c r="Q15">
        <v>0</v>
      </c>
      <c r="R15">
        <v>0</v>
      </c>
      <c r="S15">
        <v>0</v>
      </c>
      <c r="T15">
        <v>0</v>
      </c>
      <c r="U15">
        <v>0</v>
      </c>
      <c r="V15">
        <v>1006937.97</v>
      </c>
      <c r="W15">
        <v>0</v>
      </c>
      <c r="X15">
        <v>0</v>
      </c>
      <c r="Y15">
        <v>0</v>
      </c>
      <c r="Z15">
        <v>127428.8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805513.46</v>
      </c>
      <c r="AH15">
        <v>0</v>
      </c>
      <c r="AI15">
        <v>0</v>
      </c>
      <c r="AJ15">
        <v>5087041337.6226397</v>
      </c>
    </row>
    <row r="16" spans="1:36" x14ac:dyDescent="0.25">
      <c r="A16" t="s">
        <v>317</v>
      </c>
      <c r="B16" t="s">
        <v>11</v>
      </c>
      <c r="D16">
        <v>26820.85</v>
      </c>
      <c r="E16">
        <v>9394.92</v>
      </c>
      <c r="G16">
        <v>0.139982</v>
      </c>
      <c r="H16">
        <v>0</v>
      </c>
      <c r="I16">
        <v>88910.01</v>
      </c>
      <c r="J16">
        <v>350734.07</v>
      </c>
      <c r="K16">
        <v>0</v>
      </c>
      <c r="L16">
        <v>936314.72</v>
      </c>
      <c r="M16">
        <v>0</v>
      </c>
      <c r="N16">
        <v>249804.28</v>
      </c>
      <c r="O16">
        <v>177154.51</v>
      </c>
      <c r="P16">
        <v>198095.83</v>
      </c>
      <c r="Q16">
        <v>0</v>
      </c>
      <c r="R16">
        <v>0</v>
      </c>
      <c r="S16">
        <v>0</v>
      </c>
      <c r="T16">
        <v>0</v>
      </c>
      <c r="U16">
        <v>0</v>
      </c>
      <c r="V16">
        <v>333355.5</v>
      </c>
      <c r="W16">
        <v>0</v>
      </c>
      <c r="X16">
        <v>0</v>
      </c>
      <c r="Y16">
        <v>0</v>
      </c>
      <c r="Z16">
        <v>68627.600000000006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530229.18000000005</v>
      </c>
      <c r="AH16">
        <v>0</v>
      </c>
      <c r="AI16">
        <v>0</v>
      </c>
      <c r="AJ16">
        <v>1430996695.1997299</v>
      </c>
    </row>
    <row r="17" spans="1:36" x14ac:dyDescent="0.25">
      <c r="A17" t="s">
        <v>318</v>
      </c>
      <c r="B17" t="s">
        <v>11</v>
      </c>
      <c r="D17">
        <v>68645.119999999995</v>
      </c>
      <c r="E17">
        <v>24045.29</v>
      </c>
      <c r="G17">
        <v>0.35826799999999998</v>
      </c>
      <c r="H17">
        <v>0</v>
      </c>
      <c r="I17">
        <v>211578.73</v>
      </c>
      <c r="J17">
        <v>1274541.22</v>
      </c>
      <c r="K17">
        <v>0</v>
      </c>
      <c r="L17">
        <v>3553012.2</v>
      </c>
      <c r="M17">
        <v>0</v>
      </c>
      <c r="N17">
        <v>893162.05</v>
      </c>
      <c r="O17">
        <v>63466.59</v>
      </c>
      <c r="P17">
        <v>59515.14</v>
      </c>
      <c r="Q17">
        <v>0</v>
      </c>
      <c r="R17">
        <v>0</v>
      </c>
      <c r="S17">
        <v>0</v>
      </c>
      <c r="T17">
        <v>0</v>
      </c>
      <c r="U17">
        <v>0</v>
      </c>
      <c r="V17">
        <v>1006788.01</v>
      </c>
      <c r="W17">
        <v>0</v>
      </c>
      <c r="X17">
        <v>0</v>
      </c>
      <c r="Y17">
        <v>0</v>
      </c>
      <c r="Z17">
        <v>127428.8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805513.45</v>
      </c>
      <c r="AH17">
        <v>0</v>
      </c>
      <c r="AI17">
        <v>0</v>
      </c>
      <c r="AJ17">
        <v>4713921395.4341202</v>
      </c>
    </row>
    <row r="18" spans="1:36" x14ac:dyDescent="0.25">
      <c r="A18" t="s">
        <v>557</v>
      </c>
      <c r="B18" t="s">
        <v>11</v>
      </c>
      <c r="D18">
        <v>12575.54</v>
      </c>
      <c r="E18">
        <v>4405.01</v>
      </c>
      <c r="G18">
        <v>6.5632999999999997E-2</v>
      </c>
      <c r="H18">
        <v>0</v>
      </c>
      <c r="I18">
        <v>29942.99</v>
      </c>
      <c r="J18">
        <v>394508.4</v>
      </c>
      <c r="K18">
        <v>0</v>
      </c>
      <c r="L18">
        <v>436518</v>
      </c>
      <c r="M18">
        <v>0</v>
      </c>
      <c r="N18">
        <v>108018.98</v>
      </c>
      <c r="O18">
        <v>11863.33</v>
      </c>
      <c r="P18">
        <v>11759.22</v>
      </c>
      <c r="Q18">
        <v>0</v>
      </c>
      <c r="R18">
        <v>0</v>
      </c>
      <c r="S18">
        <v>0</v>
      </c>
      <c r="T18">
        <v>0</v>
      </c>
      <c r="U18">
        <v>0</v>
      </c>
      <c r="V18">
        <v>321744.62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192555.71</v>
      </c>
      <c r="AH18">
        <v>0</v>
      </c>
      <c r="AI18">
        <v>0</v>
      </c>
      <c r="AJ18">
        <v>932884955.36214995</v>
      </c>
    </row>
    <row r="19" spans="1:36" x14ac:dyDescent="0.25">
      <c r="A19" t="s">
        <v>559</v>
      </c>
      <c r="B19" t="s">
        <v>11</v>
      </c>
      <c r="C19">
        <v>4405.01</v>
      </c>
      <c r="D19">
        <v>12575.54</v>
      </c>
      <c r="G19">
        <v>6.5632999999999997E-2</v>
      </c>
      <c r="H19">
        <v>0</v>
      </c>
      <c r="I19">
        <v>34779.15</v>
      </c>
      <c r="J19">
        <v>394508.4</v>
      </c>
      <c r="K19">
        <v>0</v>
      </c>
      <c r="L19">
        <v>436518</v>
      </c>
      <c r="M19">
        <v>0</v>
      </c>
      <c r="N19">
        <v>108025.12</v>
      </c>
      <c r="O19">
        <v>14420.82</v>
      </c>
      <c r="P19">
        <v>12342.31</v>
      </c>
      <c r="Q19">
        <v>0</v>
      </c>
      <c r="R19">
        <v>0</v>
      </c>
      <c r="S19">
        <v>0</v>
      </c>
      <c r="T19">
        <v>0</v>
      </c>
      <c r="U19">
        <v>0</v>
      </c>
      <c r="V19">
        <v>322221.96999999997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192558.61</v>
      </c>
      <c r="AH19">
        <v>0</v>
      </c>
      <c r="AI19">
        <v>0</v>
      </c>
      <c r="AJ19">
        <v>941340955.52650905</v>
      </c>
    </row>
    <row r="20" spans="1:36" x14ac:dyDescent="0.25">
      <c r="A20" t="s">
        <v>560</v>
      </c>
      <c r="B20" t="s">
        <v>11</v>
      </c>
      <c r="D20">
        <v>1035.1300000000001</v>
      </c>
      <c r="E20">
        <v>362.59</v>
      </c>
      <c r="G20">
        <v>5.4019999999999997E-3</v>
      </c>
      <c r="H20">
        <v>0</v>
      </c>
      <c r="I20">
        <v>499.83</v>
      </c>
      <c r="J20">
        <v>12134.67</v>
      </c>
      <c r="K20">
        <v>0</v>
      </c>
      <c r="L20">
        <v>29466.65</v>
      </c>
      <c r="M20">
        <v>0</v>
      </c>
      <c r="N20">
        <v>46813.13</v>
      </c>
      <c r="O20">
        <v>1245.73</v>
      </c>
      <c r="P20">
        <v>975.19</v>
      </c>
      <c r="Q20">
        <v>0</v>
      </c>
      <c r="R20">
        <v>0</v>
      </c>
      <c r="S20">
        <v>0</v>
      </c>
      <c r="T20">
        <v>0</v>
      </c>
      <c r="U20">
        <v>0</v>
      </c>
      <c r="V20">
        <v>11409.76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5049.04</v>
      </c>
      <c r="AH20">
        <v>0</v>
      </c>
      <c r="AI20">
        <v>0</v>
      </c>
      <c r="AJ20">
        <v>42445846.723382503</v>
      </c>
    </row>
    <row r="21" spans="1:36" x14ac:dyDescent="0.25">
      <c r="A21" t="s">
        <v>562</v>
      </c>
      <c r="B21" t="s">
        <v>11</v>
      </c>
      <c r="C21">
        <v>362.59</v>
      </c>
      <c r="D21">
        <v>1035.1300000000001</v>
      </c>
      <c r="G21">
        <v>5.4019999999999997E-3</v>
      </c>
      <c r="H21">
        <v>0</v>
      </c>
      <c r="I21">
        <v>1002.49</v>
      </c>
      <c r="J21">
        <v>12134.67</v>
      </c>
      <c r="K21">
        <v>0</v>
      </c>
      <c r="L21">
        <v>29466.65</v>
      </c>
      <c r="M21">
        <v>0</v>
      </c>
      <c r="N21">
        <v>46813.13</v>
      </c>
      <c r="O21">
        <v>2449.0100000000002</v>
      </c>
      <c r="P21">
        <v>1676.22</v>
      </c>
      <c r="Q21">
        <v>0</v>
      </c>
      <c r="R21">
        <v>0</v>
      </c>
      <c r="S21">
        <v>0</v>
      </c>
      <c r="T21">
        <v>0</v>
      </c>
      <c r="U21">
        <v>0</v>
      </c>
      <c r="V21">
        <v>11409.76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5049.04</v>
      </c>
      <c r="AH21">
        <v>0</v>
      </c>
      <c r="AI21">
        <v>0</v>
      </c>
      <c r="AJ21">
        <v>48563112.945520803</v>
      </c>
    </row>
    <row r="22" spans="1:36" x14ac:dyDescent="0.25">
      <c r="A22" t="s">
        <v>563</v>
      </c>
      <c r="B22" t="s">
        <v>11</v>
      </c>
      <c r="D22">
        <v>17290.43</v>
      </c>
      <c r="E22">
        <v>6056.56</v>
      </c>
      <c r="G22">
        <v>9.0241000000000002E-2</v>
      </c>
      <c r="H22">
        <v>0</v>
      </c>
      <c r="I22">
        <v>51990.12</v>
      </c>
      <c r="J22">
        <v>239542.44</v>
      </c>
      <c r="K22">
        <v>0</v>
      </c>
      <c r="L22">
        <v>831153.37</v>
      </c>
      <c r="M22">
        <v>0</v>
      </c>
      <c r="N22">
        <v>135704.76</v>
      </c>
      <c r="O22">
        <v>66615.7</v>
      </c>
      <c r="P22">
        <v>68045.67</v>
      </c>
      <c r="Q22">
        <v>0</v>
      </c>
      <c r="R22">
        <v>0</v>
      </c>
      <c r="S22">
        <v>0</v>
      </c>
      <c r="T22">
        <v>0</v>
      </c>
      <c r="U22">
        <v>0</v>
      </c>
      <c r="V22">
        <v>324357.65000000002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125996.82</v>
      </c>
      <c r="AH22">
        <v>0</v>
      </c>
      <c r="AI22">
        <v>0</v>
      </c>
      <c r="AJ22">
        <v>1064082517.6688401</v>
      </c>
    </row>
    <row r="23" spans="1:36" x14ac:dyDescent="0.25">
      <c r="A23" t="s">
        <v>564</v>
      </c>
      <c r="B23" t="s">
        <v>11</v>
      </c>
      <c r="C23">
        <v>6056.56</v>
      </c>
      <c r="D23">
        <v>17290.43</v>
      </c>
      <c r="G23">
        <v>9.0241000000000002E-2</v>
      </c>
      <c r="H23">
        <v>0</v>
      </c>
      <c r="I23">
        <v>126585.04</v>
      </c>
      <c r="J23">
        <v>239542.44</v>
      </c>
      <c r="K23">
        <v>0</v>
      </c>
      <c r="L23">
        <v>831153.37</v>
      </c>
      <c r="M23">
        <v>0</v>
      </c>
      <c r="N23">
        <v>136081.10999999999</v>
      </c>
      <c r="O23">
        <v>98117.11</v>
      </c>
      <c r="P23">
        <v>87465.78</v>
      </c>
      <c r="Q23">
        <v>0</v>
      </c>
      <c r="R23">
        <v>0</v>
      </c>
      <c r="S23">
        <v>0</v>
      </c>
      <c r="T23">
        <v>0</v>
      </c>
      <c r="U23">
        <v>0</v>
      </c>
      <c r="V23">
        <v>323988.64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125996.54</v>
      </c>
      <c r="AH23">
        <v>0</v>
      </c>
      <c r="AI23">
        <v>0</v>
      </c>
      <c r="AJ23">
        <v>1123169177.9403701</v>
      </c>
    </row>
    <row r="24" spans="1:36" x14ac:dyDescent="0.25">
      <c r="A24" t="s">
        <v>565</v>
      </c>
      <c r="B24" t="s">
        <v>11</v>
      </c>
      <c r="D24">
        <v>2932.99</v>
      </c>
      <c r="E24">
        <v>1027.3800000000001</v>
      </c>
      <c r="G24">
        <v>1.5308E-2</v>
      </c>
      <c r="H24">
        <v>0</v>
      </c>
      <c r="I24">
        <v>23444.14</v>
      </c>
      <c r="J24">
        <v>103288.37</v>
      </c>
      <c r="K24">
        <v>0</v>
      </c>
      <c r="L24">
        <v>282049.05</v>
      </c>
      <c r="M24">
        <v>0</v>
      </c>
      <c r="N24">
        <v>57382.26</v>
      </c>
      <c r="O24">
        <v>2950.43</v>
      </c>
      <c r="P24">
        <v>2949.16</v>
      </c>
      <c r="Q24">
        <v>0</v>
      </c>
      <c r="R24">
        <v>0</v>
      </c>
      <c r="S24">
        <v>0</v>
      </c>
      <c r="T24">
        <v>0</v>
      </c>
      <c r="U24">
        <v>0</v>
      </c>
      <c r="V24">
        <v>137329.44</v>
      </c>
      <c r="W24">
        <v>0</v>
      </c>
      <c r="X24">
        <v>0</v>
      </c>
      <c r="Y24">
        <v>0</v>
      </c>
      <c r="Z24">
        <v>65854.75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137432.03</v>
      </c>
      <c r="AH24">
        <v>0</v>
      </c>
      <c r="AI24">
        <v>0</v>
      </c>
      <c r="AJ24">
        <v>252955568.96309799</v>
      </c>
    </row>
    <row r="25" spans="1:36" x14ac:dyDescent="0.25">
      <c r="A25" t="s">
        <v>566</v>
      </c>
      <c r="B25" t="s">
        <v>11</v>
      </c>
      <c r="C25">
        <v>1027.3800000000001</v>
      </c>
      <c r="D25">
        <v>2932.99</v>
      </c>
      <c r="G25">
        <v>1.5308E-2</v>
      </c>
      <c r="H25">
        <v>0</v>
      </c>
      <c r="I25">
        <v>24023.66</v>
      </c>
      <c r="J25">
        <v>103288.37</v>
      </c>
      <c r="K25">
        <v>0</v>
      </c>
      <c r="L25">
        <v>282049.05</v>
      </c>
      <c r="M25">
        <v>0</v>
      </c>
      <c r="N25">
        <v>57385.14</v>
      </c>
      <c r="O25">
        <v>3299.17</v>
      </c>
      <c r="P25">
        <v>2970.41</v>
      </c>
      <c r="Q25">
        <v>0</v>
      </c>
      <c r="R25">
        <v>0</v>
      </c>
      <c r="S25">
        <v>0</v>
      </c>
      <c r="T25">
        <v>0</v>
      </c>
      <c r="U25">
        <v>0</v>
      </c>
      <c r="V25">
        <v>137329.1</v>
      </c>
      <c r="W25">
        <v>0</v>
      </c>
      <c r="X25">
        <v>0</v>
      </c>
      <c r="Y25">
        <v>0</v>
      </c>
      <c r="Z25">
        <v>65854.75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137432.10999999999</v>
      </c>
      <c r="AH25">
        <v>0</v>
      </c>
      <c r="AI25">
        <v>0</v>
      </c>
      <c r="AJ25">
        <v>259136210.48829001</v>
      </c>
    </row>
    <row r="26" spans="1:36" x14ac:dyDescent="0.25">
      <c r="A26" t="s">
        <v>567</v>
      </c>
      <c r="B26" t="s">
        <v>11</v>
      </c>
      <c r="D26">
        <v>27392.65</v>
      </c>
      <c r="E26">
        <v>9595.2099999999991</v>
      </c>
      <c r="G26">
        <v>0.14296600000000001</v>
      </c>
      <c r="H26">
        <v>0</v>
      </c>
      <c r="I26">
        <v>123525.88</v>
      </c>
      <c r="J26">
        <v>626942.71</v>
      </c>
      <c r="K26">
        <v>0</v>
      </c>
      <c r="L26">
        <v>1141299.43</v>
      </c>
      <c r="M26">
        <v>0</v>
      </c>
      <c r="N26">
        <v>177911.36</v>
      </c>
      <c r="O26">
        <v>221148.01</v>
      </c>
      <c r="P26">
        <v>241600.12</v>
      </c>
      <c r="Q26">
        <v>0</v>
      </c>
      <c r="R26">
        <v>0</v>
      </c>
      <c r="S26">
        <v>0</v>
      </c>
      <c r="T26">
        <v>0</v>
      </c>
      <c r="U26">
        <v>0</v>
      </c>
      <c r="V26">
        <v>364745.25</v>
      </c>
      <c r="W26">
        <v>0</v>
      </c>
      <c r="X26">
        <v>0</v>
      </c>
      <c r="Y26">
        <v>0</v>
      </c>
      <c r="Z26">
        <v>43737.51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299628.45</v>
      </c>
      <c r="AH26">
        <v>0</v>
      </c>
      <c r="AI26">
        <v>0</v>
      </c>
      <c r="AJ26">
        <v>1504516782.4800301</v>
      </c>
    </row>
    <row r="27" spans="1:36" x14ac:dyDescent="0.25">
      <c r="A27" t="s">
        <v>568</v>
      </c>
      <c r="B27" t="s">
        <v>11</v>
      </c>
      <c r="C27">
        <v>9595.2099999999991</v>
      </c>
      <c r="D27">
        <v>27392.65</v>
      </c>
      <c r="G27">
        <v>0.14296600000000001</v>
      </c>
      <c r="H27">
        <v>0</v>
      </c>
      <c r="I27">
        <v>291153.12</v>
      </c>
      <c r="J27">
        <v>626942.71</v>
      </c>
      <c r="K27">
        <v>0</v>
      </c>
      <c r="L27">
        <v>1141299.43</v>
      </c>
      <c r="M27">
        <v>0</v>
      </c>
      <c r="N27">
        <v>178118.52</v>
      </c>
      <c r="O27">
        <v>279823.90999999997</v>
      </c>
      <c r="P27">
        <v>254744.95999999999</v>
      </c>
      <c r="Q27">
        <v>0</v>
      </c>
      <c r="R27">
        <v>0</v>
      </c>
      <c r="S27">
        <v>0</v>
      </c>
      <c r="T27">
        <v>0</v>
      </c>
      <c r="U27">
        <v>0</v>
      </c>
      <c r="V27">
        <v>363245.55</v>
      </c>
      <c r="W27">
        <v>0</v>
      </c>
      <c r="X27">
        <v>0</v>
      </c>
      <c r="Y27">
        <v>0</v>
      </c>
      <c r="Z27">
        <v>43737.51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299611.58</v>
      </c>
      <c r="AH27">
        <v>0</v>
      </c>
      <c r="AI27">
        <v>0</v>
      </c>
      <c r="AJ27">
        <v>1563118196.7704101</v>
      </c>
    </row>
    <row r="28" spans="1:36" x14ac:dyDescent="0.25">
      <c r="A28" t="s">
        <v>569</v>
      </c>
      <c r="B28" t="s">
        <v>11</v>
      </c>
      <c r="C28">
        <v>1106.3599999999999</v>
      </c>
      <c r="D28">
        <v>3158.47</v>
      </c>
      <c r="G28">
        <v>1.6483999999999999E-2</v>
      </c>
      <c r="H28">
        <v>0</v>
      </c>
      <c r="I28">
        <v>22104.23</v>
      </c>
      <c r="J28">
        <v>94437.9</v>
      </c>
      <c r="K28">
        <v>0</v>
      </c>
      <c r="L28">
        <v>258328.15</v>
      </c>
      <c r="M28">
        <v>0</v>
      </c>
      <c r="N28">
        <v>247295.74</v>
      </c>
      <c r="O28">
        <v>3585.59</v>
      </c>
      <c r="P28">
        <v>3283.42</v>
      </c>
      <c r="Q28">
        <v>0</v>
      </c>
      <c r="R28">
        <v>0</v>
      </c>
      <c r="S28">
        <v>0</v>
      </c>
      <c r="T28">
        <v>0</v>
      </c>
      <c r="U28">
        <v>0</v>
      </c>
      <c r="V28">
        <v>219799.82</v>
      </c>
      <c r="W28">
        <v>0</v>
      </c>
      <c r="X28">
        <v>0</v>
      </c>
      <c r="Y28">
        <v>0</v>
      </c>
      <c r="Z28">
        <v>64094.3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253174.34</v>
      </c>
      <c r="AH28">
        <v>0</v>
      </c>
      <c r="AI28">
        <v>0</v>
      </c>
      <c r="AJ28">
        <v>444027574.75345701</v>
      </c>
    </row>
    <row r="29" spans="1:36" x14ac:dyDescent="0.25">
      <c r="A29" t="s">
        <v>570</v>
      </c>
      <c r="B29" t="s">
        <v>11</v>
      </c>
      <c r="D29">
        <v>3158.47</v>
      </c>
      <c r="E29">
        <v>1106.3599999999999</v>
      </c>
      <c r="G29">
        <v>1.6483999999999999E-2</v>
      </c>
      <c r="H29">
        <v>0</v>
      </c>
      <c r="I29">
        <v>19896.04</v>
      </c>
      <c r="J29">
        <v>94437.9</v>
      </c>
      <c r="K29">
        <v>0</v>
      </c>
      <c r="L29">
        <v>258328.15</v>
      </c>
      <c r="M29">
        <v>0</v>
      </c>
      <c r="N29">
        <v>247293.96</v>
      </c>
      <c r="O29">
        <v>3094.12</v>
      </c>
      <c r="P29">
        <v>3281.21</v>
      </c>
      <c r="Q29">
        <v>0</v>
      </c>
      <c r="R29">
        <v>0</v>
      </c>
      <c r="S29">
        <v>0</v>
      </c>
      <c r="T29">
        <v>0</v>
      </c>
      <c r="U29">
        <v>0</v>
      </c>
      <c r="V29">
        <v>219813.31</v>
      </c>
      <c r="W29">
        <v>0</v>
      </c>
      <c r="X29">
        <v>0</v>
      </c>
      <c r="Y29">
        <v>0</v>
      </c>
      <c r="Z29">
        <v>64094.3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253172</v>
      </c>
      <c r="AH29">
        <v>0</v>
      </c>
      <c r="AI29">
        <v>0</v>
      </c>
      <c r="AJ29">
        <v>436475026.65783399</v>
      </c>
    </row>
    <row r="30" spans="1:36" x14ac:dyDescent="0.25">
      <c r="A30" t="s">
        <v>571</v>
      </c>
      <c r="B30" t="s">
        <v>11</v>
      </c>
      <c r="D30">
        <v>20765.89</v>
      </c>
      <c r="E30">
        <v>7273.96</v>
      </c>
      <c r="G30">
        <v>0.10838</v>
      </c>
      <c r="H30">
        <v>0</v>
      </c>
      <c r="I30">
        <v>70737.570000000007</v>
      </c>
      <c r="J30">
        <v>163686.57</v>
      </c>
      <c r="K30">
        <v>0</v>
      </c>
      <c r="L30">
        <v>936314.72</v>
      </c>
      <c r="M30">
        <v>0</v>
      </c>
      <c r="N30">
        <v>225087.67</v>
      </c>
      <c r="O30">
        <v>139921.51999999999</v>
      </c>
      <c r="P30">
        <v>155678.21</v>
      </c>
      <c r="Q30">
        <v>0</v>
      </c>
      <c r="R30">
        <v>0</v>
      </c>
      <c r="S30">
        <v>0</v>
      </c>
      <c r="T30">
        <v>0</v>
      </c>
      <c r="U30">
        <v>0</v>
      </c>
      <c r="V30">
        <v>362774.34</v>
      </c>
      <c r="W30">
        <v>0</v>
      </c>
      <c r="X30">
        <v>0</v>
      </c>
      <c r="Y30">
        <v>0</v>
      </c>
      <c r="Z30">
        <v>68627.600000000006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530179.21</v>
      </c>
      <c r="AH30">
        <v>0</v>
      </c>
      <c r="AI30">
        <v>0</v>
      </c>
      <c r="AJ30">
        <v>1194927377.3452899</v>
      </c>
    </row>
    <row r="31" spans="1:36" x14ac:dyDescent="0.25">
      <c r="A31" t="s">
        <v>572</v>
      </c>
      <c r="B31" t="s">
        <v>11</v>
      </c>
      <c r="D31">
        <v>48798.47</v>
      </c>
      <c r="E31">
        <v>17093.330000000002</v>
      </c>
      <c r="G31">
        <v>0.25468600000000002</v>
      </c>
      <c r="H31">
        <v>0</v>
      </c>
      <c r="I31">
        <v>145733.71</v>
      </c>
      <c r="J31">
        <v>643032.05000000005</v>
      </c>
      <c r="K31">
        <v>0</v>
      </c>
      <c r="L31">
        <v>3553012.2</v>
      </c>
      <c r="M31">
        <v>0</v>
      </c>
      <c r="N31">
        <v>804890.67</v>
      </c>
      <c r="O31">
        <v>38999.82</v>
      </c>
      <c r="P31">
        <v>37432.81</v>
      </c>
      <c r="Q31">
        <v>0</v>
      </c>
      <c r="R31">
        <v>0</v>
      </c>
      <c r="S31">
        <v>0</v>
      </c>
      <c r="T31">
        <v>0</v>
      </c>
      <c r="U31">
        <v>0</v>
      </c>
      <c r="V31">
        <v>821667.01</v>
      </c>
      <c r="W31">
        <v>0</v>
      </c>
      <c r="X31">
        <v>0</v>
      </c>
      <c r="Y31">
        <v>0</v>
      </c>
      <c r="Z31">
        <v>127428.8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805384.81</v>
      </c>
      <c r="AH31">
        <v>0</v>
      </c>
      <c r="AI31">
        <v>0</v>
      </c>
      <c r="AJ31">
        <v>3984187500.46697</v>
      </c>
    </row>
    <row r="32" spans="1:36" x14ac:dyDescent="0.25">
      <c r="A32" t="s">
        <v>573</v>
      </c>
      <c r="B32" t="s">
        <v>11</v>
      </c>
      <c r="C32">
        <v>17093.330000000002</v>
      </c>
      <c r="D32">
        <v>48798.47</v>
      </c>
      <c r="G32">
        <v>0.25468600000000002</v>
      </c>
      <c r="H32">
        <v>0</v>
      </c>
      <c r="I32">
        <v>168078.04</v>
      </c>
      <c r="J32">
        <v>643032.05000000005</v>
      </c>
      <c r="K32">
        <v>0</v>
      </c>
      <c r="L32">
        <v>3553012.2</v>
      </c>
      <c r="M32">
        <v>0</v>
      </c>
      <c r="N32">
        <v>804898.12</v>
      </c>
      <c r="O32">
        <v>46795.23</v>
      </c>
      <c r="P32">
        <v>38287.629999999997</v>
      </c>
      <c r="Q32">
        <v>0</v>
      </c>
      <c r="R32">
        <v>0</v>
      </c>
      <c r="S32">
        <v>0</v>
      </c>
      <c r="T32">
        <v>0</v>
      </c>
      <c r="U32">
        <v>0</v>
      </c>
      <c r="V32">
        <v>821560.86</v>
      </c>
      <c r="W32">
        <v>0</v>
      </c>
      <c r="X32">
        <v>0</v>
      </c>
      <c r="Y32">
        <v>0</v>
      </c>
      <c r="Z32">
        <v>127428.8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805384.81</v>
      </c>
      <c r="AH32">
        <v>0</v>
      </c>
      <c r="AI32">
        <v>0</v>
      </c>
      <c r="AJ32">
        <v>4106540016.0195298</v>
      </c>
    </row>
    <row r="33" spans="1:36" x14ac:dyDescent="0.25">
      <c r="A33" t="s">
        <v>574</v>
      </c>
      <c r="B33" t="s">
        <v>11</v>
      </c>
      <c r="C33">
        <v>7273.96</v>
      </c>
      <c r="D33">
        <v>20765.89</v>
      </c>
      <c r="G33">
        <v>0.10838</v>
      </c>
      <c r="H33">
        <v>0</v>
      </c>
      <c r="I33">
        <v>253085.13</v>
      </c>
      <c r="J33">
        <v>163686.57</v>
      </c>
      <c r="K33">
        <v>0</v>
      </c>
      <c r="L33">
        <v>936314.72</v>
      </c>
      <c r="M33">
        <v>0</v>
      </c>
      <c r="N33">
        <v>225586.6</v>
      </c>
      <c r="O33">
        <v>173720.03</v>
      </c>
      <c r="P33">
        <v>160771.15</v>
      </c>
      <c r="Q33">
        <v>0</v>
      </c>
      <c r="R33">
        <v>0</v>
      </c>
      <c r="S33">
        <v>0</v>
      </c>
      <c r="T33">
        <v>0</v>
      </c>
      <c r="U33">
        <v>0</v>
      </c>
      <c r="V33">
        <v>362798.7</v>
      </c>
      <c r="W33">
        <v>0</v>
      </c>
      <c r="X33">
        <v>0</v>
      </c>
      <c r="Y33">
        <v>0</v>
      </c>
      <c r="Z33">
        <v>68627.600000000006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530225.93999999994</v>
      </c>
      <c r="AH33">
        <v>0</v>
      </c>
      <c r="AI33">
        <v>0</v>
      </c>
      <c r="AJ33">
        <v>1323484030.74508</v>
      </c>
    </row>
    <row r="34" spans="1:36" x14ac:dyDescent="0.25">
      <c r="A34" t="s">
        <v>605</v>
      </c>
      <c r="B34" t="s">
        <v>11</v>
      </c>
      <c r="D34">
        <v>3285.83</v>
      </c>
      <c r="E34">
        <v>1150.97</v>
      </c>
      <c r="G34">
        <v>1.7149000000000001E-2</v>
      </c>
      <c r="H34">
        <v>0</v>
      </c>
      <c r="I34">
        <v>26206.43</v>
      </c>
      <c r="J34">
        <v>125722.95</v>
      </c>
      <c r="K34">
        <v>0</v>
      </c>
      <c r="L34">
        <v>179632.92</v>
      </c>
      <c r="M34">
        <v>0</v>
      </c>
      <c r="N34">
        <v>39907.85</v>
      </c>
      <c r="O34">
        <v>3207.07</v>
      </c>
      <c r="P34">
        <v>3108.51</v>
      </c>
      <c r="Q34">
        <v>0</v>
      </c>
      <c r="R34">
        <v>0</v>
      </c>
      <c r="S34">
        <v>0</v>
      </c>
      <c r="T34">
        <v>0</v>
      </c>
      <c r="U34">
        <v>0</v>
      </c>
      <c r="V34">
        <v>101686.59</v>
      </c>
      <c r="W34">
        <v>0</v>
      </c>
      <c r="X34">
        <v>0</v>
      </c>
      <c r="Y34">
        <v>0</v>
      </c>
      <c r="Z34">
        <v>25988.9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12884.56</v>
      </c>
      <c r="AH34">
        <v>0</v>
      </c>
      <c r="AI34">
        <v>0</v>
      </c>
      <c r="AJ34">
        <v>362453458.743792</v>
      </c>
    </row>
    <row r="35" spans="1:36" x14ac:dyDescent="0.25">
      <c r="A35" t="s">
        <v>606</v>
      </c>
      <c r="B35" t="s">
        <v>11</v>
      </c>
      <c r="C35">
        <v>1150.97</v>
      </c>
      <c r="D35">
        <v>3285.83</v>
      </c>
      <c r="G35">
        <v>1.7149000000000001E-2</v>
      </c>
      <c r="H35">
        <v>0</v>
      </c>
      <c r="I35">
        <v>27895.759999999998</v>
      </c>
      <c r="J35">
        <v>125722.95</v>
      </c>
      <c r="K35">
        <v>0</v>
      </c>
      <c r="L35">
        <v>179632.92</v>
      </c>
      <c r="M35">
        <v>0</v>
      </c>
      <c r="N35">
        <v>39907.97</v>
      </c>
      <c r="O35">
        <v>3844.21</v>
      </c>
      <c r="P35">
        <v>3199.63</v>
      </c>
      <c r="Q35">
        <v>0</v>
      </c>
      <c r="R35">
        <v>0</v>
      </c>
      <c r="S35">
        <v>0</v>
      </c>
      <c r="T35">
        <v>0</v>
      </c>
      <c r="U35">
        <v>0</v>
      </c>
      <c r="V35">
        <v>101536.01</v>
      </c>
      <c r="W35">
        <v>0</v>
      </c>
      <c r="X35">
        <v>0</v>
      </c>
      <c r="Y35">
        <v>0</v>
      </c>
      <c r="Z35">
        <v>25988.9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12829.71</v>
      </c>
      <c r="AH35">
        <v>0</v>
      </c>
      <c r="AI35">
        <v>0</v>
      </c>
      <c r="AJ35">
        <v>366231263.71515799</v>
      </c>
    </row>
    <row r="36" spans="1:36" x14ac:dyDescent="0.25">
      <c r="A36" t="s">
        <v>637</v>
      </c>
      <c r="B36" t="s">
        <v>11</v>
      </c>
      <c r="C36">
        <v>1015.09</v>
      </c>
      <c r="D36">
        <v>2897.91</v>
      </c>
      <c r="G36">
        <v>1.5125E-2</v>
      </c>
      <c r="H36">
        <v>0</v>
      </c>
      <c r="I36">
        <v>21744.45</v>
      </c>
      <c r="J36">
        <v>125722.95</v>
      </c>
      <c r="K36">
        <v>0</v>
      </c>
      <c r="L36">
        <v>179632.92</v>
      </c>
      <c r="M36">
        <v>0</v>
      </c>
      <c r="N36">
        <v>37639.49</v>
      </c>
      <c r="O36">
        <v>3347.89</v>
      </c>
      <c r="P36">
        <v>2769.64</v>
      </c>
      <c r="Q36">
        <v>0</v>
      </c>
      <c r="R36">
        <v>0</v>
      </c>
      <c r="S36">
        <v>0</v>
      </c>
      <c r="T36">
        <v>0</v>
      </c>
      <c r="U36">
        <v>0</v>
      </c>
      <c r="V36">
        <v>82492.23</v>
      </c>
      <c r="W36">
        <v>0</v>
      </c>
      <c r="X36">
        <v>0</v>
      </c>
      <c r="Y36">
        <v>0</v>
      </c>
      <c r="Z36">
        <v>25988.9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12885.23</v>
      </c>
      <c r="AH36">
        <v>0</v>
      </c>
      <c r="AI36">
        <v>0</v>
      </c>
      <c r="AJ36">
        <v>335013837.44376498</v>
      </c>
    </row>
    <row r="37" spans="1:36" x14ac:dyDescent="0.25">
      <c r="A37" t="s">
        <v>638</v>
      </c>
      <c r="B37" t="s">
        <v>11</v>
      </c>
      <c r="D37">
        <v>2897.91</v>
      </c>
      <c r="E37">
        <v>1015.09</v>
      </c>
      <c r="G37">
        <v>1.5125E-2</v>
      </c>
      <c r="H37">
        <v>0</v>
      </c>
      <c r="I37">
        <v>20274.689999999999</v>
      </c>
      <c r="J37">
        <v>125722.95</v>
      </c>
      <c r="K37">
        <v>0</v>
      </c>
      <c r="L37">
        <v>179632.92</v>
      </c>
      <c r="M37">
        <v>0</v>
      </c>
      <c r="N37">
        <v>37639.300000000003</v>
      </c>
      <c r="O37">
        <v>2783.3</v>
      </c>
      <c r="P37">
        <v>2673.61</v>
      </c>
      <c r="Q37">
        <v>0</v>
      </c>
      <c r="R37">
        <v>0</v>
      </c>
      <c r="S37">
        <v>0</v>
      </c>
      <c r="T37">
        <v>0</v>
      </c>
      <c r="U37">
        <v>0</v>
      </c>
      <c r="V37">
        <v>82545.789999999994</v>
      </c>
      <c r="W37">
        <v>0</v>
      </c>
      <c r="X37">
        <v>0</v>
      </c>
      <c r="Y37">
        <v>0</v>
      </c>
      <c r="Z37">
        <v>25988.9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12862.43</v>
      </c>
      <c r="AH37">
        <v>0</v>
      </c>
      <c r="AI37">
        <v>0</v>
      </c>
      <c r="AJ37">
        <v>331924549.52334797</v>
      </c>
    </row>
    <row r="38" spans="1:36" x14ac:dyDescent="0.25">
      <c r="A38" t="s">
        <v>287</v>
      </c>
      <c r="B38" t="s">
        <v>12</v>
      </c>
      <c r="D38">
        <v>2483.19</v>
      </c>
      <c r="E38">
        <v>869.82</v>
      </c>
      <c r="G38">
        <v>1.2959999999999999E-2</v>
      </c>
      <c r="H38">
        <v>0</v>
      </c>
      <c r="I38">
        <v>26734.36</v>
      </c>
      <c r="J38">
        <v>23792.959999999999</v>
      </c>
      <c r="K38">
        <v>0</v>
      </c>
      <c r="L38">
        <v>29466.65</v>
      </c>
      <c r="M38">
        <v>0</v>
      </c>
      <c r="N38">
        <v>112118.64</v>
      </c>
      <c r="O38">
        <v>8858.0300000000007</v>
      </c>
      <c r="P38">
        <v>8665.9</v>
      </c>
      <c r="Q38">
        <v>0</v>
      </c>
      <c r="R38">
        <v>0</v>
      </c>
      <c r="S38">
        <v>0</v>
      </c>
      <c r="T38">
        <v>0</v>
      </c>
      <c r="U38">
        <v>0</v>
      </c>
      <c r="V38">
        <v>4096.03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4688.12</v>
      </c>
      <c r="AH38">
        <v>0</v>
      </c>
      <c r="AI38">
        <v>0</v>
      </c>
      <c r="AJ38">
        <v>165056564.503492</v>
      </c>
    </row>
    <row r="39" spans="1:36" x14ac:dyDescent="0.25">
      <c r="A39" t="s">
        <v>288</v>
      </c>
      <c r="B39" t="s">
        <v>12</v>
      </c>
      <c r="D39">
        <v>23415.98</v>
      </c>
      <c r="E39">
        <v>8202.25</v>
      </c>
      <c r="G39">
        <v>0.122211</v>
      </c>
      <c r="H39">
        <v>0</v>
      </c>
      <c r="I39">
        <v>535135.54</v>
      </c>
      <c r="J39">
        <v>774617.57</v>
      </c>
      <c r="K39">
        <v>0</v>
      </c>
      <c r="L39">
        <v>436518</v>
      </c>
      <c r="M39">
        <v>0</v>
      </c>
      <c r="N39">
        <v>212779.05</v>
      </c>
      <c r="O39">
        <v>96120.89</v>
      </c>
      <c r="P39">
        <v>92257.47</v>
      </c>
      <c r="Q39">
        <v>0</v>
      </c>
      <c r="R39">
        <v>0</v>
      </c>
      <c r="S39">
        <v>0</v>
      </c>
      <c r="T39">
        <v>0</v>
      </c>
      <c r="U39">
        <v>0</v>
      </c>
      <c r="V39">
        <v>449106.2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176952.53</v>
      </c>
      <c r="AH39">
        <v>0</v>
      </c>
      <c r="AI39">
        <v>0</v>
      </c>
      <c r="AJ39">
        <v>2402416542.4686999</v>
      </c>
    </row>
    <row r="40" spans="1:36" x14ac:dyDescent="0.25">
      <c r="A40" t="s">
        <v>289</v>
      </c>
      <c r="B40" t="s">
        <v>12</v>
      </c>
      <c r="C40">
        <v>8202.25</v>
      </c>
      <c r="D40">
        <v>23415.98</v>
      </c>
      <c r="G40">
        <v>0.122211</v>
      </c>
      <c r="H40">
        <v>0</v>
      </c>
      <c r="I40">
        <v>555482.76</v>
      </c>
      <c r="J40">
        <v>774617.57</v>
      </c>
      <c r="K40">
        <v>0</v>
      </c>
      <c r="L40">
        <v>436518</v>
      </c>
      <c r="M40">
        <v>0</v>
      </c>
      <c r="N40">
        <v>212816.87</v>
      </c>
      <c r="O40">
        <v>114533.93</v>
      </c>
      <c r="P40">
        <v>97032.46</v>
      </c>
      <c r="Q40">
        <v>0</v>
      </c>
      <c r="R40">
        <v>0</v>
      </c>
      <c r="S40">
        <v>0</v>
      </c>
      <c r="T40">
        <v>0</v>
      </c>
      <c r="U40">
        <v>0</v>
      </c>
      <c r="V40">
        <v>449740.65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176954.13</v>
      </c>
      <c r="AH40">
        <v>0</v>
      </c>
      <c r="AI40">
        <v>0</v>
      </c>
      <c r="AJ40">
        <v>2401702287.4490199</v>
      </c>
    </row>
    <row r="41" spans="1:36" x14ac:dyDescent="0.25">
      <c r="A41" t="s">
        <v>290</v>
      </c>
      <c r="B41" t="s">
        <v>12</v>
      </c>
      <c r="C41">
        <v>869.82</v>
      </c>
      <c r="D41">
        <v>2483.19</v>
      </c>
      <c r="G41">
        <v>1.2959999999999999E-2</v>
      </c>
      <c r="H41">
        <v>0</v>
      </c>
      <c r="I41">
        <v>40046.89</v>
      </c>
      <c r="J41">
        <v>23792.959999999999</v>
      </c>
      <c r="K41">
        <v>0</v>
      </c>
      <c r="L41">
        <v>29466.65</v>
      </c>
      <c r="M41">
        <v>0</v>
      </c>
      <c r="N41">
        <v>112118.59</v>
      </c>
      <c r="O41">
        <v>13086.01</v>
      </c>
      <c r="P41">
        <v>10021.84</v>
      </c>
      <c r="Q41">
        <v>0</v>
      </c>
      <c r="R41">
        <v>0</v>
      </c>
      <c r="S41">
        <v>0</v>
      </c>
      <c r="T41">
        <v>0</v>
      </c>
      <c r="U41">
        <v>0</v>
      </c>
      <c r="V41">
        <v>4096.0200000000004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4688.12</v>
      </c>
      <c r="AH41">
        <v>0</v>
      </c>
      <c r="AI41">
        <v>0</v>
      </c>
      <c r="AJ41">
        <v>208097946.56948799</v>
      </c>
    </row>
    <row r="42" spans="1:36" x14ac:dyDescent="0.25">
      <c r="A42" t="s">
        <v>291</v>
      </c>
      <c r="B42" t="s">
        <v>12</v>
      </c>
      <c r="D42">
        <v>5218.1499999999996</v>
      </c>
      <c r="E42">
        <v>1827.83</v>
      </c>
      <c r="G42">
        <v>2.7234000000000001E-2</v>
      </c>
      <c r="H42">
        <v>0</v>
      </c>
      <c r="I42">
        <v>155518.54999999999</v>
      </c>
      <c r="J42">
        <v>201226.15</v>
      </c>
      <c r="K42">
        <v>0</v>
      </c>
      <c r="L42">
        <v>282049.05</v>
      </c>
      <c r="M42">
        <v>0</v>
      </c>
      <c r="N42">
        <v>103681.2</v>
      </c>
      <c r="O42">
        <v>19084.78</v>
      </c>
      <c r="P42">
        <v>18731.78</v>
      </c>
      <c r="Q42">
        <v>0</v>
      </c>
      <c r="R42">
        <v>0</v>
      </c>
      <c r="S42">
        <v>0</v>
      </c>
      <c r="T42">
        <v>0</v>
      </c>
      <c r="U42">
        <v>0</v>
      </c>
      <c r="V42">
        <v>185592.2</v>
      </c>
      <c r="W42">
        <v>0</v>
      </c>
      <c r="X42">
        <v>0</v>
      </c>
      <c r="Y42">
        <v>0</v>
      </c>
      <c r="Z42">
        <v>65854.75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126295.76</v>
      </c>
      <c r="AH42">
        <v>0</v>
      </c>
      <c r="AI42">
        <v>0</v>
      </c>
      <c r="AJ42">
        <v>538423152.91200697</v>
      </c>
    </row>
    <row r="43" spans="1:36" x14ac:dyDescent="0.25">
      <c r="A43" t="s">
        <v>292</v>
      </c>
      <c r="B43" t="s">
        <v>12</v>
      </c>
      <c r="C43">
        <v>1827.83</v>
      </c>
      <c r="D43">
        <v>5218.1499999999996</v>
      </c>
      <c r="G43">
        <v>2.7234000000000001E-2</v>
      </c>
      <c r="H43">
        <v>0</v>
      </c>
      <c r="I43">
        <v>174241.16</v>
      </c>
      <c r="J43">
        <v>201226.15</v>
      </c>
      <c r="K43">
        <v>0</v>
      </c>
      <c r="L43">
        <v>282049.05</v>
      </c>
      <c r="M43">
        <v>0</v>
      </c>
      <c r="N43">
        <v>103681.61</v>
      </c>
      <c r="O43">
        <v>21259.54</v>
      </c>
      <c r="P43">
        <v>18825.169999999998</v>
      </c>
      <c r="Q43">
        <v>0</v>
      </c>
      <c r="R43">
        <v>0</v>
      </c>
      <c r="S43">
        <v>0</v>
      </c>
      <c r="T43">
        <v>0</v>
      </c>
      <c r="U43">
        <v>0</v>
      </c>
      <c r="V43">
        <v>185586.78</v>
      </c>
      <c r="W43">
        <v>0</v>
      </c>
      <c r="X43">
        <v>0</v>
      </c>
      <c r="Y43">
        <v>0</v>
      </c>
      <c r="Z43">
        <v>65854.75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126296.22</v>
      </c>
      <c r="AH43">
        <v>0</v>
      </c>
      <c r="AI43">
        <v>0</v>
      </c>
      <c r="AJ43">
        <v>590350218.66743898</v>
      </c>
    </row>
    <row r="44" spans="1:36" x14ac:dyDescent="0.25">
      <c r="A44" t="s">
        <v>293</v>
      </c>
      <c r="B44" t="s">
        <v>12</v>
      </c>
      <c r="C44">
        <v>11584.49</v>
      </c>
      <c r="D44">
        <v>33071.699999999997</v>
      </c>
      <c r="G44">
        <v>0.17260600000000001</v>
      </c>
      <c r="H44">
        <v>0</v>
      </c>
      <c r="I44">
        <v>880084.54</v>
      </c>
      <c r="J44">
        <v>463682.79</v>
      </c>
      <c r="K44">
        <v>0</v>
      </c>
      <c r="L44">
        <v>831153.37</v>
      </c>
      <c r="M44">
        <v>0</v>
      </c>
      <c r="N44">
        <v>227509.45</v>
      </c>
      <c r="O44">
        <v>243404.11</v>
      </c>
      <c r="P44">
        <v>212296.17</v>
      </c>
      <c r="Q44">
        <v>0</v>
      </c>
      <c r="R44">
        <v>0</v>
      </c>
      <c r="S44">
        <v>0</v>
      </c>
      <c r="T44">
        <v>0</v>
      </c>
      <c r="U44">
        <v>0</v>
      </c>
      <c r="V44">
        <v>802130.94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115798.02</v>
      </c>
      <c r="AH44">
        <v>0</v>
      </c>
      <c r="AI44">
        <v>0</v>
      </c>
      <c r="AJ44">
        <v>2565232202.0202999</v>
      </c>
    </row>
    <row r="45" spans="1:36" x14ac:dyDescent="0.25">
      <c r="A45" t="s">
        <v>294</v>
      </c>
      <c r="B45" t="s">
        <v>12</v>
      </c>
      <c r="D45">
        <v>33071.699999999997</v>
      </c>
      <c r="E45">
        <v>11584.49</v>
      </c>
      <c r="G45">
        <v>0.17260600000000001</v>
      </c>
      <c r="H45">
        <v>0</v>
      </c>
      <c r="I45">
        <v>698711.66</v>
      </c>
      <c r="J45">
        <v>463682.79</v>
      </c>
      <c r="K45">
        <v>0</v>
      </c>
      <c r="L45">
        <v>831153.37</v>
      </c>
      <c r="M45">
        <v>0</v>
      </c>
      <c r="N45">
        <v>227022.59</v>
      </c>
      <c r="O45">
        <v>207257.97</v>
      </c>
      <c r="P45">
        <v>206150.18</v>
      </c>
      <c r="Q45">
        <v>0</v>
      </c>
      <c r="R45">
        <v>0</v>
      </c>
      <c r="S45">
        <v>0</v>
      </c>
      <c r="T45">
        <v>0</v>
      </c>
      <c r="U45">
        <v>0</v>
      </c>
      <c r="V45">
        <v>804913.6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115799.29</v>
      </c>
      <c r="AH45">
        <v>0</v>
      </c>
      <c r="AI45">
        <v>0</v>
      </c>
      <c r="AJ45">
        <v>2031536279.5885601</v>
      </c>
    </row>
    <row r="46" spans="1:36" x14ac:dyDescent="0.25">
      <c r="A46" t="s">
        <v>295</v>
      </c>
      <c r="B46" t="s">
        <v>12</v>
      </c>
      <c r="D46">
        <v>39598.639999999999</v>
      </c>
      <c r="E46">
        <v>13870.77</v>
      </c>
      <c r="G46">
        <v>0.20667099999999999</v>
      </c>
      <c r="H46">
        <v>0</v>
      </c>
      <c r="I46">
        <v>950475.65</v>
      </c>
      <c r="J46">
        <v>857863.39</v>
      </c>
      <c r="K46">
        <v>0</v>
      </c>
      <c r="L46">
        <v>1141299.43</v>
      </c>
      <c r="M46">
        <v>0</v>
      </c>
      <c r="N46">
        <v>390337.32</v>
      </c>
      <c r="O46">
        <v>341998.64</v>
      </c>
      <c r="P46">
        <v>339598.17</v>
      </c>
      <c r="Q46">
        <v>0</v>
      </c>
      <c r="R46">
        <v>0</v>
      </c>
      <c r="S46">
        <v>0</v>
      </c>
      <c r="T46">
        <v>0</v>
      </c>
      <c r="U46">
        <v>0</v>
      </c>
      <c r="V46">
        <v>905004.1</v>
      </c>
      <c r="W46">
        <v>0</v>
      </c>
      <c r="X46">
        <v>0</v>
      </c>
      <c r="Y46">
        <v>0</v>
      </c>
      <c r="Z46">
        <v>43737.51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275278.75</v>
      </c>
      <c r="AH46">
        <v>0</v>
      </c>
      <c r="AI46">
        <v>0</v>
      </c>
      <c r="AJ46">
        <v>3182198413.22686</v>
      </c>
    </row>
    <row r="47" spans="1:36" x14ac:dyDescent="0.25">
      <c r="A47" t="s">
        <v>296</v>
      </c>
      <c r="B47" t="s">
        <v>12</v>
      </c>
      <c r="C47">
        <v>13870.77</v>
      </c>
      <c r="D47">
        <v>39598.639999999999</v>
      </c>
      <c r="G47">
        <v>0.20667099999999999</v>
      </c>
      <c r="H47">
        <v>0</v>
      </c>
      <c r="I47">
        <v>1154859.07</v>
      </c>
      <c r="J47">
        <v>857863.39</v>
      </c>
      <c r="K47">
        <v>0</v>
      </c>
      <c r="L47">
        <v>1141299.43</v>
      </c>
      <c r="M47">
        <v>0</v>
      </c>
      <c r="N47">
        <v>390995.22</v>
      </c>
      <c r="O47">
        <v>408776.06</v>
      </c>
      <c r="P47">
        <v>359165.03</v>
      </c>
      <c r="Q47">
        <v>0</v>
      </c>
      <c r="R47">
        <v>0</v>
      </c>
      <c r="S47">
        <v>0</v>
      </c>
      <c r="T47">
        <v>0</v>
      </c>
      <c r="U47">
        <v>0</v>
      </c>
      <c r="V47">
        <v>898569.79</v>
      </c>
      <c r="W47">
        <v>0</v>
      </c>
      <c r="X47">
        <v>0</v>
      </c>
      <c r="Y47">
        <v>0</v>
      </c>
      <c r="Z47">
        <v>43737.51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275281.77</v>
      </c>
      <c r="AH47">
        <v>0</v>
      </c>
      <c r="AI47">
        <v>0</v>
      </c>
      <c r="AJ47">
        <v>3211776437.34271</v>
      </c>
    </row>
    <row r="48" spans="1:36" x14ac:dyDescent="0.25">
      <c r="A48" t="s">
        <v>297</v>
      </c>
      <c r="B48" t="s">
        <v>12</v>
      </c>
      <c r="D48">
        <v>81414.080000000002</v>
      </c>
      <c r="E48">
        <v>28518.06</v>
      </c>
      <c r="G48">
        <v>0.42491099999999998</v>
      </c>
      <c r="H48">
        <v>0</v>
      </c>
      <c r="I48">
        <v>1725483.66</v>
      </c>
      <c r="J48">
        <v>1274541.22</v>
      </c>
      <c r="K48">
        <v>0</v>
      </c>
      <c r="L48">
        <v>3553012.2</v>
      </c>
      <c r="M48">
        <v>0</v>
      </c>
      <c r="N48">
        <v>1103453.6599999999</v>
      </c>
      <c r="O48">
        <v>319314.26</v>
      </c>
      <c r="P48">
        <v>320755.71000000002</v>
      </c>
      <c r="Q48">
        <v>0</v>
      </c>
      <c r="R48">
        <v>0</v>
      </c>
      <c r="S48">
        <v>0</v>
      </c>
      <c r="T48">
        <v>0</v>
      </c>
      <c r="U48">
        <v>0</v>
      </c>
      <c r="V48">
        <v>1259092.54</v>
      </c>
      <c r="W48">
        <v>0</v>
      </c>
      <c r="X48">
        <v>0</v>
      </c>
      <c r="Y48">
        <v>0</v>
      </c>
      <c r="Z48">
        <v>127428.8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739479.65</v>
      </c>
      <c r="AH48">
        <v>0</v>
      </c>
      <c r="AI48">
        <v>0</v>
      </c>
      <c r="AJ48">
        <v>7003637812.9886303</v>
      </c>
    </row>
    <row r="49" spans="1:36" x14ac:dyDescent="0.25">
      <c r="A49" t="s">
        <v>298</v>
      </c>
      <c r="B49" t="s">
        <v>12</v>
      </c>
      <c r="D49">
        <v>5716.76</v>
      </c>
      <c r="E49">
        <v>2002.49</v>
      </c>
      <c r="G49">
        <v>2.9836999999999999E-2</v>
      </c>
      <c r="H49">
        <v>0</v>
      </c>
      <c r="I49">
        <v>174400.06</v>
      </c>
      <c r="J49">
        <v>197273.03</v>
      </c>
      <c r="K49">
        <v>0</v>
      </c>
      <c r="L49">
        <v>258328.15</v>
      </c>
      <c r="M49">
        <v>0</v>
      </c>
      <c r="N49">
        <v>364256.05</v>
      </c>
      <c r="O49">
        <v>22245.48</v>
      </c>
      <c r="P49">
        <v>22665.59</v>
      </c>
      <c r="Q49">
        <v>0</v>
      </c>
      <c r="R49">
        <v>0</v>
      </c>
      <c r="S49">
        <v>0</v>
      </c>
      <c r="T49">
        <v>0</v>
      </c>
      <c r="U49">
        <v>0</v>
      </c>
      <c r="V49">
        <v>166194.51</v>
      </c>
      <c r="W49">
        <v>0</v>
      </c>
      <c r="X49">
        <v>0</v>
      </c>
      <c r="Y49">
        <v>0</v>
      </c>
      <c r="Z49">
        <v>64094.3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232584.48</v>
      </c>
      <c r="AH49">
        <v>0</v>
      </c>
      <c r="AI49">
        <v>0</v>
      </c>
      <c r="AJ49">
        <v>886332830.46445596</v>
      </c>
    </row>
    <row r="50" spans="1:36" x14ac:dyDescent="0.25">
      <c r="A50" t="s">
        <v>299</v>
      </c>
      <c r="B50" t="s">
        <v>12</v>
      </c>
      <c r="D50">
        <v>34487.19</v>
      </c>
      <c r="E50">
        <v>12080.31</v>
      </c>
      <c r="G50">
        <v>0.17999299999999999</v>
      </c>
      <c r="H50">
        <v>0</v>
      </c>
      <c r="I50">
        <v>630186.25</v>
      </c>
      <c r="J50">
        <v>350734.07</v>
      </c>
      <c r="K50">
        <v>0</v>
      </c>
      <c r="L50">
        <v>936314.72</v>
      </c>
      <c r="M50">
        <v>0</v>
      </c>
      <c r="N50">
        <v>344486.25</v>
      </c>
      <c r="O50">
        <v>246662.33</v>
      </c>
      <c r="P50">
        <v>250262.28</v>
      </c>
      <c r="Q50">
        <v>0</v>
      </c>
      <c r="R50">
        <v>0</v>
      </c>
      <c r="S50">
        <v>0</v>
      </c>
      <c r="T50">
        <v>0</v>
      </c>
      <c r="U50">
        <v>0</v>
      </c>
      <c r="V50">
        <v>450287.69</v>
      </c>
      <c r="W50">
        <v>0</v>
      </c>
      <c r="X50">
        <v>0</v>
      </c>
      <c r="Y50">
        <v>0</v>
      </c>
      <c r="Z50">
        <v>68627.600000000006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486328.32000000001</v>
      </c>
      <c r="AH50">
        <v>0</v>
      </c>
      <c r="AI50">
        <v>0</v>
      </c>
      <c r="AJ50">
        <v>2535572592.32831</v>
      </c>
    </row>
    <row r="51" spans="1:36" x14ac:dyDescent="0.25">
      <c r="A51" t="s">
        <v>300</v>
      </c>
      <c r="B51" t="s">
        <v>12</v>
      </c>
      <c r="C51">
        <v>28518.06</v>
      </c>
      <c r="D51">
        <v>81414.080000000002</v>
      </c>
      <c r="G51">
        <v>0.42491099999999998</v>
      </c>
      <c r="H51">
        <v>0</v>
      </c>
      <c r="I51">
        <v>1990251.09</v>
      </c>
      <c r="J51">
        <v>1274541.22</v>
      </c>
      <c r="K51">
        <v>0</v>
      </c>
      <c r="L51">
        <v>3553012.2</v>
      </c>
      <c r="M51">
        <v>0</v>
      </c>
      <c r="N51">
        <v>1103319.78</v>
      </c>
      <c r="O51">
        <v>366431.41</v>
      </c>
      <c r="P51">
        <v>324164.28999999998</v>
      </c>
      <c r="Q51">
        <v>0</v>
      </c>
      <c r="R51">
        <v>0</v>
      </c>
      <c r="S51">
        <v>0</v>
      </c>
      <c r="T51">
        <v>0</v>
      </c>
      <c r="U51">
        <v>0</v>
      </c>
      <c r="V51">
        <v>1255345.98</v>
      </c>
      <c r="W51">
        <v>0</v>
      </c>
      <c r="X51">
        <v>0</v>
      </c>
      <c r="Y51">
        <v>0</v>
      </c>
      <c r="Z51">
        <v>127428.8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739420.56</v>
      </c>
      <c r="AH51">
        <v>0</v>
      </c>
      <c r="AI51">
        <v>0</v>
      </c>
      <c r="AJ51">
        <v>7903736730.0484695</v>
      </c>
    </row>
    <row r="52" spans="1:36" x14ac:dyDescent="0.25">
      <c r="A52" t="s">
        <v>301</v>
      </c>
      <c r="B52" t="s">
        <v>12</v>
      </c>
      <c r="C52">
        <v>12080.31</v>
      </c>
      <c r="D52">
        <v>34487.19</v>
      </c>
      <c r="G52">
        <v>0.17999299999999999</v>
      </c>
      <c r="H52">
        <v>0</v>
      </c>
      <c r="I52">
        <v>958849.15</v>
      </c>
      <c r="J52">
        <v>350734.07</v>
      </c>
      <c r="K52">
        <v>0</v>
      </c>
      <c r="L52">
        <v>936314.72</v>
      </c>
      <c r="M52">
        <v>0</v>
      </c>
      <c r="N52">
        <v>344610.07</v>
      </c>
      <c r="O52">
        <v>293045.69</v>
      </c>
      <c r="P52">
        <v>262300.84000000003</v>
      </c>
      <c r="Q52">
        <v>0</v>
      </c>
      <c r="R52">
        <v>0</v>
      </c>
      <c r="S52">
        <v>0</v>
      </c>
      <c r="T52">
        <v>0</v>
      </c>
      <c r="U52">
        <v>0</v>
      </c>
      <c r="V52">
        <v>452723.12</v>
      </c>
      <c r="W52">
        <v>0</v>
      </c>
      <c r="X52">
        <v>0</v>
      </c>
      <c r="Y52">
        <v>0</v>
      </c>
      <c r="Z52">
        <v>68627.600000000006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486315.51</v>
      </c>
      <c r="AH52">
        <v>0</v>
      </c>
      <c r="AI52">
        <v>0</v>
      </c>
      <c r="AJ52">
        <v>2712453996.6929002</v>
      </c>
    </row>
    <row r="53" spans="1:36" x14ac:dyDescent="0.25">
      <c r="A53" t="s">
        <v>304</v>
      </c>
      <c r="B53" t="s">
        <v>12</v>
      </c>
      <c r="C53">
        <v>2002.49</v>
      </c>
      <c r="D53">
        <v>5716.76</v>
      </c>
      <c r="G53">
        <v>2.9836999999999999E-2</v>
      </c>
      <c r="H53">
        <v>0</v>
      </c>
      <c r="I53">
        <v>187598.63</v>
      </c>
      <c r="J53">
        <v>197273.03</v>
      </c>
      <c r="K53">
        <v>0</v>
      </c>
      <c r="L53">
        <v>258328.15</v>
      </c>
      <c r="M53">
        <v>0</v>
      </c>
      <c r="N53">
        <v>364129.53</v>
      </c>
      <c r="O53">
        <v>25267.75</v>
      </c>
      <c r="P53">
        <v>22817.62</v>
      </c>
      <c r="Q53">
        <v>0</v>
      </c>
      <c r="R53">
        <v>0</v>
      </c>
      <c r="S53">
        <v>0</v>
      </c>
      <c r="T53">
        <v>0</v>
      </c>
      <c r="U53">
        <v>0</v>
      </c>
      <c r="V53">
        <v>165577.73000000001</v>
      </c>
      <c r="W53">
        <v>0</v>
      </c>
      <c r="X53">
        <v>0</v>
      </c>
      <c r="Y53">
        <v>0</v>
      </c>
      <c r="Z53">
        <v>64094.3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232584.08</v>
      </c>
      <c r="AH53">
        <v>0</v>
      </c>
      <c r="AI53">
        <v>0</v>
      </c>
      <c r="AJ53">
        <v>929129198.13156295</v>
      </c>
    </row>
    <row r="54" spans="1:36" x14ac:dyDescent="0.25">
      <c r="A54" t="s">
        <v>541</v>
      </c>
      <c r="B54" t="s">
        <v>12</v>
      </c>
      <c r="D54">
        <v>1325.42</v>
      </c>
      <c r="E54">
        <v>464.28</v>
      </c>
      <c r="G54">
        <v>6.9179999999999997E-3</v>
      </c>
      <c r="H54">
        <v>0</v>
      </c>
      <c r="I54">
        <v>11101.71</v>
      </c>
      <c r="J54">
        <v>12134.67</v>
      </c>
      <c r="K54">
        <v>0</v>
      </c>
      <c r="L54">
        <v>29466.65</v>
      </c>
      <c r="M54">
        <v>0</v>
      </c>
      <c r="N54">
        <v>55883.38</v>
      </c>
      <c r="O54">
        <v>3331.25</v>
      </c>
      <c r="P54">
        <v>3172.2</v>
      </c>
      <c r="Q54">
        <v>0</v>
      </c>
      <c r="R54">
        <v>0</v>
      </c>
      <c r="S54">
        <v>0</v>
      </c>
      <c r="T54">
        <v>0</v>
      </c>
      <c r="U54">
        <v>0</v>
      </c>
      <c r="V54">
        <v>5529.89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4688.04</v>
      </c>
      <c r="AH54">
        <v>0</v>
      </c>
      <c r="AI54">
        <v>0</v>
      </c>
      <c r="AJ54">
        <v>78583372.975707993</v>
      </c>
    </row>
    <row r="55" spans="1:36" x14ac:dyDescent="0.25">
      <c r="A55" t="s">
        <v>544</v>
      </c>
      <c r="B55" t="s">
        <v>12</v>
      </c>
      <c r="C55">
        <v>7760.24</v>
      </c>
      <c r="D55">
        <v>22154.13</v>
      </c>
      <c r="G55">
        <v>0.11562500000000001</v>
      </c>
      <c r="H55">
        <v>0</v>
      </c>
      <c r="I55">
        <v>518134.39</v>
      </c>
      <c r="J55">
        <v>394508.4</v>
      </c>
      <c r="K55">
        <v>0</v>
      </c>
      <c r="L55">
        <v>436518</v>
      </c>
      <c r="M55">
        <v>0</v>
      </c>
      <c r="N55">
        <v>196856.32000000001</v>
      </c>
      <c r="O55">
        <v>106691.37</v>
      </c>
      <c r="P55">
        <v>90335.69</v>
      </c>
      <c r="Q55">
        <v>0</v>
      </c>
      <c r="R55">
        <v>0</v>
      </c>
      <c r="S55">
        <v>0</v>
      </c>
      <c r="T55">
        <v>0</v>
      </c>
      <c r="U55">
        <v>0</v>
      </c>
      <c r="V55">
        <v>750728.11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176958.62</v>
      </c>
      <c r="AH55">
        <v>0</v>
      </c>
      <c r="AI55">
        <v>0</v>
      </c>
      <c r="AJ55">
        <v>2015821444.2890301</v>
      </c>
    </row>
    <row r="56" spans="1:36" x14ac:dyDescent="0.25">
      <c r="A56" t="s">
        <v>545</v>
      </c>
      <c r="B56" t="s">
        <v>12</v>
      </c>
      <c r="D56">
        <v>22154.13</v>
      </c>
      <c r="E56">
        <v>7760.24</v>
      </c>
      <c r="G56">
        <v>0.11562500000000001</v>
      </c>
      <c r="H56">
        <v>0</v>
      </c>
      <c r="I56">
        <v>458077.24</v>
      </c>
      <c r="J56">
        <v>394508.4</v>
      </c>
      <c r="K56">
        <v>0</v>
      </c>
      <c r="L56">
        <v>436518</v>
      </c>
      <c r="M56">
        <v>0</v>
      </c>
      <c r="N56">
        <v>196878.5</v>
      </c>
      <c r="O56">
        <v>91186.38</v>
      </c>
      <c r="P56">
        <v>87977.58</v>
      </c>
      <c r="Q56">
        <v>0</v>
      </c>
      <c r="R56">
        <v>0</v>
      </c>
      <c r="S56">
        <v>0</v>
      </c>
      <c r="T56">
        <v>0</v>
      </c>
      <c r="U56">
        <v>0</v>
      </c>
      <c r="V56">
        <v>750039.72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176960.2</v>
      </c>
      <c r="AH56">
        <v>0</v>
      </c>
      <c r="AI56">
        <v>0</v>
      </c>
      <c r="AJ56">
        <v>1936861950.5708101</v>
      </c>
    </row>
    <row r="57" spans="1:36" x14ac:dyDescent="0.25">
      <c r="A57" t="s">
        <v>546</v>
      </c>
      <c r="B57" t="s">
        <v>12</v>
      </c>
      <c r="C57">
        <v>464.28</v>
      </c>
      <c r="D57">
        <v>1325.42</v>
      </c>
      <c r="G57">
        <v>6.9179999999999997E-3</v>
      </c>
      <c r="H57">
        <v>0</v>
      </c>
      <c r="I57">
        <v>17458.009999999998</v>
      </c>
      <c r="J57">
        <v>12134.67</v>
      </c>
      <c r="K57">
        <v>0</v>
      </c>
      <c r="L57">
        <v>29466.65</v>
      </c>
      <c r="M57">
        <v>0</v>
      </c>
      <c r="N57">
        <v>55883.38</v>
      </c>
      <c r="O57">
        <v>5012.82</v>
      </c>
      <c r="P57">
        <v>3735.05</v>
      </c>
      <c r="Q57">
        <v>0</v>
      </c>
      <c r="R57">
        <v>0</v>
      </c>
      <c r="S57">
        <v>0</v>
      </c>
      <c r="T57">
        <v>0</v>
      </c>
      <c r="U57">
        <v>0</v>
      </c>
      <c r="V57">
        <v>5529.88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4688</v>
      </c>
      <c r="AH57">
        <v>0</v>
      </c>
      <c r="AI57">
        <v>0</v>
      </c>
      <c r="AJ57">
        <v>97935180.594457</v>
      </c>
    </row>
    <row r="58" spans="1:36" x14ac:dyDescent="0.25">
      <c r="A58" t="s">
        <v>547</v>
      </c>
      <c r="B58" t="s">
        <v>12</v>
      </c>
      <c r="D58">
        <v>21580.54</v>
      </c>
      <c r="E58">
        <v>7559.32</v>
      </c>
      <c r="G58">
        <v>0.112632</v>
      </c>
      <c r="H58">
        <v>0</v>
      </c>
      <c r="I58">
        <v>476442.57</v>
      </c>
      <c r="J58">
        <v>239542.44</v>
      </c>
      <c r="K58">
        <v>0</v>
      </c>
      <c r="L58">
        <v>831153.37</v>
      </c>
      <c r="M58">
        <v>0</v>
      </c>
      <c r="N58">
        <v>185421.75</v>
      </c>
      <c r="O58">
        <v>141493.12</v>
      </c>
      <c r="P58">
        <v>139866.15</v>
      </c>
      <c r="Q58">
        <v>0</v>
      </c>
      <c r="R58">
        <v>0</v>
      </c>
      <c r="S58">
        <v>0</v>
      </c>
      <c r="T58">
        <v>0</v>
      </c>
      <c r="U58">
        <v>0</v>
      </c>
      <c r="V58">
        <v>364576.51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115798.96</v>
      </c>
      <c r="AH58">
        <v>0</v>
      </c>
      <c r="AI58">
        <v>0</v>
      </c>
      <c r="AJ58">
        <v>1454834253.2511799</v>
      </c>
    </row>
    <row r="59" spans="1:36" x14ac:dyDescent="0.25">
      <c r="A59" t="s">
        <v>548</v>
      </c>
      <c r="B59" t="s">
        <v>12</v>
      </c>
      <c r="C59">
        <v>7559.32</v>
      </c>
      <c r="D59">
        <v>21580.54</v>
      </c>
      <c r="G59">
        <v>0.112632</v>
      </c>
      <c r="H59">
        <v>0</v>
      </c>
      <c r="I59">
        <v>597854.24</v>
      </c>
      <c r="J59">
        <v>239542.44</v>
      </c>
      <c r="K59">
        <v>0</v>
      </c>
      <c r="L59">
        <v>831153.37</v>
      </c>
      <c r="M59">
        <v>0</v>
      </c>
      <c r="N59">
        <v>185724.11</v>
      </c>
      <c r="O59">
        <v>170088.17</v>
      </c>
      <c r="P59">
        <v>149629.39000000001</v>
      </c>
      <c r="Q59">
        <v>0</v>
      </c>
      <c r="R59">
        <v>0</v>
      </c>
      <c r="S59">
        <v>0</v>
      </c>
      <c r="T59">
        <v>0</v>
      </c>
      <c r="U59">
        <v>0</v>
      </c>
      <c r="V59">
        <v>362517.84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115795.14</v>
      </c>
      <c r="AH59">
        <v>0</v>
      </c>
      <c r="AI59">
        <v>0</v>
      </c>
      <c r="AJ59">
        <v>1734026611.9686999</v>
      </c>
    </row>
    <row r="60" spans="1:36" x14ac:dyDescent="0.25">
      <c r="A60" t="s">
        <v>549</v>
      </c>
      <c r="B60" t="s">
        <v>12</v>
      </c>
      <c r="C60">
        <v>1322.17</v>
      </c>
      <c r="D60">
        <v>3774.56</v>
      </c>
      <c r="G60">
        <v>1.9699999999999999E-2</v>
      </c>
      <c r="H60">
        <v>0</v>
      </c>
      <c r="I60">
        <v>119979.2</v>
      </c>
      <c r="J60">
        <v>103288.37</v>
      </c>
      <c r="K60">
        <v>0</v>
      </c>
      <c r="L60">
        <v>282049.05</v>
      </c>
      <c r="M60">
        <v>0</v>
      </c>
      <c r="N60">
        <v>72982.210000000006</v>
      </c>
      <c r="O60">
        <v>14533.83</v>
      </c>
      <c r="P60">
        <v>13097.58</v>
      </c>
      <c r="Q60">
        <v>0</v>
      </c>
      <c r="R60">
        <v>0</v>
      </c>
      <c r="S60">
        <v>0</v>
      </c>
      <c r="T60">
        <v>0</v>
      </c>
      <c r="U60">
        <v>0</v>
      </c>
      <c r="V60">
        <v>107471.87</v>
      </c>
      <c r="W60">
        <v>0</v>
      </c>
      <c r="X60">
        <v>0</v>
      </c>
      <c r="Y60">
        <v>0</v>
      </c>
      <c r="Z60">
        <v>65854.75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126287.52</v>
      </c>
      <c r="AH60">
        <v>0</v>
      </c>
      <c r="AI60">
        <v>0</v>
      </c>
      <c r="AJ60">
        <v>428700192.99947101</v>
      </c>
    </row>
    <row r="61" spans="1:36" x14ac:dyDescent="0.25">
      <c r="A61" t="s">
        <v>550</v>
      </c>
      <c r="B61" t="s">
        <v>12</v>
      </c>
      <c r="D61">
        <v>3774.56</v>
      </c>
      <c r="E61">
        <v>1322.17</v>
      </c>
      <c r="G61">
        <v>1.9699999999999999E-2</v>
      </c>
      <c r="H61">
        <v>0</v>
      </c>
      <c r="I61">
        <v>108966.31</v>
      </c>
      <c r="J61">
        <v>103288.37</v>
      </c>
      <c r="K61">
        <v>0</v>
      </c>
      <c r="L61">
        <v>282049.05</v>
      </c>
      <c r="M61">
        <v>0</v>
      </c>
      <c r="N61">
        <v>72981.05</v>
      </c>
      <c r="O61">
        <v>13111.88</v>
      </c>
      <c r="P61">
        <v>13046.16</v>
      </c>
      <c r="Q61">
        <v>0</v>
      </c>
      <c r="R61">
        <v>0</v>
      </c>
      <c r="S61">
        <v>0</v>
      </c>
      <c r="T61">
        <v>0</v>
      </c>
      <c r="U61">
        <v>0</v>
      </c>
      <c r="V61">
        <v>107465.64</v>
      </c>
      <c r="W61">
        <v>0</v>
      </c>
      <c r="X61">
        <v>0</v>
      </c>
      <c r="Y61">
        <v>0</v>
      </c>
      <c r="Z61">
        <v>65854.75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126288.53</v>
      </c>
      <c r="AH61">
        <v>0</v>
      </c>
      <c r="AI61">
        <v>0</v>
      </c>
      <c r="AJ61">
        <v>405826899.17097998</v>
      </c>
    </row>
    <row r="62" spans="1:36" x14ac:dyDescent="0.25">
      <c r="A62" t="s">
        <v>551</v>
      </c>
      <c r="B62" t="s">
        <v>12</v>
      </c>
      <c r="D62">
        <v>36860.620000000003</v>
      </c>
      <c r="E62">
        <v>12911.69</v>
      </c>
      <c r="G62">
        <v>0.192381</v>
      </c>
      <c r="H62">
        <v>0</v>
      </c>
      <c r="I62">
        <v>875583.93</v>
      </c>
      <c r="J62">
        <v>626942.71</v>
      </c>
      <c r="K62">
        <v>0</v>
      </c>
      <c r="L62">
        <v>1141299.43</v>
      </c>
      <c r="M62">
        <v>0</v>
      </c>
      <c r="N62">
        <v>347819.43</v>
      </c>
      <c r="O62">
        <v>316416.14</v>
      </c>
      <c r="P62">
        <v>313195.78000000003</v>
      </c>
      <c r="Q62">
        <v>0</v>
      </c>
      <c r="R62">
        <v>0</v>
      </c>
      <c r="S62">
        <v>0</v>
      </c>
      <c r="T62">
        <v>0</v>
      </c>
      <c r="U62">
        <v>0</v>
      </c>
      <c r="V62">
        <v>1115839.71</v>
      </c>
      <c r="W62">
        <v>0</v>
      </c>
      <c r="X62">
        <v>0</v>
      </c>
      <c r="Y62">
        <v>0</v>
      </c>
      <c r="Z62">
        <v>43737.51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275268.76</v>
      </c>
      <c r="AH62">
        <v>0</v>
      </c>
      <c r="AI62">
        <v>0</v>
      </c>
      <c r="AJ62">
        <v>2941945669.6187901</v>
      </c>
    </row>
    <row r="63" spans="1:36" x14ac:dyDescent="0.25">
      <c r="A63" t="s">
        <v>552</v>
      </c>
      <c r="B63" t="s">
        <v>12</v>
      </c>
      <c r="D63">
        <v>4542.8599999999997</v>
      </c>
      <c r="E63">
        <v>1591.29</v>
      </c>
      <c r="G63">
        <v>2.3709999999999998E-2</v>
      </c>
      <c r="H63">
        <v>0</v>
      </c>
      <c r="I63">
        <v>137232.81</v>
      </c>
      <c r="J63">
        <v>94437.9</v>
      </c>
      <c r="K63">
        <v>0</v>
      </c>
      <c r="L63">
        <v>258328.15</v>
      </c>
      <c r="M63">
        <v>0</v>
      </c>
      <c r="N63">
        <v>344733.92</v>
      </c>
      <c r="O63">
        <v>17000.05</v>
      </c>
      <c r="P63">
        <v>17394.02</v>
      </c>
      <c r="Q63">
        <v>0</v>
      </c>
      <c r="R63">
        <v>0</v>
      </c>
      <c r="S63">
        <v>0</v>
      </c>
      <c r="T63">
        <v>0</v>
      </c>
      <c r="U63">
        <v>0</v>
      </c>
      <c r="V63">
        <v>203981.25</v>
      </c>
      <c r="W63">
        <v>0</v>
      </c>
      <c r="X63">
        <v>0</v>
      </c>
      <c r="Y63">
        <v>0</v>
      </c>
      <c r="Z63">
        <v>64094.3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232590.38</v>
      </c>
      <c r="AH63">
        <v>0</v>
      </c>
      <c r="AI63">
        <v>0</v>
      </c>
      <c r="AJ63">
        <v>742619776.52304804</v>
      </c>
    </row>
    <row r="64" spans="1:36" x14ac:dyDescent="0.25">
      <c r="A64" t="s">
        <v>553</v>
      </c>
      <c r="B64" t="s">
        <v>12</v>
      </c>
      <c r="C64">
        <v>12911.69</v>
      </c>
      <c r="D64">
        <v>36860.620000000003</v>
      </c>
      <c r="G64">
        <v>0.192381</v>
      </c>
      <c r="H64">
        <v>0</v>
      </c>
      <c r="I64">
        <v>1052972.8700000001</v>
      </c>
      <c r="J64">
        <v>626942.71</v>
      </c>
      <c r="K64">
        <v>0</v>
      </c>
      <c r="L64">
        <v>1141299.43</v>
      </c>
      <c r="M64">
        <v>0</v>
      </c>
      <c r="N64">
        <v>348246.36</v>
      </c>
      <c r="O64">
        <v>378907.12</v>
      </c>
      <c r="P64">
        <v>332088.40999999997</v>
      </c>
      <c r="Q64">
        <v>0</v>
      </c>
      <c r="R64">
        <v>0</v>
      </c>
      <c r="S64">
        <v>0</v>
      </c>
      <c r="T64">
        <v>0</v>
      </c>
      <c r="U64">
        <v>0</v>
      </c>
      <c r="V64">
        <v>1106906.5900000001</v>
      </c>
      <c r="W64">
        <v>0</v>
      </c>
      <c r="X64">
        <v>0</v>
      </c>
      <c r="Y64">
        <v>0</v>
      </c>
      <c r="Z64">
        <v>43737.51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275264.99</v>
      </c>
      <c r="AH64">
        <v>0</v>
      </c>
      <c r="AI64">
        <v>0</v>
      </c>
      <c r="AJ64">
        <v>2950463892.0782199</v>
      </c>
    </row>
    <row r="65" spans="1:36" x14ac:dyDescent="0.25">
      <c r="A65" t="s">
        <v>554</v>
      </c>
      <c r="B65" t="s">
        <v>12</v>
      </c>
      <c r="C65">
        <v>1591.29</v>
      </c>
      <c r="D65">
        <v>4542.8599999999997</v>
      </c>
      <c r="G65">
        <v>2.3709999999999998E-2</v>
      </c>
      <c r="H65">
        <v>0</v>
      </c>
      <c r="I65">
        <v>151282.29</v>
      </c>
      <c r="J65">
        <v>94437.9</v>
      </c>
      <c r="K65">
        <v>0</v>
      </c>
      <c r="L65">
        <v>258328.15</v>
      </c>
      <c r="M65">
        <v>0</v>
      </c>
      <c r="N65">
        <v>344805.11</v>
      </c>
      <c r="O65">
        <v>19511.990000000002</v>
      </c>
      <c r="P65">
        <v>17574.79</v>
      </c>
      <c r="Q65">
        <v>0</v>
      </c>
      <c r="R65">
        <v>0</v>
      </c>
      <c r="S65">
        <v>0</v>
      </c>
      <c r="T65">
        <v>0</v>
      </c>
      <c r="U65">
        <v>0</v>
      </c>
      <c r="V65">
        <v>203953.22</v>
      </c>
      <c r="W65">
        <v>0</v>
      </c>
      <c r="X65">
        <v>0</v>
      </c>
      <c r="Y65">
        <v>0</v>
      </c>
      <c r="Z65">
        <v>64094.3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232580.47</v>
      </c>
      <c r="AH65">
        <v>0</v>
      </c>
      <c r="AI65">
        <v>0</v>
      </c>
      <c r="AJ65">
        <v>776182098.41286302</v>
      </c>
    </row>
    <row r="66" spans="1:36" x14ac:dyDescent="0.25">
      <c r="A66" t="s">
        <v>555</v>
      </c>
      <c r="B66" t="s">
        <v>12</v>
      </c>
      <c r="D66">
        <v>28930.86</v>
      </c>
      <c r="E66">
        <v>10134.02</v>
      </c>
      <c r="G66">
        <v>0.15099399999999999</v>
      </c>
      <c r="H66">
        <v>0</v>
      </c>
      <c r="I66">
        <v>496190.62</v>
      </c>
      <c r="J66">
        <v>163686.57</v>
      </c>
      <c r="K66">
        <v>0</v>
      </c>
      <c r="L66">
        <v>936314.72</v>
      </c>
      <c r="M66">
        <v>0</v>
      </c>
      <c r="N66">
        <v>316314.98</v>
      </c>
      <c r="O66">
        <v>180663.95</v>
      </c>
      <c r="P66">
        <v>182085.89</v>
      </c>
      <c r="Q66">
        <v>0</v>
      </c>
      <c r="R66">
        <v>0</v>
      </c>
      <c r="S66">
        <v>0</v>
      </c>
      <c r="T66">
        <v>0</v>
      </c>
      <c r="U66">
        <v>0</v>
      </c>
      <c r="V66">
        <v>506764.03</v>
      </c>
      <c r="W66">
        <v>0</v>
      </c>
      <c r="X66">
        <v>0</v>
      </c>
      <c r="Y66">
        <v>0</v>
      </c>
      <c r="Z66">
        <v>68627.600000000006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486294.54</v>
      </c>
      <c r="AH66">
        <v>0</v>
      </c>
      <c r="AI66">
        <v>0</v>
      </c>
      <c r="AJ66">
        <v>2181774764.4021301</v>
      </c>
    </row>
    <row r="67" spans="1:36" x14ac:dyDescent="0.25">
      <c r="A67" t="s">
        <v>556</v>
      </c>
      <c r="B67" t="s">
        <v>12</v>
      </c>
      <c r="C67">
        <v>20539.16</v>
      </c>
      <c r="D67">
        <v>58635.73</v>
      </c>
      <c r="G67">
        <v>0.30602800000000002</v>
      </c>
      <c r="H67">
        <v>0</v>
      </c>
      <c r="I67">
        <v>1400498.64</v>
      </c>
      <c r="J67">
        <v>643032.05000000005</v>
      </c>
      <c r="K67">
        <v>0</v>
      </c>
      <c r="L67">
        <v>3553012.2</v>
      </c>
      <c r="M67">
        <v>0</v>
      </c>
      <c r="N67">
        <v>945549.87</v>
      </c>
      <c r="O67">
        <v>240047.69</v>
      </c>
      <c r="P67">
        <v>213968.66</v>
      </c>
      <c r="Q67">
        <v>0</v>
      </c>
      <c r="R67">
        <v>0</v>
      </c>
      <c r="S67">
        <v>0</v>
      </c>
      <c r="T67">
        <v>0</v>
      </c>
      <c r="U67">
        <v>0</v>
      </c>
      <c r="V67">
        <v>873962.53</v>
      </c>
      <c r="W67">
        <v>0</v>
      </c>
      <c r="X67">
        <v>0</v>
      </c>
      <c r="Y67">
        <v>0</v>
      </c>
      <c r="Z67">
        <v>127428.8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739364.89</v>
      </c>
      <c r="AH67">
        <v>0</v>
      </c>
      <c r="AI67">
        <v>0</v>
      </c>
      <c r="AJ67">
        <v>6174790744.6125097</v>
      </c>
    </row>
    <row r="68" spans="1:36" x14ac:dyDescent="0.25">
      <c r="A68" t="s">
        <v>558</v>
      </c>
      <c r="B68" t="s">
        <v>12</v>
      </c>
      <c r="D68">
        <v>58635.73</v>
      </c>
      <c r="E68">
        <v>20539.16</v>
      </c>
      <c r="G68">
        <v>0.30602800000000002</v>
      </c>
      <c r="H68">
        <v>0</v>
      </c>
      <c r="I68">
        <v>1233683.93</v>
      </c>
      <c r="J68">
        <v>643032.05000000005</v>
      </c>
      <c r="K68">
        <v>0</v>
      </c>
      <c r="L68">
        <v>3553012.2</v>
      </c>
      <c r="M68">
        <v>0</v>
      </c>
      <c r="N68">
        <v>945531.87</v>
      </c>
      <c r="O68">
        <v>209226.3</v>
      </c>
      <c r="P68">
        <v>212234.28</v>
      </c>
      <c r="Q68">
        <v>0</v>
      </c>
      <c r="R68">
        <v>0</v>
      </c>
      <c r="S68">
        <v>0</v>
      </c>
      <c r="T68">
        <v>0</v>
      </c>
      <c r="U68">
        <v>0</v>
      </c>
      <c r="V68">
        <v>871874.94</v>
      </c>
      <c r="W68">
        <v>0</v>
      </c>
      <c r="X68">
        <v>0</v>
      </c>
      <c r="Y68">
        <v>0</v>
      </c>
      <c r="Z68">
        <v>127428.8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739253.75</v>
      </c>
      <c r="AH68">
        <v>0</v>
      </c>
      <c r="AI68">
        <v>0</v>
      </c>
      <c r="AJ68">
        <v>5821036823.9710302</v>
      </c>
    </row>
    <row r="69" spans="1:36" x14ac:dyDescent="0.25">
      <c r="A69" t="s">
        <v>561</v>
      </c>
      <c r="B69" t="s">
        <v>12</v>
      </c>
      <c r="C69">
        <v>10134.02</v>
      </c>
      <c r="D69">
        <v>28930.86</v>
      </c>
      <c r="G69">
        <v>0.15099399999999999</v>
      </c>
      <c r="H69">
        <v>0</v>
      </c>
      <c r="I69">
        <v>741941.88</v>
      </c>
      <c r="J69">
        <v>163686.57</v>
      </c>
      <c r="K69">
        <v>0</v>
      </c>
      <c r="L69">
        <v>936314.72</v>
      </c>
      <c r="M69">
        <v>0</v>
      </c>
      <c r="N69">
        <v>316365.01</v>
      </c>
      <c r="O69">
        <v>214378.9</v>
      </c>
      <c r="P69">
        <v>190602.58</v>
      </c>
      <c r="Q69">
        <v>0</v>
      </c>
      <c r="R69">
        <v>0</v>
      </c>
      <c r="S69">
        <v>0</v>
      </c>
      <c r="T69">
        <v>0</v>
      </c>
      <c r="U69">
        <v>0</v>
      </c>
      <c r="V69">
        <v>510256.06</v>
      </c>
      <c r="W69">
        <v>0</v>
      </c>
      <c r="X69">
        <v>0</v>
      </c>
      <c r="Y69">
        <v>0</v>
      </c>
      <c r="Z69">
        <v>68627.600000000006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486274.66</v>
      </c>
      <c r="AH69">
        <v>0</v>
      </c>
      <c r="AI69">
        <v>0</v>
      </c>
      <c r="AJ69">
        <v>2264190347.3940802</v>
      </c>
    </row>
    <row r="70" spans="1:36" x14ac:dyDescent="0.25">
      <c r="A70" t="s">
        <v>603</v>
      </c>
      <c r="B70" t="s">
        <v>12</v>
      </c>
      <c r="D70">
        <v>4390.62</v>
      </c>
      <c r="E70">
        <v>1537.96</v>
      </c>
      <c r="G70">
        <v>2.2915000000000001E-2</v>
      </c>
      <c r="H70">
        <v>0</v>
      </c>
      <c r="I70">
        <v>122303.96</v>
      </c>
      <c r="J70">
        <v>125722.95</v>
      </c>
      <c r="K70">
        <v>0</v>
      </c>
      <c r="L70">
        <v>179632.92</v>
      </c>
      <c r="M70">
        <v>0</v>
      </c>
      <c r="N70">
        <v>57227.08</v>
      </c>
      <c r="O70">
        <v>17913.810000000001</v>
      </c>
      <c r="P70">
        <v>18389.04</v>
      </c>
      <c r="Q70">
        <v>0</v>
      </c>
      <c r="R70">
        <v>0</v>
      </c>
      <c r="S70">
        <v>0</v>
      </c>
      <c r="T70">
        <v>0</v>
      </c>
      <c r="U70">
        <v>0</v>
      </c>
      <c r="V70">
        <v>96024.44</v>
      </c>
      <c r="W70">
        <v>0</v>
      </c>
      <c r="X70">
        <v>0</v>
      </c>
      <c r="Y70">
        <v>0</v>
      </c>
      <c r="Z70">
        <v>25988.9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11934.79</v>
      </c>
      <c r="AH70">
        <v>0</v>
      </c>
      <c r="AI70">
        <v>0</v>
      </c>
      <c r="AJ70">
        <v>542117003.11676598</v>
      </c>
    </row>
    <row r="71" spans="1:36" x14ac:dyDescent="0.25">
      <c r="A71" t="s">
        <v>604</v>
      </c>
      <c r="B71" t="s">
        <v>12</v>
      </c>
      <c r="C71">
        <v>1537.96</v>
      </c>
      <c r="D71">
        <v>4390.62</v>
      </c>
      <c r="G71">
        <v>2.2915000000000001E-2</v>
      </c>
      <c r="H71">
        <v>0</v>
      </c>
      <c r="I71">
        <v>150260.64000000001</v>
      </c>
      <c r="J71">
        <v>125722.95</v>
      </c>
      <c r="K71">
        <v>0</v>
      </c>
      <c r="L71">
        <v>179632.92</v>
      </c>
      <c r="M71">
        <v>0</v>
      </c>
      <c r="N71">
        <v>57206.96</v>
      </c>
      <c r="O71">
        <v>21005.91</v>
      </c>
      <c r="P71">
        <v>18623.27</v>
      </c>
      <c r="Q71">
        <v>0</v>
      </c>
      <c r="R71">
        <v>0</v>
      </c>
      <c r="S71">
        <v>0</v>
      </c>
      <c r="T71">
        <v>0</v>
      </c>
      <c r="U71">
        <v>0</v>
      </c>
      <c r="V71">
        <v>95468.55</v>
      </c>
      <c r="W71">
        <v>0</v>
      </c>
      <c r="X71">
        <v>0</v>
      </c>
      <c r="Y71">
        <v>0</v>
      </c>
      <c r="Z71">
        <v>25988.9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11913.4</v>
      </c>
      <c r="AH71">
        <v>0</v>
      </c>
      <c r="AI71">
        <v>0</v>
      </c>
      <c r="AJ71">
        <v>621713699.906299</v>
      </c>
    </row>
    <row r="72" spans="1:36" x14ac:dyDescent="0.25">
      <c r="A72" t="s">
        <v>635</v>
      </c>
      <c r="B72" t="s">
        <v>12</v>
      </c>
      <c r="D72">
        <v>3783.79</v>
      </c>
      <c r="E72">
        <v>1325.4</v>
      </c>
      <c r="G72">
        <v>1.9748000000000002E-2</v>
      </c>
      <c r="H72">
        <v>0</v>
      </c>
      <c r="I72">
        <v>99435.6</v>
      </c>
      <c r="J72">
        <v>125722.95</v>
      </c>
      <c r="K72">
        <v>0</v>
      </c>
      <c r="L72">
        <v>179632.92</v>
      </c>
      <c r="M72">
        <v>0</v>
      </c>
      <c r="N72">
        <v>48995.6</v>
      </c>
      <c r="O72">
        <v>15332.69</v>
      </c>
      <c r="P72">
        <v>15712.94</v>
      </c>
      <c r="Q72">
        <v>0</v>
      </c>
      <c r="R72">
        <v>0</v>
      </c>
      <c r="S72">
        <v>0</v>
      </c>
      <c r="T72">
        <v>0</v>
      </c>
      <c r="U72">
        <v>0</v>
      </c>
      <c r="V72">
        <v>75972.73</v>
      </c>
      <c r="W72">
        <v>0</v>
      </c>
      <c r="X72">
        <v>0</v>
      </c>
      <c r="Y72">
        <v>0</v>
      </c>
      <c r="Z72">
        <v>25988.9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11862.59</v>
      </c>
      <c r="AH72">
        <v>0</v>
      </c>
      <c r="AI72">
        <v>0</v>
      </c>
      <c r="AJ72">
        <v>471315139.834957</v>
      </c>
    </row>
    <row r="73" spans="1:36" x14ac:dyDescent="0.25">
      <c r="A73" t="s">
        <v>636</v>
      </c>
      <c r="B73" t="s">
        <v>12</v>
      </c>
      <c r="C73">
        <v>1325.4</v>
      </c>
      <c r="D73">
        <v>3783.79</v>
      </c>
      <c r="G73">
        <v>1.9748000000000002E-2</v>
      </c>
      <c r="H73">
        <v>0</v>
      </c>
      <c r="I73">
        <v>122942.73</v>
      </c>
      <c r="J73">
        <v>125722.95</v>
      </c>
      <c r="K73">
        <v>0</v>
      </c>
      <c r="L73">
        <v>179632.92</v>
      </c>
      <c r="M73">
        <v>0</v>
      </c>
      <c r="N73">
        <v>48978.1</v>
      </c>
      <c r="O73">
        <v>17993.41</v>
      </c>
      <c r="P73">
        <v>15933.01</v>
      </c>
      <c r="Q73">
        <v>0</v>
      </c>
      <c r="R73">
        <v>0</v>
      </c>
      <c r="S73">
        <v>0</v>
      </c>
      <c r="T73">
        <v>0</v>
      </c>
      <c r="U73">
        <v>0</v>
      </c>
      <c r="V73">
        <v>75658.149999999994</v>
      </c>
      <c r="W73">
        <v>0</v>
      </c>
      <c r="X73">
        <v>0</v>
      </c>
      <c r="Y73">
        <v>0</v>
      </c>
      <c r="Z73">
        <v>25988.9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11832.92</v>
      </c>
      <c r="AH73">
        <v>0</v>
      </c>
      <c r="AI73">
        <v>0</v>
      </c>
      <c r="AJ73">
        <v>539537028.85584199</v>
      </c>
    </row>
    <row r="74" spans="1:36" x14ac:dyDescent="0.25">
      <c r="A74" t="s">
        <v>269</v>
      </c>
      <c r="B74" t="s">
        <v>13</v>
      </c>
      <c r="C74">
        <v>7757.24</v>
      </c>
      <c r="D74">
        <v>22145.57</v>
      </c>
      <c r="G74">
        <v>0.115581</v>
      </c>
      <c r="H74">
        <v>0</v>
      </c>
      <c r="I74">
        <v>367812.35</v>
      </c>
      <c r="J74">
        <v>774617.57</v>
      </c>
      <c r="K74">
        <v>0</v>
      </c>
      <c r="L74">
        <v>436518</v>
      </c>
      <c r="M74">
        <v>0</v>
      </c>
      <c r="N74">
        <v>155625.94</v>
      </c>
      <c r="O74">
        <v>102743.97</v>
      </c>
      <c r="P74">
        <v>90269.07</v>
      </c>
      <c r="Q74">
        <v>0</v>
      </c>
      <c r="R74">
        <v>0</v>
      </c>
      <c r="S74">
        <v>0</v>
      </c>
      <c r="T74">
        <v>0</v>
      </c>
      <c r="U74">
        <v>0</v>
      </c>
      <c r="V74">
        <v>221651.66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176273.99</v>
      </c>
      <c r="AH74">
        <v>0</v>
      </c>
      <c r="AI74">
        <v>0</v>
      </c>
      <c r="AJ74">
        <v>2130895733.93786</v>
      </c>
    </row>
    <row r="75" spans="1:36" x14ac:dyDescent="0.25">
      <c r="A75" t="s">
        <v>272</v>
      </c>
      <c r="B75" t="s">
        <v>13</v>
      </c>
      <c r="D75">
        <v>22145.57</v>
      </c>
      <c r="E75">
        <v>7757.24</v>
      </c>
      <c r="G75">
        <v>0.115581</v>
      </c>
      <c r="H75">
        <v>0</v>
      </c>
      <c r="I75">
        <v>340004.61</v>
      </c>
      <c r="J75">
        <v>774617.57</v>
      </c>
      <c r="K75">
        <v>0</v>
      </c>
      <c r="L75">
        <v>436518</v>
      </c>
      <c r="M75">
        <v>0</v>
      </c>
      <c r="N75">
        <v>155280.14000000001</v>
      </c>
      <c r="O75">
        <v>83636.94</v>
      </c>
      <c r="P75">
        <v>84366.04</v>
      </c>
      <c r="Q75">
        <v>0</v>
      </c>
      <c r="R75">
        <v>0</v>
      </c>
      <c r="S75">
        <v>0</v>
      </c>
      <c r="T75">
        <v>0</v>
      </c>
      <c r="U75">
        <v>0</v>
      </c>
      <c r="V75">
        <v>221022.68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176272.32</v>
      </c>
      <c r="AH75">
        <v>0</v>
      </c>
      <c r="AI75">
        <v>0</v>
      </c>
      <c r="AJ75">
        <v>2133902331.3675499</v>
      </c>
    </row>
    <row r="76" spans="1:36" x14ac:dyDescent="0.25">
      <c r="A76" t="s">
        <v>273</v>
      </c>
      <c r="B76" t="s">
        <v>13</v>
      </c>
      <c r="D76">
        <v>2385.29</v>
      </c>
      <c r="E76">
        <v>835.53</v>
      </c>
      <c r="G76">
        <v>1.2449E-2</v>
      </c>
      <c r="H76">
        <v>0</v>
      </c>
      <c r="I76">
        <v>15005.07</v>
      </c>
      <c r="J76">
        <v>23792.959999999999</v>
      </c>
      <c r="K76">
        <v>0</v>
      </c>
      <c r="L76">
        <v>29466.65</v>
      </c>
      <c r="M76">
        <v>0</v>
      </c>
      <c r="N76">
        <v>108007.51</v>
      </c>
      <c r="O76">
        <v>6512.7</v>
      </c>
      <c r="P76">
        <v>6460.84</v>
      </c>
      <c r="Q76">
        <v>0</v>
      </c>
      <c r="R76">
        <v>0</v>
      </c>
      <c r="S76">
        <v>0</v>
      </c>
      <c r="T76">
        <v>0</v>
      </c>
      <c r="U76">
        <v>0</v>
      </c>
      <c r="V76">
        <v>2134.87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4672.57</v>
      </c>
      <c r="AH76">
        <v>0</v>
      </c>
      <c r="AI76">
        <v>0</v>
      </c>
      <c r="AJ76">
        <v>143297107.01763499</v>
      </c>
    </row>
    <row r="77" spans="1:36" x14ac:dyDescent="0.25">
      <c r="A77" t="s">
        <v>274</v>
      </c>
      <c r="B77" t="s">
        <v>13</v>
      </c>
      <c r="C77">
        <v>835.53</v>
      </c>
      <c r="D77">
        <v>2385.29</v>
      </c>
      <c r="G77">
        <v>1.2449E-2</v>
      </c>
      <c r="H77">
        <v>0</v>
      </c>
      <c r="I77">
        <v>21098.85</v>
      </c>
      <c r="J77">
        <v>23792.959999999999</v>
      </c>
      <c r="K77">
        <v>0</v>
      </c>
      <c r="L77">
        <v>29466.65</v>
      </c>
      <c r="M77">
        <v>0</v>
      </c>
      <c r="N77">
        <v>108007.51</v>
      </c>
      <c r="O77">
        <v>11723.88</v>
      </c>
      <c r="P77">
        <v>9263.1200000000008</v>
      </c>
      <c r="Q77">
        <v>0</v>
      </c>
      <c r="R77">
        <v>0</v>
      </c>
      <c r="S77">
        <v>0</v>
      </c>
      <c r="T77">
        <v>0</v>
      </c>
      <c r="U77">
        <v>0</v>
      </c>
      <c r="V77">
        <v>2134.87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4672.57</v>
      </c>
      <c r="AH77">
        <v>0</v>
      </c>
      <c r="AI77">
        <v>0</v>
      </c>
      <c r="AJ77">
        <v>175736996.413129</v>
      </c>
    </row>
    <row r="78" spans="1:36" x14ac:dyDescent="0.25">
      <c r="A78" t="s">
        <v>275</v>
      </c>
      <c r="B78" t="s">
        <v>13</v>
      </c>
      <c r="D78">
        <v>4937.8500000000004</v>
      </c>
      <c r="E78">
        <v>1729.65</v>
      </c>
      <c r="G78">
        <v>2.5770999999999999E-2</v>
      </c>
      <c r="H78">
        <v>0</v>
      </c>
      <c r="I78">
        <v>121000.06</v>
      </c>
      <c r="J78">
        <v>201226.15</v>
      </c>
      <c r="K78">
        <v>0</v>
      </c>
      <c r="L78">
        <v>282049.05</v>
      </c>
      <c r="M78">
        <v>0</v>
      </c>
      <c r="N78">
        <v>85235.86</v>
      </c>
      <c r="O78">
        <v>17831.32</v>
      </c>
      <c r="P78">
        <v>18270.98</v>
      </c>
      <c r="Q78">
        <v>0</v>
      </c>
      <c r="R78">
        <v>0</v>
      </c>
      <c r="S78">
        <v>0</v>
      </c>
      <c r="T78">
        <v>0</v>
      </c>
      <c r="U78">
        <v>0</v>
      </c>
      <c r="V78">
        <v>96241.61</v>
      </c>
      <c r="W78">
        <v>0</v>
      </c>
      <c r="X78">
        <v>0</v>
      </c>
      <c r="Y78">
        <v>0</v>
      </c>
      <c r="Z78">
        <v>65854.75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125819.33</v>
      </c>
      <c r="AH78">
        <v>0</v>
      </c>
      <c r="AI78">
        <v>0</v>
      </c>
      <c r="AJ78">
        <v>467039654.54050899</v>
      </c>
    </row>
    <row r="79" spans="1:36" x14ac:dyDescent="0.25">
      <c r="A79" t="s">
        <v>276</v>
      </c>
      <c r="B79" t="s">
        <v>13</v>
      </c>
      <c r="C79">
        <v>10950.58</v>
      </c>
      <c r="D79">
        <v>31261.98</v>
      </c>
      <c r="G79">
        <v>0.163161</v>
      </c>
      <c r="H79">
        <v>0</v>
      </c>
      <c r="I79">
        <v>659057.89</v>
      </c>
      <c r="J79">
        <v>463682.79</v>
      </c>
      <c r="K79">
        <v>0</v>
      </c>
      <c r="L79">
        <v>831153.37</v>
      </c>
      <c r="M79">
        <v>0</v>
      </c>
      <c r="N79">
        <v>197111.43</v>
      </c>
      <c r="O79">
        <v>243903.09</v>
      </c>
      <c r="P79">
        <v>224969.21</v>
      </c>
      <c r="Q79">
        <v>0</v>
      </c>
      <c r="R79">
        <v>0</v>
      </c>
      <c r="S79">
        <v>0</v>
      </c>
      <c r="T79">
        <v>0</v>
      </c>
      <c r="U79">
        <v>0</v>
      </c>
      <c r="V79">
        <v>584898.89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115362.56</v>
      </c>
      <c r="AH79">
        <v>0</v>
      </c>
      <c r="AI79">
        <v>0</v>
      </c>
      <c r="AJ79">
        <v>2220037379.2280402</v>
      </c>
    </row>
    <row r="80" spans="1:36" x14ac:dyDescent="0.25">
      <c r="A80" t="s">
        <v>277</v>
      </c>
      <c r="B80" t="s">
        <v>13</v>
      </c>
      <c r="D80">
        <v>31261.98</v>
      </c>
      <c r="E80">
        <v>10950.58</v>
      </c>
      <c r="G80">
        <v>0.163161</v>
      </c>
      <c r="H80">
        <v>0</v>
      </c>
      <c r="I80">
        <v>512970.3</v>
      </c>
      <c r="J80">
        <v>463682.79</v>
      </c>
      <c r="K80">
        <v>0</v>
      </c>
      <c r="L80">
        <v>831153.37</v>
      </c>
      <c r="M80">
        <v>0</v>
      </c>
      <c r="N80">
        <v>196391.07</v>
      </c>
      <c r="O80">
        <v>204646</v>
      </c>
      <c r="P80">
        <v>221216.27</v>
      </c>
      <c r="Q80">
        <v>0</v>
      </c>
      <c r="R80">
        <v>0</v>
      </c>
      <c r="S80">
        <v>0</v>
      </c>
      <c r="T80">
        <v>0</v>
      </c>
      <c r="U80">
        <v>0</v>
      </c>
      <c r="V80">
        <v>586102.88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115362.8</v>
      </c>
      <c r="AH80">
        <v>0</v>
      </c>
      <c r="AI80">
        <v>0</v>
      </c>
      <c r="AJ80">
        <v>1839383176.0211999</v>
      </c>
    </row>
    <row r="81" spans="1:36" x14ac:dyDescent="0.25">
      <c r="A81" t="s">
        <v>278</v>
      </c>
      <c r="B81" t="s">
        <v>13</v>
      </c>
      <c r="C81">
        <v>1729.65</v>
      </c>
      <c r="D81">
        <v>4937.8500000000004</v>
      </c>
      <c r="G81">
        <v>2.5770999999999999E-2</v>
      </c>
      <c r="H81">
        <v>0</v>
      </c>
      <c r="I81">
        <v>129270.11</v>
      </c>
      <c r="J81">
        <v>201226.15</v>
      </c>
      <c r="K81">
        <v>0</v>
      </c>
      <c r="L81">
        <v>282049.05</v>
      </c>
      <c r="M81">
        <v>0</v>
      </c>
      <c r="N81">
        <v>85261.98</v>
      </c>
      <c r="O81">
        <v>19883.88</v>
      </c>
      <c r="P81">
        <v>18325.830000000002</v>
      </c>
      <c r="Q81">
        <v>0</v>
      </c>
      <c r="R81">
        <v>0</v>
      </c>
      <c r="S81">
        <v>0</v>
      </c>
      <c r="T81">
        <v>0</v>
      </c>
      <c r="U81">
        <v>0</v>
      </c>
      <c r="V81">
        <v>96218.240000000005</v>
      </c>
      <c r="W81">
        <v>0</v>
      </c>
      <c r="X81">
        <v>0</v>
      </c>
      <c r="Y81">
        <v>0</v>
      </c>
      <c r="Z81">
        <v>65854.75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125820.31</v>
      </c>
      <c r="AH81">
        <v>0</v>
      </c>
      <c r="AI81">
        <v>0</v>
      </c>
      <c r="AJ81">
        <v>506757185.09518701</v>
      </c>
    </row>
    <row r="82" spans="1:36" x14ac:dyDescent="0.25">
      <c r="A82" t="s">
        <v>279</v>
      </c>
      <c r="B82" t="s">
        <v>13</v>
      </c>
      <c r="C82">
        <v>13192.32</v>
      </c>
      <c r="D82">
        <v>37661.79</v>
      </c>
      <c r="G82">
        <v>0.19656199999999999</v>
      </c>
      <c r="H82">
        <v>0</v>
      </c>
      <c r="I82">
        <v>843604.6</v>
      </c>
      <c r="J82">
        <v>857863.39</v>
      </c>
      <c r="K82">
        <v>0</v>
      </c>
      <c r="L82">
        <v>1141299.43</v>
      </c>
      <c r="M82">
        <v>0</v>
      </c>
      <c r="N82">
        <v>282004.45</v>
      </c>
      <c r="O82">
        <v>383433.28</v>
      </c>
      <c r="P82">
        <v>351053.04</v>
      </c>
      <c r="Q82">
        <v>0</v>
      </c>
      <c r="R82">
        <v>0</v>
      </c>
      <c r="S82">
        <v>0</v>
      </c>
      <c r="T82">
        <v>0</v>
      </c>
      <c r="U82">
        <v>0</v>
      </c>
      <c r="V82">
        <v>474426.96</v>
      </c>
      <c r="W82">
        <v>0</v>
      </c>
      <c r="X82">
        <v>0</v>
      </c>
      <c r="Y82">
        <v>0</v>
      </c>
      <c r="Z82">
        <v>43737.51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274235</v>
      </c>
      <c r="AH82">
        <v>0</v>
      </c>
      <c r="AI82">
        <v>0</v>
      </c>
      <c r="AJ82">
        <v>2886644157.5589499</v>
      </c>
    </row>
    <row r="83" spans="1:36" x14ac:dyDescent="0.25">
      <c r="A83" t="s">
        <v>280</v>
      </c>
      <c r="B83" t="s">
        <v>13</v>
      </c>
      <c r="D83">
        <v>37661.79</v>
      </c>
      <c r="E83">
        <v>13192.32</v>
      </c>
      <c r="G83">
        <v>0.19656199999999999</v>
      </c>
      <c r="H83">
        <v>0</v>
      </c>
      <c r="I83">
        <v>640670.94999999995</v>
      </c>
      <c r="J83">
        <v>857863.39</v>
      </c>
      <c r="K83">
        <v>0</v>
      </c>
      <c r="L83">
        <v>1141299.43</v>
      </c>
      <c r="M83">
        <v>0</v>
      </c>
      <c r="N83">
        <v>281893.23</v>
      </c>
      <c r="O83">
        <v>316415.82</v>
      </c>
      <c r="P83">
        <v>338438.41</v>
      </c>
      <c r="Q83">
        <v>0</v>
      </c>
      <c r="R83">
        <v>0</v>
      </c>
      <c r="S83">
        <v>0</v>
      </c>
      <c r="T83">
        <v>0</v>
      </c>
      <c r="U83">
        <v>0</v>
      </c>
      <c r="V83">
        <v>475891.08</v>
      </c>
      <c r="W83">
        <v>0</v>
      </c>
      <c r="X83">
        <v>0</v>
      </c>
      <c r="Y83">
        <v>0</v>
      </c>
      <c r="Z83">
        <v>43737.51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274237.67</v>
      </c>
      <c r="AH83">
        <v>0</v>
      </c>
      <c r="AI83">
        <v>0</v>
      </c>
      <c r="AJ83">
        <v>2866776557.7825398</v>
      </c>
    </row>
    <row r="84" spans="1:36" x14ac:dyDescent="0.25">
      <c r="A84" t="s">
        <v>281</v>
      </c>
      <c r="B84" t="s">
        <v>13</v>
      </c>
      <c r="C84">
        <v>1899.66</v>
      </c>
      <c r="D84">
        <v>5423.19</v>
      </c>
      <c r="G84">
        <v>2.8303999999999999E-2</v>
      </c>
      <c r="H84">
        <v>0</v>
      </c>
      <c r="I84">
        <v>125680.56</v>
      </c>
      <c r="J84">
        <v>197273.03</v>
      </c>
      <c r="K84">
        <v>0</v>
      </c>
      <c r="L84">
        <v>258328.15</v>
      </c>
      <c r="M84">
        <v>0</v>
      </c>
      <c r="N84">
        <v>346818.7</v>
      </c>
      <c r="O84">
        <v>23692.35</v>
      </c>
      <c r="P84">
        <v>22010.46</v>
      </c>
      <c r="Q84">
        <v>0</v>
      </c>
      <c r="R84">
        <v>0</v>
      </c>
      <c r="S84">
        <v>0</v>
      </c>
      <c r="T84">
        <v>0</v>
      </c>
      <c r="U84">
        <v>0</v>
      </c>
      <c r="V84">
        <v>86239.62</v>
      </c>
      <c r="W84">
        <v>0</v>
      </c>
      <c r="X84">
        <v>0</v>
      </c>
      <c r="Y84">
        <v>0</v>
      </c>
      <c r="Z84">
        <v>64094.3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231733.42</v>
      </c>
      <c r="AH84">
        <v>0</v>
      </c>
      <c r="AI84">
        <v>0</v>
      </c>
      <c r="AJ84">
        <v>767847005.06245005</v>
      </c>
    </row>
    <row r="85" spans="1:36" x14ac:dyDescent="0.25">
      <c r="A85" t="s">
        <v>282</v>
      </c>
      <c r="B85" t="s">
        <v>13</v>
      </c>
      <c r="D85">
        <v>5423.19</v>
      </c>
      <c r="E85">
        <v>1899.66</v>
      </c>
      <c r="G85">
        <v>2.8303999999999999E-2</v>
      </c>
      <c r="H85">
        <v>0</v>
      </c>
      <c r="I85">
        <v>113026.51</v>
      </c>
      <c r="J85">
        <v>197273.03</v>
      </c>
      <c r="K85">
        <v>0</v>
      </c>
      <c r="L85">
        <v>258328.15</v>
      </c>
      <c r="M85">
        <v>0</v>
      </c>
      <c r="N85">
        <v>346748.43</v>
      </c>
      <c r="O85">
        <v>20591.38</v>
      </c>
      <c r="P85">
        <v>21940.66</v>
      </c>
      <c r="Q85">
        <v>0</v>
      </c>
      <c r="R85">
        <v>0</v>
      </c>
      <c r="S85">
        <v>0</v>
      </c>
      <c r="T85">
        <v>0</v>
      </c>
      <c r="U85">
        <v>0</v>
      </c>
      <c r="V85">
        <v>86410.32</v>
      </c>
      <c r="W85">
        <v>0</v>
      </c>
      <c r="X85">
        <v>0</v>
      </c>
      <c r="Y85">
        <v>0</v>
      </c>
      <c r="Z85">
        <v>64094.3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231735.27</v>
      </c>
      <c r="AH85">
        <v>0</v>
      </c>
      <c r="AI85">
        <v>0</v>
      </c>
      <c r="AJ85">
        <v>713070300.51283503</v>
      </c>
    </row>
    <row r="86" spans="1:36" x14ac:dyDescent="0.25">
      <c r="A86" t="s">
        <v>283</v>
      </c>
      <c r="B86" t="s">
        <v>13</v>
      </c>
      <c r="D86">
        <v>32414.14</v>
      </c>
      <c r="E86">
        <v>11354.16</v>
      </c>
      <c r="G86">
        <v>0.16917399999999999</v>
      </c>
      <c r="H86">
        <v>0</v>
      </c>
      <c r="I86">
        <v>423117.69</v>
      </c>
      <c r="J86">
        <v>350734.07</v>
      </c>
      <c r="K86">
        <v>0</v>
      </c>
      <c r="L86">
        <v>936314.72</v>
      </c>
      <c r="M86">
        <v>0</v>
      </c>
      <c r="N86">
        <v>256074.19</v>
      </c>
      <c r="O86">
        <v>243577.38</v>
      </c>
      <c r="P86">
        <v>263610.52</v>
      </c>
      <c r="Q86">
        <v>0</v>
      </c>
      <c r="R86">
        <v>0</v>
      </c>
      <c r="S86">
        <v>0</v>
      </c>
      <c r="T86">
        <v>0</v>
      </c>
      <c r="U86">
        <v>0</v>
      </c>
      <c r="V86">
        <v>171303.16</v>
      </c>
      <c r="W86">
        <v>0</v>
      </c>
      <c r="X86">
        <v>0</v>
      </c>
      <c r="Y86">
        <v>0</v>
      </c>
      <c r="Z86">
        <v>68627.600000000006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484908.14</v>
      </c>
      <c r="AH86">
        <v>0</v>
      </c>
      <c r="AI86">
        <v>0</v>
      </c>
      <c r="AJ86">
        <v>1913376885.7480099</v>
      </c>
    </row>
    <row r="87" spans="1:36" x14ac:dyDescent="0.25">
      <c r="A87" t="s">
        <v>284</v>
      </c>
      <c r="B87" t="s">
        <v>13</v>
      </c>
      <c r="D87">
        <v>78754.509999999995</v>
      </c>
      <c r="E87">
        <v>27586.45</v>
      </c>
      <c r="G87">
        <v>0.41103099999999998</v>
      </c>
      <c r="H87">
        <v>0</v>
      </c>
      <c r="I87">
        <v>1162985.95</v>
      </c>
      <c r="J87">
        <v>1274541.22</v>
      </c>
      <c r="K87">
        <v>0</v>
      </c>
      <c r="L87">
        <v>3553012.2</v>
      </c>
      <c r="M87">
        <v>0</v>
      </c>
      <c r="N87">
        <v>961407.32</v>
      </c>
      <c r="O87">
        <v>286465.43</v>
      </c>
      <c r="P87">
        <v>303782.68</v>
      </c>
      <c r="Q87">
        <v>0</v>
      </c>
      <c r="R87">
        <v>0</v>
      </c>
      <c r="S87">
        <v>0</v>
      </c>
      <c r="T87">
        <v>0</v>
      </c>
      <c r="U87">
        <v>0</v>
      </c>
      <c r="V87">
        <v>659243.76</v>
      </c>
      <c r="W87">
        <v>0</v>
      </c>
      <c r="X87">
        <v>0</v>
      </c>
      <c r="Y87">
        <v>0</v>
      </c>
      <c r="Z87">
        <v>127428.8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736925.09</v>
      </c>
      <c r="AH87">
        <v>0</v>
      </c>
      <c r="AI87">
        <v>0</v>
      </c>
      <c r="AJ87">
        <v>6100879684.0532398</v>
      </c>
    </row>
    <row r="88" spans="1:36" x14ac:dyDescent="0.25">
      <c r="A88" t="s">
        <v>285</v>
      </c>
      <c r="B88" t="s">
        <v>13</v>
      </c>
      <c r="C88">
        <v>27586.45</v>
      </c>
      <c r="D88">
        <v>78754.509999999995</v>
      </c>
      <c r="G88">
        <v>0.41103099999999998</v>
      </c>
      <c r="H88">
        <v>0</v>
      </c>
      <c r="I88">
        <v>1354278.31</v>
      </c>
      <c r="J88">
        <v>1274541.22</v>
      </c>
      <c r="K88">
        <v>0</v>
      </c>
      <c r="L88">
        <v>3553012.2</v>
      </c>
      <c r="M88">
        <v>0</v>
      </c>
      <c r="N88">
        <v>961625.98</v>
      </c>
      <c r="O88">
        <v>334801.13</v>
      </c>
      <c r="P88">
        <v>307344.90999999997</v>
      </c>
      <c r="Q88">
        <v>0</v>
      </c>
      <c r="R88">
        <v>0</v>
      </c>
      <c r="S88">
        <v>0</v>
      </c>
      <c r="T88">
        <v>0</v>
      </c>
      <c r="U88">
        <v>0</v>
      </c>
      <c r="V88">
        <v>659853.72</v>
      </c>
      <c r="W88">
        <v>0</v>
      </c>
      <c r="X88">
        <v>0</v>
      </c>
      <c r="Y88">
        <v>0</v>
      </c>
      <c r="Z88">
        <v>127428.8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736827.25</v>
      </c>
      <c r="AH88">
        <v>0</v>
      </c>
      <c r="AI88">
        <v>0</v>
      </c>
      <c r="AJ88">
        <v>6944433769.4182901</v>
      </c>
    </row>
    <row r="89" spans="1:36" x14ac:dyDescent="0.25">
      <c r="A89" t="s">
        <v>286</v>
      </c>
      <c r="B89" t="s">
        <v>13</v>
      </c>
      <c r="C89">
        <v>11354.16</v>
      </c>
      <c r="D89">
        <v>32414.14</v>
      </c>
      <c r="G89">
        <v>0.16917399999999999</v>
      </c>
      <c r="H89">
        <v>0</v>
      </c>
      <c r="I89">
        <v>729742.33</v>
      </c>
      <c r="J89">
        <v>350734.07</v>
      </c>
      <c r="K89">
        <v>0</v>
      </c>
      <c r="L89">
        <v>936314.72</v>
      </c>
      <c r="M89">
        <v>0</v>
      </c>
      <c r="N89">
        <v>256142.72</v>
      </c>
      <c r="O89">
        <v>291446.92</v>
      </c>
      <c r="P89">
        <v>270195.55</v>
      </c>
      <c r="Q89">
        <v>0</v>
      </c>
      <c r="R89">
        <v>0</v>
      </c>
      <c r="S89">
        <v>0</v>
      </c>
      <c r="T89">
        <v>0</v>
      </c>
      <c r="U89">
        <v>0</v>
      </c>
      <c r="V89">
        <v>171260.53</v>
      </c>
      <c r="W89">
        <v>0</v>
      </c>
      <c r="X89">
        <v>0</v>
      </c>
      <c r="Y89">
        <v>0</v>
      </c>
      <c r="Z89">
        <v>68627.600000000006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484927.18</v>
      </c>
      <c r="AH89">
        <v>0</v>
      </c>
      <c r="AI89">
        <v>0</v>
      </c>
      <c r="AJ89">
        <v>2230837847.41538</v>
      </c>
    </row>
    <row r="90" spans="1:36" x14ac:dyDescent="0.25">
      <c r="A90" t="s">
        <v>527</v>
      </c>
      <c r="B90" t="s">
        <v>13</v>
      </c>
      <c r="D90">
        <v>20587.900000000001</v>
      </c>
      <c r="E90">
        <v>7211.61</v>
      </c>
      <c r="G90">
        <v>0.107451</v>
      </c>
      <c r="H90">
        <v>0</v>
      </c>
      <c r="I90">
        <v>302602.57</v>
      </c>
      <c r="J90">
        <v>394508.4</v>
      </c>
      <c r="K90">
        <v>0</v>
      </c>
      <c r="L90">
        <v>436518</v>
      </c>
      <c r="M90">
        <v>0</v>
      </c>
      <c r="N90">
        <v>165120.98000000001</v>
      </c>
      <c r="O90">
        <v>79245.5</v>
      </c>
      <c r="P90">
        <v>82473.919999999998</v>
      </c>
      <c r="Q90">
        <v>0</v>
      </c>
      <c r="R90">
        <v>0</v>
      </c>
      <c r="S90">
        <v>0</v>
      </c>
      <c r="T90">
        <v>0</v>
      </c>
      <c r="U90">
        <v>0</v>
      </c>
      <c r="V90">
        <v>475923.25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176286.64</v>
      </c>
      <c r="AH90">
        <v>0</v>
      </c>
      <c r="AI90">
        <v>0</v>
      </c>
      <c r="AJ90">
        <v>1708119088.8724899</v>
      </c>
    </row>
    <row r="91" spans="1:36" x14ac:dyDescent="0.25">
      <c r="A91" t="s">
        <v>528</v>
      </c>
      <c r="B91" t="s">
        <v>13</v>
      </c>
      <c r="C91">
        <v>7211.61</v>
      </c>
      <c r="D91">
        <v>20587.900000000001</v>
      </c>
      <c r="G91">
        <v>0.107451</v>
      </c>
      <c r="H91">
        <v>0</v>
      </c>
      <c r="I91">
        <v>336744.24</v>
      </c>
      <c r="J91">
        <v>394508.4</v>
      </c>
      <c r="K91">
        <v>0</v>
      </c>
      <c r="L91">
        <v>436518</v>
      </c>
      <c r="M91">
        <v>0</v>
      </c>
      <c r="N91">
        <v>165118.93</v>
      </c>
      <c r="O91">
        <v>95243.73</v>
      </c>
      <c r="P91">
        <v>85350.58</v>
      </c>
      <c r="Q91">
        <v>0</v>
      </c>
      <c r="R91">
        <v>0</v>
      </c>
      <c r="S91">
        <v>0</v>
      </c>
      <c r="T91">
        <v>0</v>
      </c>
      <c r="U91">
        <v>0</v>
      </c>
      <c r="V91">
        <v>476332.28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176286.24</v>
      </c>
      <c r="AH91">
        <v>0</v>
      </c>
      <c r="AI91">
        <v>0</v>
      </c>
      <c r="AJ91">
        <v>1764914568.9592299</v>
      </c>
    </row>
    <row r="92" spans="1:36" x14ac:dyDescent="0.25">
      <c r="A92" t="s">
        <v>529</v>
      </c>
      <c r="B92" t="s">
        <v>13</v>
      </c>
      <c r="D92">
        <v>1300.9000000000001</v>
      </c>
      <c r="E92">
        <v>455.68</v>
      </c>
      <c r="G92">
        <v>6.79E-3</v>
      </c>
      <c r="H92">
        <v>0</v>
      </c>
      <c r="I92">
        <v>5955.52</v>
      </c>
      <c r="J92">
        <v>12134.67</v>
      </c>
      <c r="K92">
        <v>0</v>
      </c>
      <c r="L92">
        <v>29466.65</v>
      </c>
      <c r="M92">
        <v>0</v>
      </c>
      <c r="N92">
        <v>55412.959999999999</v>
      </c>
      <c r="O92">
        <v>2642.21</v>
      </c>
      <c r="P92">
        <v>2578.13</v>
      </c>
      <c r="Q92">
        <v>0</v>
      </c>
      <c r="R92">
        <v>0</v>
      </c>
      <c r="S92">
        <v>0</v>
      </c>
      <c r="T92">
        <v>0</v>
      </c>
      <c r="U92">
        <v>0</v>
      </c>
      <c r="V92">
        <v>3632.97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4672.42</v>
      </c>
      <c r="AH92">
        <v>0</v>
      </c>
      <c r="AI92">
        <v>0</v>
      </c>
      <c r="AJ92">
        <v>69535291.864686206</v>
      </c>
    </row>
    <row r="93" spans="1:36" x14ac:dyDescent="0.25">
      <c r="A93" t="s">
        <v>530</v>
      </c>
      <c r="B93" t="s">
        <v>13</v>
      </c>
      <c r="C93">
        <v>455.68</v>
      </c>
      <c r="D93">
        <v>1300.9000000000001</v>
      </c>
      <c r="G93">
        <v>6.79E-3</v>
      </c>
      <c r="H93">
        <v>0</v>
      </c>
      <c r="I93">
        <v>8804.49</v>
      </c>
      <c r="J93">
        <v>12134.67</v>
      </c>
      <c r="K93">
        <v>0</v>
      </c>
      <c r="L93">
        <v>29466.65</v>
      </c>
      <c r="M93">
        <v>0</v>
      </c>
      <c r="N93">
        <v>55412.959999999999</v>
      </c>
      <c r="O93">
        <v>4579.8</v>
      </c>
      <c r="P93">
        <v>3501.93</v>
      </c>
      <c r="Q93">
        <v>0</v>
      </c>
      <c r="R93">
        <v>0</v>
      </c>
      <c r="S93">
        <v>0</v>
      </c>
      <c r="T93">
        <v>0</v>
      </c>
      <c r="U93">
        <v>0</v>
      </c>
      <c r="V93">
        <v>3632.97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4672.42</v>
      </c>
      <c r="AH93">
        <v>0</v>
      </c>
      <c r="AI93">
        <v>0</v>
      </c>
      <c r="AJ93">
        <v>84199169.789887995</v>
      </c>
    </row>
    <row r="94" spans="1:36" x14ac:dyDescent="0.25">
      <c r="A94" t="s">
        <v>531</v>
      </c>
      <c r="B94" t="s">
        <v>13</v>
      </c>
      <c r="D94">
        <v>20469.16</v>
      </c>
      <c r="E94">
        <v>7170.02</v>
      </c>
      <c r="G94">
        <v>0.106831</v>
      </c>
      <c r="H94">
        <v>0</v>
      </c>
      <c r="I94">
        <v>327009.96999999997</v>
      </c>
      <c r="J94">
        <v>239542.44</v>
      </c>
      <c r="K94">
        <v>0</v>
      </c>
      <c r="L94">
        <v>831153.37</v>
      </c>
      <c r="M94">
        <v>0</v>
      </c>
      <c r="N94">
        <v>151340.01</v>
      </c>
      <c r="O94">
        <v>140438.01</v>
      </c>
      <c r="P94">
        <v>150234.94</v>
      </c>
      <c r="Q94">
        <v>0</v>
      </c>
      <c r="R94">
        <v>0</v>
      </c>
      <c r="S94">
        <v>0</v>
      </c>
      <c r="T94">
        <v>0</v>
      </c>
      <c r="U94">
        <v>0</v>
      </c>
      <c r="V94">
        <v>219030.45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115357.41</v>
      </c>
      <c r="AH94">
        <v>0</v>
      </c>
      <c r="AI94">
        <v>0</v>
      </c>
      <c r="AJ94">
        <v>1391981805.28988</v>
      </c>
    </row>
    <row r="95" spans="1:36" x14ac:dyDescent="0.25">
      <c r="A95" t="s">
        <v>532</v>
      </c>
      <c r="B95" t="s">
        <v>13</v>
      </c>
      <c r="C95">
        <v>7170.02</v>
      </c>
      <c r="D95">
        <v>20469.16</v>
      </c>
      <c r="G95">
        <v>0.106831</v>
      </c>
      <c r="H95">
        <v>0</v>
      </c>
      <c r="I95">
        <v>452065.65</v>
      </c>
      <c r="J95">
        <v>239542.44</v>
      </c>
      <c r="K95">
        <v>0</v>
      </c>
      <c r="L95">
        <v>831153.37</v>
      </c>
      <c r="M95">
        <v>0</v>
      </c>
      <c r="N95">
        <v>151697.17000000001</v>
      </c>
      <c r="O95">
        <v>173655.57</v>
      </c>
      <c r="P95">
        <v>160228.87</v>
      </c>
      <c r="Q95">
        <v>0</v>
      </c>
      <c r="R95">
        <v>0</v>
      </c>
      <c r="S95">
        <v>0</v>
      </c>
      <c r="T95">
        <v>0</v>
      </c>
      <c r="U95">
        <v>0</v>
      </c>
      <c r="V95">
        <v>218343.51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115355.4</v>
      </c>
      <c r="AH95">
        <v>0</v>
      </c>
      <c r="AI95">
        <v>0</v>
      </c>
      <c r="AJ95">
        <v>1558475626.5818801</v>
      </c>
    </row>
    <row r="96" spans="1:36" x14ac:dyDescent="0.25">
      <c r="A96" t="s">
        <v>533</v>
      </c>
      <c r="B96" t="s">
        <v>13</v>
      </c>
      <c r="D96">
        <v>3647.44</v>
      </c>
      <c r="E96">
        <v>1277.6400000000001</v>
      </c>
      <c r="G96">
        <v>1.9036000000000001E-2</v>
      </c>
      <c r="H96">
        <v>0</v>
      </c>
      <c r="I96">
        <v>83494.960000000006</v>
      </c>
      <c r="J96">
        <v>103288.37</v>
      </c>
      <c r="K96">
        <v>0</v>
      </c>
      <c r="L96">
        <v>282049.05</v>
      </c>
      <c r="M96">
        <v>0</v>
      </c>
      <c r="N96">
        <v>61157.03</v>
      </c>
      <c r="O96">
        <v>12605.72</v>
      </c>
      <c r="P96">
        <v>12922.83</v>
      </c>
      <c r="Q96">
        <v>0</v>
      </c>
      <c r="R96">
        <v>0</v>
      </c>
      <c r="S96">
        <v>0</v>
      </c>
      <c r="T96">
        <v>0</v>
      </c>
      <c r="U96">
        <v>0</v>
      </c>
      <c r="V96">
        <v>70651.59</v>
      </c>
      <c r="W96">
        <v>0</v>
      </c>
      <c r="X96">
        <v>0</v>
      </c>
      <c r="Y96">
        <v>0</v>
      </c>
      <c r="Z96">
        <v>65854.75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125812.93</v>
      </c>
      <c r="AH96">
        <v>0</v>
      </c>
      <c r="AI96">
        <v>0</v>
      </c>
      <c r="AJ96">
        <v>347092233.47907901</v>
      </c>
    </row>
    <row r="97" spans="1:36" x14ac:dyDescent="0.25">
      <c r="A97" t="s">
        <v>534</v>
      </c>
      <c r="B97" t="s">
        <v>13</v>
      </c>
      <c r="C97">
        <v>1277.6400000000001</v>
      </c>
      <c r="D97">
        <v>3647.44</v>
      </c>
      <c r="G97">
        <v>1.9036000000000001E-2</v>
      </c>
      <c r="H97">
        <v>0</v>
      </c>
      <c r="I97">
        <v>89576.99</v>
      </c>
      <c r="J97">
        <v>103288.37</v>
      </c>
      <c r="K97">
        <v>0</v>
      </c>
      <c r="L97">
        <v>282049.05</v>
      </c>
      <c r="M97">
        <v>0</v>
      </c>
      <c r="N97">
        <v>61202.89</v>
      </c>
      <c r="O97">
        <v>14069.01</v>
      </c>
      <c r="P97">
        <v>12971.41</v>
      </c>
      <c r="Q97">
        <v>0</v>
      </c>
      <c r="R97">
        <v>0</v>
      </c>
      <c r="S97">
        <v>0</v>
      </c>
      <c r="T97">
        <v>0</v>
      </c>
      <c r="U97">
        <v>0</v>
      </c>
      <c r="V97">
        <v>70728.5</v>
      </c>
      <c r="W97">
        <v>0</v>
      </c>
      <c r="X97">
        <v>0</v>
      </c>
      <c r="Y97">
        <v>0</v>
      </c>
      <c r="Z97">
        <v>65854.75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125808.94</v>
      </c>
      <c r="AH97">
        <v>0</v>
      </c>
      <c r="AI97">
        <v>0</v>
      </c>
      <c r="AJ97">
        <v>374146781.41604799</v>
      </c>
    </row>
    <row r="98" spans="1:36" x14ac:dyDescent="0.25">
      <c r="A98" t="s">
        <v>535</v>
      </c>
      <c r="B98" t="s">
        <v>13</v>
      </c>
      <c r="D98">
        <v>34658.36</v>
      </c>
      <c r="E98">
        <v>12140.27</v>
      </c>
      <c r="G98">
        <v>0.18088699999999999</v>
      </c>
      <c r="H98">
        <v>0</v>
      </c>
      <c r="I98">
        <v>577027.05000000005</v>
      </c>
      <c r="J98">
        <v>626942.71</v>
      </c>
      <c r="K98">
        <v>0</v>
      </c>
      <c r="L98">
        <v>1141299.43</v>
      </c>
      <c r="M98">
        <v>0</v>
      </c>
      <c r="N98">
        <v>252659.74</v>
      </c>
      <c r="O98">
        <v>289860.89</v>
      </c>
      <c r="P98">
        <v>310107.94</v>
      </c>
      <c r="Q98">
        <v>0</v>
      </c>
      <c r="R98">
        <v>0</v>
      </c>
      <c r="S98">
        <v>0</v>
      </c>
      <c r="T98">
        <v>0</v>
      </c>
      <c r="U98">
        <v>0</v>
      </c>
      <c r="V98">
        <v>662914.57999999996</v>
      </c>
      <c r="W98">
        <v>0</v>
      </c>
      <c r="X98">
        <v>0</v>
      </c>
      <c r="Y98">
        <v>0</v>
      </c>
      <c r="Z98">
        <v>43737.51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274233.02</v>
      </c>
      <c r="AH98">
        <v>0</v>
      </c>
      <c r="AI98">
        <v>0</v>
      </c>
      <c r="AJ98">
        <v>2535393920.8281398</v>
      </c>
    </row>
    <row r="99" spans="1:36" x14ac:dyDescent="0.25">
      <c r="A99" t="s">
        <v>536</v>
      </c>
      <c r="B99" t="s">
        <v>13</v>
      </c>
      <c r="C99">
        <v>12140.27</v>
      </c>
      <c r="D99">
        <v>34658.36</v>
      </c>
      <c r="G99">
        <v>0.18088699999999999</v>
      </c>
      <c r="H99">
        <v>0</v>
      </c>
      <c r="I99">
        <v>757498.2</v>
      </c>
      <c r="J99">
        <v>626942.71</v>
      </c>
      <c r="K99">
        <v>0</v>
      </c>
      <c r="L99">
        <v>1141299.43</v>
      </c>
      <c r="M99">
        <v>0</v>
      </c>
      <c r="N99">
        <v>252759.62</v>
      </c>
      <c r="O99">
        <v>351806.61</v>
      </c>
      <c r="P99">
        <v>322044.27</v>
      </c>
      <c r="Q99">
        <v>0</v>
      </c>
      <c r="R99">
        <v>0</v>
      </c>
      <c r="S99">
        <v>0</v>
      </c>
      <c r="T99">
        <v>0</v>
      </c>
      <c r="U99">
        <v>0</v>
      </c>
      <c r="V99">
        <v>661267.93000000005</v>
      </c>
      <c r="W99">
        <v>0</v>
      </c>
      <c r="X99">
        <v>0</v>
      </c>
      <c r="Y99">
        <v>0</v>
      </c>
      <c r="Z99">
        <v>43737.51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274229.78000000003</v>
      </c>
      <c r="AH99">
        <v>0</v>
      </c>
      <c r="AI99">
        <v>0</v>
      </c>
      <c r="AJ99">
        <v>2572623618.1321502</v>
      </c>
    </row>
    <row r="100" spans="1:36" x14ac:dyDescent="0.25">
      <c r="A100" t="s">
        <v>537</v>
      </c>
      <c r="B100" t="s">
        <v>13</v>
      </c>
      <c r="D100">
        <v>56813.42</v>
      </c>
      <c r="E100">
        <v>19900.84</v>
      </c>
      <c r="G100">
        <v>0.29651699999999998</v>
      </c>
      <c r="H100">
        <v>0</v>
      </c>
      <c r="I100">
        <v>832452.37</v>
      </c>
      <c r="J100">
        <v>643032.05000000005</v>
      </c>
      <c r="K100">
        <v>0</v>
      </c>
      <c r="L100">
        <v>3553012.2</v>
      </c>
      <c r="M100">
        <v>0</v>
      </c>
      <c r="N100">
        <v>824633.97</v>
      </c>
      <c r="O100">
        <v>190398.94</v>
      </c>
      <c r="P100">
        <v>202384.77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450074.31</v>
      </c>
      <c r="W100">
        <v>0</v>
      </c>
      <c r="X100">
        <v>0</v>
      </c>
      <c r="Y100">
        <v>0</v>
      </c>
      <c r="Z100">
        <v>127428.8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736685.04</v>
      </c>
      <c r="AH100">
        <v>0</v>
      </c>
      <c r="AI100">
        <v>0</v>
      </c>
      <c r="AJ100">
        <v>5096097589.7925901</v>
      </c>
    </row>
    <row r="101" spans="1:36" x14ac:dyDescent="0.25">
      <c r="A101" t="s">
        <v>538</v>
      </c>
      <c r="B101" t="s">
        <v>13</v>
      </c>
      <c r="D101">
        <v>4250.0600000000004</v>
      </c>
      <c r="E101">
        <v>1488.73</v>
      </c>
      <c r="G101">
        <v>2.2182E-2</v>
      </c>
      <c r="H101">
        <v>0</v>
      </c>
      <c r="I101">
        <v>84801.03</v>
      </c>
      <c r="J101">
        <v>94437.9</v>
      </c>
      <c r="K101">
        <v>0</v>
      </c>
      <c r="L101">
        <v>258328.15</v>
      </c>
      <c r="M101">
        <v>0</v>
      </c>
      <c r="N101">
        <v>321131.92</v>
      </c>
      <c r="O101">
        <v>15045.62</v>
      </c>
      <c r="P101">
        <v>16077.01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121133.37</v>
      </c>
      <c r="W101">
        <v>0</v>
      </c>
      <c r="X101">
        <v>0</v>
      </c>
      <c r="Y101">
        <v>0</v>
      </c>
      <c r="Z101">
        <v>64094.3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231731.03</v>
      </c>
      <c r="AH101">
        <v>0</v>
      </c>
      <c r="AI101">
        <v>0</v>
      </c>
      <c r="AJ101">
        <v>587562191.11263299</v>
      </c>
    </row>
    <row r="102" spans="1:36" x14ac:dyDescent="0.25">
      <c r="A102" t="s">
        <v>539</v>
      </c>
      <c r="B102" t="s">
        <v>13</v>
      </c>
      <c r="C102">
        <v>1488.73</v>
      </c>
      <c r="D102">
        <v>4250.0600000000004</v>
      </c>
      <c r="G102">
        <v>2.2182E-2</v>
      </c>
      <c r="H102">
        <v>0</v>
      </c>
      <c r="I102">
        <v>97256.67</v>
      </c>
      <c r="J102">
        <v>94437.9</v>
      </c>
      <c r="K102">
        <v>0</v>
      </c>
      <c r="L102">
        <v>258328.15</v>
      </c>
      <c r="M102">
        <v>0</v>
      </c>
      <c r="N102">
        <v>321135.98</v>
      </c>
      <c r="O102">
        <v>17427</v>
      </c>
      <c r="P102">
        <v>16200.31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120995.1</v>
      </c>
      <c r="W102">
        <v>0</v>
      </c>
      <c r="X102">
        <v>0</v>
      </c>
      <c r="Y102">
        <v>0</v>
      </c>
      <c r="Z102">
        <v>64094.3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231726.04</v>
      </c>
      <c r="AH102">
        <v>0</v>
      </c>
      <c r="AI102">
        <v>0</v>
      </c>
      <c r="AJ102">
        <v>631452013.91969395</v>
      </c>
    </row>
    <row r="103" spans="1:36" x14ac:dyDescent="0.25">
      <c r="A103" t="s">
        <v>540</v>
      </c>
      <c r="B103" t="s">
        <v>13</v>
      </c>
      <c r="C103">
        <v>19900.84</v>
      </c>
      <c r="D103">
        <v>56813.42</v>
      </c>
      <c r="G103">
        <v>0.29651699999999998</v>
      </c>
      <c r="H103">
        <v>0</v>
      </c>
      <c r="I103">
        <v>945251.9</v>
      </c>
      <c r="J103">
        <v>643032.05000000005</v>
      </c>
      <c r="K103">
        <v>0</v>
      </c>
      <c r="L103">
        <v>3553012.2</v>
      </c>
      <c r="M103">
        <v>0</v>
      </c>
      <c r="N103">
        <v>824788.68</v>
      </c>
      <c r="O103">
        <v>222058.84</v>
      </c>
      <c r="P103">
        <v>204338.85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450181.72</v>
      </c>
      <c r="W103">
        <v>0</v>
      </c>
      <c r="X103">
        <v>0</v>
      </c>
      <c r="Y103">
        <v>0</v>
      </c>
      <c r="Z103">
        <v>127428.8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736789.26</v>
      </c>
      <c r="AH103">
        <v>0</v>
      </c>
      <c r="AI103">
        <v>0</v>
      </c>
      <c r="AJ103">
        <v>5496686037.9508896</v>
      </c>
    </row>
    <row r="104" spans="1:36" x14ac:dyDescent="0.25">
      <c r="A104" t="s">
        <v>542</v>
      </c>
      <c r="B104" t="s">
        <v>13</v>
      </c>
      <c r="C104">
        <v>9403.6</v>
      </c>
      <c r="D104">
        <v>26845.64</v>
      </c>
      <c r="G104">
        <v>0.14011100000000001</v>
      </c>
      <c r="H104">
        <v>0</v>
      </c>
      <c r="I104">
        <v>575825.32999999996</v>
      </c>
      <c r="J104">
        <v>163686.57</v>
      </c>
      <c r="K104">
        <v>0</v>
      </c>
      <c r="L104">
        <v>936314.72</v>
      </c>
      <c r="M104">
        <v>0</v>
      </c>
      <c r="N104">
        <v>230518.04</v>
      </c>
      <c r="O104">
        <v>213318.14</v>
      </c>
      <c r="P104">
        <v>197883.68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232306.83</v>
      </c>
      <c r="W104">
        <v>0</v>
      </c>
      <c r="X104">
        <v>0</v>
      </c>
      <c r="Y104">
        <v>0</v>
      </c>
      <c r="Z104">
        <v>68627.600000000006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484904.26</v>
      </c>
      <c r="AH104">
        <v>0</v>
      </c>
      <c r="AI104">
        <v>0</v>
      </c>
      <c r="AJ104">
        <v>1834350600.0276201</v>
      </c>
    </row>
    <row r="105" spans="1:36" x14ac:dyDescent="0.25">
      <c r="A105" t="s">
        <v>543</v>
      </c>
      <c r="B105" t="s">
        <v>13</v>
      </c>
      <c r="D105">
        <v>26845.64</v>
      </c>
      <c r="E105">
        <v>9403.6</v>
      </c>
      <c r="G105">
        <v>0.14011100000000001</v>
      </c>
      <c r="H105">
        <v>0</v>
      </c>
      <c r="I105">
        <v>313476.95</v>
      </c>
      <c r="J105">
        <v>163686.57</v>
      </c>
      <c r="K105">
        <v>0</v>
      </c>
      <c r="L105">
        <v>936314.72</v>
      </c>
      <c r="M105">
        <v>0</v>
      </c>
      <c r="N105">
        <v>230496.68</v>
      </c>
      <c r="O105">
        <v>177924.02</v>
      </c>
      <c r="P105">
        <v>193800.46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232014.95</v>
      </c>
      <c r="W105">
        <v>0</v>
      </c>
      <c r="X105">
        <v>0</v>
      </c>
      <c r="Y105">
        <v>0</v>
      </c>
      <c r="Z105">
        <v>68627.600000000006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484914.33</v>
      </c>
      <c r="AH105">
        <v>0</v>
      </c>
      <c r="AI105">
        <v>0</v>
      </c>
      <c r="AJ105">
        <v>1570914696.8286099</v>
      </c>
    </row>
    <row r="106" spans="1:36" x14ac:dyDescent="0.25">
      <c r="A106" t="s">
        <v>600</v>
      </c>
      <c r="B106" t="s">
        <v>13</v>
      </c>
      <c r="C106">
        <v>1447.91</v>
      </c>
      <c r="D106">
        <v>4133.54</v>
      </c>
      <c r="G106">
        <v>2.1573999999999999E-2</v>
      </c>
      <c r="H106">
        <v>0</v>
      </c>
      <c r="I106">
        <v>111421.12</v>
      </c>
      <c r="J106">
        <v>125722.95</v>
      </c>
      <c r="K106">
        <v>0</v>
      </c>
      <c r="L106">
        <v>179632.92</v>
      </c>
      <c r="M106">
        <v>0</v>
      </c>
      <c r="N106">
        <v>44489.53</v>
      </c>
      <c r="O106">
        <v>18747.13</v>
      </c>
      <c r="P106">
        <v>17259.12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46222.73</v>
      </c>
      <c r="W106">
        <v>0</v>
      </c>
      <c r="X106">
        <v>0</v>
      </c>
      <c r="Y106">
        <v>0</v>
      </c>
      <c r="Z106">
        <v>25988.9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11862.67</v>
      </c>
      <c r="AH106">
        <v>0</v>
      </c>
      <c r="AI106">
        <v>0</v>
      </c>
      <c r="AJ106">
        <v>548153278.18091297</v>
      </c>
    </row>
    <row r="107" spans="1:36" x14ac:dyDescent="0.25">
      <c r="A107" t="s">
        <v>602</v>
      </c>
      <c r="B107" t="s">
        <v>13</v>
      </c>
      <c r="D107">
        <v>4133.54</v>
      </c>
      <c r="E107">
        <v>1447.91</v>
      </c>
      <c r="G107">
        <v>2.1573999999999999E-2</v>
      </c>
      <c r="H107">
        <v>0</v>
      </c>
      <c r="I107">
        <v>103144.33</v>
      </c>
      <c r="J107">
        <v>125722.95</v>
      </c>
      <c r="K107">
        <v>0</v>
      </c>
      <c r="L107">
        <v>179632.92</v>
      </c>
      <c r="M107">
        <v>0</v>
      </c>
      <c r="N107">
        <v>44480.73</v>
      </c>
      <c r="O107">
        <v>16056.21</v>
      </c>
      <c r="P107">
        <v>17110.04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46215.92</v>
      </c>
      <c r="W107">
        <v>0</v>
      </c>
      <c r="X107">
        <v>0</v>
      </c>
      <c r="Y107">
        <v>0</v>
      </c>
      <c r="Z107">
        <v>25988.9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11866.86</v>
      </c>
      <c r="AH107">
        <v>0</v>
      </c>
      <c r="AI107">
        <v>0</v>
      </c>
      <c r="AJ107">
        <v>531150202.15147698</v>
      </c>
    </row>
    <row r="108" spans="1:36" x14ac:dyDescent="0.25">
      <c r="A108" t="s">
        <v>633</v>
      </c>
      <c r="B108" t="s">
        <v>13</v>
      </c>
      <c r="D108">
        <v>3567.31</v>
      </c>
      <c r="E108">
        <v>1249.57</v>
      </c>
      <c r="G108">
        <v>1.8617999999999999E-2</v>
      </c>
      <c r="H108">
        <v>0</v>
      </c>
      <c r="I108">
        <v>83588.33</v>
      </c>
      <c r="J108">
        <v>125722.95</v>
      </c>
      <c r="K108">
        <v>0</v>
      </c>
      <c r="L108">
        <v>179632.92</v>
      </c>
      <c r="M108">
        <v>0</v>
      </c>
      <c r="N108">
        <v>38092.68</v>
      </c>
      <c r="O108">
        <v>13797.3</v>
      </c>
      <c r="P108">
        <v>14680.47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39558.03</v>
      </c>
      <c r="W108">
        <v>0</v>
      </c>
      <c r="X108">
        <v>0</v>
      </c>
      <c r="Y108">
        <v>0</v>
      </c>
      <c r="Z108">
        <v>25988.9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11857.17</v>
      </c>
      <c r="AH108">
        <v>0</v>
      </c>
      <c r="AI108">
        <v>0</v>
      </c>
      <c r="AJ108">
        <v>467593367.75358599</v>
      </c>
    </row>
    <row r="109" spans="1:36" x14ac:dyDescent="0.25">
      <c r="A109" t="s">
        <v>634</v>
      </c>
      <c r="B109" t="s">
        <v>13</v>
      </c>
      <c r="C109">
        <v>1249.57</v>
      </c>
      <c r="D109">
        <v>3567.31</v>
      </c>
      <c r="G109">
        <v>1.8617999999999999E-2</v>
      </c>
      <c r="H109">
        <v>0</v>
      </c>
      <c r="I109">
        <v>90354.16</v>
      </c>
      <c r="J109">
        <v>125722.95</v>
      </c>
      <c r="K109">
        <v>0</v>
      </c>
      <c r="L109">
        <v>179632.92</v>
      </c>
      <c r="M109">
        <v>0</v>
      </c>
      <c r="N109">
        <v>38096.21</v>
      </c>
      <c r="O109">
        <v>16090.93</v>
      </c>
      <c r="P109">
        <v>14811.85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39621.19</v>
      </c>
      <c r="W109">
        <v>0</v>
      </c>
      <c r="X109">
        <v>0</v>
      </c>
      <c r="Y109">
        <v>0</v>
      </c>
      <c r="Z109">
        <v>25988.9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11781.22</v>
      </c>
      <c r="AH109">
        <v>0</v>
      </c>
      <c r="AI109">
        <v>0</v>
      </c>
      <c r="AJ109">
        <v>481338408.37987399</v>
      </c>
    </row>
    <row r="110" spans="1:36" x14ac:dyDescent="0.25">
      <c r="A110" t="s">
        <v>255</v>
      </c>
      <c r="B110" t="s">
        <v>14</v>
      </c>
      <c r="C110">
        <v>8402.17</v>
      </c>
      <c r="D110">
        <v>23986.720000000001</v>
      </c>
      <c r="G110">
        <v>0.12519</v>
      </c>
      <c r="H110">
        <v>0</v>
      </c>
      <c r="I110">
        <v>628072.87</v>
      </c>
      <c r="J110">
        <v>774617.57</v>
      </c>
      <c r="K110">
        <v>0</v>
      </c>
      <c r="L110">
        <v>436518</v>
      </c>
      <c r="M110">
        <v>0</v>
      </c>
      <c r="N110">
        <v>227845.29</v>
      </c>
      <c r="O110">
        <v>125971.47</v>
      </c>
      <c r="P110">
        <v>112831.11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366917.39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170226.86</v>
      </c>
      <c r="AH110">
        <v>0</v>
      </c>
      <c r="AI110">
        <v>0</v>
      </c>
      <c r="AJ110">
        <v>2481870198.8495698</v>
      </c>
    </row>
    <row r="111" spans="1:36" x14ac:dyDescent="0.25">
      <c r="A111" t="s">
        <v>256</v>
      </c>
      <c r="B111" t="s">
        <v>14</v>
      </c>
      <c r="D111">
        <v>23986.720000000001</v>
      </c>
      <c r="E111">
        <v>8402.17</v>
      </c>
      <c r="G111">
        <v>0.12519</v>
      </c>
      <c r="H111">
        <v>0</v>
      </c>
      <c r="I111">
        <v>602142.4</v>
      </c>
      <c r="J111">
        <v>774617.57</v>
      </c>
      <c r="K111">
        <v>0</v>
      </c>
      <c r="L111">
        <v>436518</v>
      </c>
      <c r="M111">
        <v>0</v>
      </c>
      <c r="N111">
        <v>227846.94</v>
      </c>
      <c r="O111">
        <v>105510.93</v>
      </c>
      <c r="P111">
        <v>106955.38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365805.1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170226.89</v>
      </c>
      <c r="AH111">
        <v>0</v>
      </c>
      <c r="AI111">
        <v>0</v>
      </c>
      <c r="AJ111">
        <v>2485631563.3695202</v>
      </c>
    </row>
    <row r="112" spans="1:36" x14ac:dyDescent="0.25">
      <c r="A112" t="s">
        <v>257</v>
      </c>
      <c r="B112" t="s">
        <v>14</v>
      </c>
      <c r="D112">
        <v>33296.29</v>
      </c>
      <c r="E112">
        <v>11663.16</v>
      </c>
      <c r="G112">
        <v>0.17377799999999999</v>
      </c>
      <c r="H112">
        <v>0</v>
      </c>
      <c r="I112">
        <v>776259.73</v>
      </c>
      <c r="J112">
        <v>463682.79</v>
      </c>
      <c r="K112">
        <v>0</v>
      </c>
      <c r="L112">
        <v>831153.37</v>
      </c>
      <c r="M112">
        <v>0</v>
      </c>
      <c r="N112">
        <v>237944.38</v>
      </c>
      <c r="O112">
        <v>229232.17</v>
      </c>
      <c r="P112">
        <v>245263.07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660914.11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111411.6</v>
      </c>
      <c r="AH112">
        <v>0</v>
      </c>
      <c r="AI112">
        <v>0</v>
      </c>
      <c r="AJ112">
        <v>2075494651.8278201</v>
      </c>
    </row>
    <row r="113" spans="1:36" x14ac:dyDescent="0.25">
      <c r="A113" t="s">
        <v>258</v>
      </c>
      <c r="B113" t="s">
        <v>14</v>
      </c>
      <c r="D113">
        <v>2515.5500000000002</v>
      </c>
      <c r="E113">
        <v>881.16</v>
      </c>
      <c r="G113">
        <v>1.3129E-2</v>
      </c>
      <c r="H113">
        <v>0</v>
      </c>
      <c r="I113">
        <v>30445.119999999999</v>
      </c>
      <c r="J113">
        <v>23792.959999999999</v>
      </c>
      <c r="K113">
        <v>0</v>
      </c>
      <c r="L113">
        <v>29466.65</v>
      </c>
      <c r="M113">
        <v>0</v>
      </c>
      <c r="N113">
        <v>114175.89</v>
      </c>
      <c r="O113">
        <v>8949.1</v>
      </c>
      <c r="P113">
        <v>9212.2199999999993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1512.21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4532.7</v>
      </c>
      <c r="AH113">
        <v>0</v>
      </c>
      <c r="AI113">
        <v>0</v>
      </c>
      <c r="AJ113">
        <v>175031952.13324001</v>
      </c>
    </row>
    <row r="114" spans="1:36" x14ac:dyDescent="0.25">
      <c r="A114" t="s">
        <v>259</v>
      </c>
      <c r="B114" t="s">
        <v>14</v>
      </c>
      <c r="C114">
        <v>881.16</v>
      </c>
      <c r="D114">
        <v>2515.5500000000002</v>
      </c>
      <c r="G114">
        <v>1.3129E-2</v>
      </c>
      <c r="H114">
        <v>0</v>
      </c>
      <c r="I114">
        <v>46515.39</v>
      </c>
      <c r="J114">
        <v>23792.959999999999</v>
      </c>
      <c r="K114">
        <v>0</v>
      </c>
      <c r="L114">
        <v>29466.65</v>
      </c>
      <c r="M114">
        <v>0</v>
      </c>
      <c r="N114">
        <v>114175.89</v>
      </c>
      <c r="O114">
        <v>14056.51</v>
      </c>
      <c r="P114">
        <v>11502.52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1512.21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4532.7</v>
      </c>
      <c r="AH114">
        <v>0</v>
      </c>
      <c r="AI114">
        <v>0</v>
      </c>
      <c r="AJ114">
        <v>213913516.03905001</v>
      </c>
    </row>
    <row r="115" spans="1:36" x14ac:dyDescent="0.25">
      <c r="A115" t="s">
        <v>260</v>
      </c>
      <c r="B115" t="s">
        <v>14</v>
      </c>
      <c r="D115">
        <v>5286.59</v>
      </c>
      <c r="E115">
        <v>1851.81</v>
      </c>
      <c r="G115">
        <v>2.7591000000000001E-2</v>
      </c>
      <c r="H115">
        <v>0</v>
      </c>
      <c r="I115">
        <v>174472.17</v>
      </c>
      <c r="J115">
        <v>201226.15</v>
      </c>
      <c r="K115">
        <v>0</v>
      </c>
      <c r="L115">
        <v>282049.05</v>
      </c>
      <c r="M115">
        <v>0</v>
      </c>
      <c r="N115">
        <v>107769.06</v>
      </c>
      <c r="O115">
        <v>21753.08</v>
      </c>
      <c r="P115">
        <v>22281.59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122594.98</v>
      </c>
      <c r="W115">
        <v>0</v>
      </c>
      <c r="X115">
        <v>0</v>
      </c>
      <c r="Y115">
        <v>0</v>
      </c>
      <c r="Z115">
        <v>65854.75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121506.39</v>
      </c>
      <c r="AH115">
        <v>0</v>
      </c>
      <c r="AI115">
        <v>0</v>
      </c>
      <c r="AJ115">
        <v>569553045.06166804</v>
      </c>
    </row>
    <row r="116" spans="1:36" x14ac:dyDescent="0.25">
      <c r="A116" t="s">
        <v>261</v>
      </c>
      <c r="B116" t="s">
        <v>14</v>
      </c>
      <c r="C116">
        <v>11663.16</v>
      </c>
      <c r="D116">
        <v>33296.29</v>
      </c>
      <c r="G116">
        <v>0.17377799999999999</v>
      </c>
      <c r="H116">
        <v>0</v>
      </c>
      <c r="I116">
        <v>992511.14</v>
      </c>
      <c r="J116">
        <v>463682.79</v>
      </c>
      <c r="K116">
        <v>0</v>
      </c>
      <c r="L116">
        <v>831153.37</v>
      </c>
      <c r="M116">
        <v>0</v>
      </c>
      <c r="N116">
        <v>239060.85</v>
      </c>
      <c r="O116">
        <v>269148.12</v>
      </c>
      <c r="P116">
        <v>248101.87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659097.11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111403.58</v>
      </c>
      <c r="AH116">
        <v>0</v>
      </c>
      <c r="AI116">
        <v>0</v>
      </c>
      <c r="AJ116">
        <v>2596283486.6064901</v>
      </c>
    </row>
    <row r="117" spans="1:36" x14ac:dyDescent="0.25">
      <c r="A117" t="s">
        <v>262</v>
      </c>
      <c r="B117" t="s">
        <v>14</v>
      </c>
      <c r="C117">
        <v>1851.81</v>
      </c>
      <c r="D117">
        <v>5286.59</v>
      </c>
      <c r="G117">
        <v>2.7591000000000001E-2</v>
      </c>
      <c r="H117">
        <v>0</v>
      </c>
      <c r="I117">
        <v>198944.31</v>
      </c>
      <c r="J117">
        <v>201226.15</v>
      </c>
      <c r="K117">
        <v>0</v>
      </c>
      <c r="L117">
        <v>282049.05</v>
      </c>
      <c r="M117">
        <v>0</v>
      </c>
      <c r="N117">
        <v>107776.17</v>
      </c>
      <c r="O117">
        <v>24220.44</v>
      </c>
      <c r="P117">
        <v>22343.38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122619.85</v>
      </c>
      <c r="W117">
        <v>0</v>
      </c>
      <c r="X117">
        <v>0</v>
      </c>
      <c r="Y117">
        <v>0</v>
      </c>
      <c r="Z117">
        <v>65854.75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121502.88</v>
      </c>
      <c r="AH117">
        <v>0</v>
      </c>
      <c r="AI117">
        <v>0</v>
      </c>
      <c r="AJ117">
        <v>618269519.41176295</v>
      </c>
    </row>
    <row r="118" spans="1:36" x14ac:dyDescent="0.25">
      <c r="A118" t="s">
        <v>263</v>
      </c>
      <c r="B118" t="s">
        <v>14</v>
      </c>
      <c r="D118">
        <v>40125.19</v>
      </c>
      <c r="E118">
        <v>14055.21</v>
      </c>
      <c r="G118">
        <v>0.20941899999999999</v>
      </c>
      <c r="H118">
        <v>0</v>
      </c>
      <c r="I118">
        <v>1059222.58</v>
      </c>
      <c r="J118">
        <v>857863.39</v>
      </c>
      <c r="K118">
        <v>0</v>
      </c>
      <c r="L118">
        <v>1141299.43</v>
      </c>
      <c r="M118">
        <v>0</v>
      </c>
      <c r="N118">
        <v>408287.49</v>
      </c>
      <c r="O118">
        <v>349011.21</v>
      </c>
      <c r="P118">
        <v>365875.84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761727.43</v>
      </c>
      <c r="W118">
        <v>0</v>
      </c>
      <c r="X118">
        <v>0</v>
      </c>
      <c r="Y118">
        <v>0</v>
      </c>
      <c r="Z118">
        <v>43737.51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264795.84999999998</v>
      </c>
      <c r="AH118">
        <v>0</v>
      </c>
      <c r="AI118">
        <v>0</v>
      </c>
      <c r="AJ118">
        <v>3069307956.5953999</v>
      </c>
    </row>
    <row r="119" spans="1:36" x14ac:dyDescent="0.25">
      <c r="A119" t="s">
        <v>264</v>
      </c>
      <c r="B119" t="s">
        <v>14</v>
      </c>
      <c r="C119">
        <v>14055.21</v>
      </c>
      <c r="D119">
        <v>40125.19</v>
      </c>
      <c r="G119">
        <v>0.20941899999999999</v>
      </c>
      <c r="H119">
        <v>0</v>
      </c>
      <c r="I119">
        <v>1281350.47</v>
      </c>
      <c r="J119">
        <v>857863.39</v>
      </c>
      <c r="K119">
        <v>0</v>
      </c>
      <c r="L119">
        <v>1141299.43</v>
      </c>
      <c r="M119">
        <v>0</v>
      </c>
      <c r="N119">
        <v>408854.6</v>
      </c>
      <c r="O119">
        <v>414536.98</v>
      </c>
      <c r="P119">
        <v>380107.7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756698.85</v>
      </c>
      <c r="W119">
        <v>0</v>
      </c>
      <c r="X119">
        <v>0</v>
      </c>
      <c r="Y119">
        <v>0</v>
      </c>
      <c r="Z119">
        <v>43737.51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264804.94</v>
      </c>
      <c r="AH119">
        <v>0</v>
      </c>
      <c r="AI119">
        <v>0</v>
      </c>
      <c r="AJ119">
        <v>3188777588.49652</v>
      </c>
    </row>
    <row r="120" spans="1:36" x14ac:dyDescent="0.25">
      <c r="A120" t="s">
        <v>265</v>
      </c>
      <c r="B120" t="s">
        <v>14</v>
      </c>
      <c r="C120">
        <v>2033.53</v>
      </c>
      <c r="D120">
        <v>5805.39</v>
      </c>
      <c r="G120">
        <v>3.0299E-2</v>
      </c>
      <c r="H120">
        <v>0</v>
      </c>
      <c r="I120">
        <v>213998.95</v>
      </c>
      <c r="J120">
        <v>197273.03</v>
      </c>
      <c r="K120">
        <v>0</v>
      </c>
      <c r="L120">
        <v>258328.15</v>
      </c>
      <c r="M120">
        <v>0</v>
      </c>
      <c r="N120">
        <v>356153.55</v>
      </c>
      <c r="O120">
        <v>28402.75</v>
      </c>
      <c r="P120">
        <v>26321.42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95072.45</v>
      </c>
      <c r="W120">
        <v>0</v>
      </c>
      <c r="X120">
        <v>0</v>
      </c>
      <c r="Y120">
        <v>0</v>
      </c>
      <c r="Z120">
        <v>64094.3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223734.47</v>
      </c>
      <c r="AH120">
        <v>0</v>
      </c>
      <c r="AI120">
        <v>0</v>
      </c>
      <c r="AJ120">
        <v>956654107.70182097</v>
      </c>
    </row>
    <row r="121" spans="1:36" x14ac:dyDescent="0.25">
      <c r="A121" t="s">
        <v>266</v>
      </c>
      <c r="B121" t="s">
        <v>14</v>
      </c>
      <c r="D121">
        <v>5805.39</v>
      </c>
      <c r="E121">
        <v>2033.53</v>
      </c>
      <c r="G121">
        <v>3.0299E-2</v>
      </c>
      <c r="H121">
        <v>0</v>
      </c>
      <c r="I121">
        <v>189698.12</v>
      </c>
      <c r="J121">
        <v>197273.03</v>
      </c>
      <c r="K121">
        <v>0</v>
      </c>
      <c r="L121">
        <v>258328.15</v>
      </c>
      <c r="M121">
        <v>0</v>
      </c>
      <c r="N121">
        <v>356110.31</v>
      </c>
      <c r="O121">
        <v>24763.69</v>
      </c>
      <c r="P121">
        <v>26118.42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96077.88</v>
      </c>
      <c r="W121">
        <v>0</v>
      </c>
      <c r="X121">
        <v>0</v>
      </c>
      <c r="Y121">
        <v>0</v>
      </c>
      <c r="Z121">
        <v>64094.3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223737.9</v>
      </c>
      <c r="AH121">
        <v>0</v>
      </c>
      <c r="AI121">
        <v>0</v>
      </c>
      <c r="AJ121">
        <v>897127526.98156595</v>
      </c>
    </row>
    <row r="122" spans="1:36" x14ac:dyDescent="0.25">
      <c r="A122" t="s">
        <v>267</v>
      </c>
      <c r="B122" t="s">
        <v>14</v>
      </c>
      <c r="C122">
        <v>28784.2</v>
      </c>
      <c r="D122">
        <v>82173.87</v>
      </c>
      <c r="G122">
        <v>0.42887700000000001</v>
      </c>
      <c r="H122">
        <v>0</v>
      </c>
      <c r="I122">
        <v>2240098.15</v>
      </c>
      <c r="J122">
        <v>1274541.22</v>
      </c>
      <c r="K122">
        <v>0</v>
      </c>
      <c r="L122">
        <v>3553012.2</v>
      </c>
      <c r="M122">
        <v>0</v>
      </c>
      <c r="N122">
        <v>1116581.3400000001</v>
      </c>
      <c r="O122">
        <v>411932.07</v>
      </c>
      <c r="P122">
        <v>378543.21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959874.59</v>
      </c>
      <c r="W122">
        <v>0</v>
      </c>
      <c r="X122">
        <v>0</v>
      </c>
      <c r="Y122">
        <v>0</v>
      </c>
      <c r="Z122">
        <v>127428.8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711143.03</v>
      </c>
      <c r="AH122">
        <v>0</v>
      </c>
      <c r="AI122">
        <v>0</v>
      </c>
      <c r="AJ122">
        <v>7913741437.9127398</v>
      </c>
    </row>
    <row r="123" spans="1:36" x14ac:dyDescent="0.25">
      <c r="A123" t="s">
        <v>268</v>
      </c>
      <c r="B123" t="s">
        <v>14</v>
      </c>
      <c r="D123">
        <v>82173.87</v>
      </c>
      <c r="E123">
        <v>28784.2</v>
      </c>
      <c r="G123">
        <v>0.42887700000000001</v>
      </c>
      <c r="H123">
        <v>0</v>
      </c>
      <c r="I123">
        <v>1872370.6</v>
      </c>
      <c r="J123">
        <v>1274541.22</v>
      </c>
      <c r="K123">
        <v>0</v>
      </c>
      <c r="L123">
        <v>3553012.2</v>
      </c>
      <c r="M123">
        <v>0</v>
      </c>
      <c r="N123">
        <v>1116630.46</v>
      </c>
      <c r="O123">
        <v>357597.16</v>
      </c>
      <c r="P123">
        <v>375559.38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960706.99</v>
      </c>
      <c r="W123">
        <v>0</v>
      </c>
      <c r="X123">
        <v>0</v>
      </c>
      <c r="Y123">
        <v>0</v>
      </c>
      <c r="Z123">
        <v>127428.8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711166.42</v>
      </c>
      <c r="AH123">
        <v>0</v>
      </c>
      <c r="AI123">
        <v>0</v>
      </c>
      <c r="AJ123">
        <v>7140352075.2938404</v>
      </c>
    </row>
    <row r="124" spans="1:36" x14ac:dyDescent="0.25">
      <c r="A124" t="s">
        <v>270</v>
      </c>
      <c r="B124" t="s">
        <v>14</v>
      </c>
      <c r="D124">
        <v>34919.870000000003</v>
      </c>
      <c r="E124">
        <v>12231.88</v>
      </c>
      <c r="G124">
        <v>0.182252</v>
      </c>
      <c r="H124">
        <v>0</v>
      </c>
      <c r="I124">
        <v>655938.59</v>
      </c>
      <c r="J124">
        <v>350734.07</v>
      </c>
      <c r="K124">
        <v>0</v>
      </c>
      <c r="L124">
        <v>936314.72</v>
      </c>
      <c r="M124">
        <v>0</v>
      </c>
      <c r="N124">
        <v>302679.32</v>
      </c>
      <c r="O124">
        <v>265529.52</v>
      </c>
      <c r="P124">
        <v>286420.26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239728.99</v>
      </c>
      <c r="W124">
        <v>0</v>
      </c>
      <c r="X124">
        <v>0</v>
      </c>
      <c r="Y124">
        <v>0</v>
      </c>
      <c r="Z124">
        <v>68627.600000000006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467639.01</v>
      </c>
      <c r="AH124">
        <v>0</v>
      </c>
      <c r="AI124">
        <v>0</v>
      </c>
      <c r="AJ124">
        <v>2341793066.2786398</v>
      </c>
    </row>
    <row r="125" spans="1:36" x14ac:dyDescent="0.25">
      <c r="A125" t="s">
        <v>271</v>
      </c>
      <c r="B125" t="s">
        <v>14</v>
      </c>
      <c r="C125">
        <v>12231.88</v>
      </c>
      <c r="D125">
        <v>34919.870000000003</v>
      </c>
      <c r="G125">
        <v>0.182252</v>
      </c>
      <c r="H125">
        <v>0</v>
      </c>
      <c r="I125">
        <v>1052355.0900000001</v>
      </c>
      <c r="J125">
        <v>350734.07</v>
      </c>
      <c r="K125">
        <v>0</v>
      </c>
      <c r="L125">
        <v>936314.72</v>
      </c>
      <c r="M125">
        <v>0</v>
      </c>
      <c r="N125">
        <v>302795.31</v>
      </c>
      <c r="O125">
        <v>314908.24</v>
      </c>
      <c r="P125">
        <v>293876.53000000003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241280.04</v>
      </c>
      <c r="W125">
        <v>0</v>
      </c>
      <c r="X125">
        <v>0</v>
      </c>
      <c r="Y125">
        <v>0</v>
      </c>
      <c r="Z125">
        <v>68627.600000000006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467599.86</v>
      </c>
      <c r="AH125">
        <v>0</v>
      </c>
      <c r="AI125">
        <v>0</v>
      </c>
      <c r="AJ125">
        <v>2640764580.6796098</v>
      </c>
    </row>
    <row r="126" spans="1:36" x14ac:dyDescent="0.25">
      <c r="A126" t="s">
        <v>511</v>
      </c>
      <c r="B126" t="s">
        <v>14</v>
      </c>
      <c r="C126">
        <v>7937.29</v>
      </c>
      <c r="D126">
        <v>22659.57</v>
      </c>
      <c r="G126">
        <v>0.11826299999999999</v>
      </c>
      <c r="H126">
        <v>0</v>
      </c>
      <c r="I126">
        <v>583761.06999999995</v>
      </c>
      <c r="J126">
        <v>394508.4</v>
      </c>
      <c r="K126">
        <v>0</v>
      </c>
      <c r="L126">
        <v>436518</v>
      </c>
      <c r="M126">
        <v>0</v>
      </c>
      <c r="N126">
        <v>207884.91</v>
      </c>
      <c r="O126">
        <v>117841.83</v>
      </c>
      <c r="P126">
        <v>106086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579481.44999999995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170237.69</v>
      </c>
      <c r="AH126">
        <v>0</v>
      </c>
      <c r="AI126">
        <v>0</v>
      </c>
      <c r="AJ126">
        <v>2075391600.6591301</v>
      </c>
    </row>
    <row r="127" spans="1:36" x14ac:dyDescent="0.25">
      <c r="A127" t="s">
        <v>512</v>
      </c>
      <c r="B127" t="s">
        <v>14</v>
      </c>
      <c r="D127">
        <v>22659.57</v>
      </c>
      <c r="E127">
        <v>7937.29</v>
      </c>
      <c r="G127">
        <v>0.11826299999999999</v>
      </c>
      <c r="H127">
        <v>0</v>
      </c>
      <c r="I127">
        <v>512008.73</v>
      </c>
      <c r="J127">
        <v>394508.4</v>
      </c>
      <c r="K127">
        <v>0</v>
      </c>
      <c r="L127">
        <v>436518</v>
      </c>
      <c r="M127">
        <v>0</v>
      </c>
      <c r="N127">
        <v>207663.17</v>
      </c>
      <c r="O127">
        <v>100348.35</v>
      </c>
      <c r="P127">
        <v>102616.69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578086.86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170237.53</v>
      </c>
      <c r="AH127">
        <v>0</v>
      </c>
      <c r="AI127">
        <v>0</v>
      </c>
      <c r="AJ127">
        <v>1980456920.8998101</v>
      </c>
    </row>
    <row r="128" spans="1:36" x14ac:dyDescent="0.25">
      <c r="A128" t="s">
        <v>513</v>
      </c>
      <c r="B128" t="s">
        <v>14</v>
      </c>
      <c r="D128">
        <v>1349.53</v>
      </c>
      <c r="E128">
        <v>472.72</v>
      </c>
      <c r="G128">
        <v>7.0429999999999998E-3</v>
      </c>
      <c r="H128">
        <v>0</v>
      </c>
      <c r="I128">
        <v>13560.63</v>
      </c>
      <c r="J128">
        <v>12134.67</v>
      </c>
      <c r="K128">
        <v>0</v>
      </c>
      <c r="L128">
        <v>29466.65</v>
      </c>
      <c r="M128">
        <v>0</v>
      </c>
      <c r="N128">
        <v>56910.03</v>
      </c>
      <c r="O128">
        <v>3620.56</v>
      </c>
      <c r="P128">
        <v>3714.18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2349.17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4532.5600000000004</v>
      </c>
      <c r="AH128">
        <v>0</v>
      </c>
      <c r="AI128">
        <v>0</v>
      </c>
      <c r="AJ128">
        <v>86671101.702216893</v>
      </c>
    </row>
    <row r="129" spans="1:36" x14ac:dyDescent="0.25">
      <c r="A129" t="s">
        <v>514</v>
      </c>
      <c r="B129" t="s">
        <v>14</v>
      </c>
      <c r="C129">
        <v>472.72</v>
      </c>
      <c r="D129">
        <v>1349.53</v>
      </c>
      <c r="G129">
        <v>7.0429999999999998E-3</v>
      </c>
      <c r="H129">
        <v>0</v>
      </c>
      <c r="I129">
        <v>21339.93</v>
      </c>
      <c r="J129">
        <v>12134.67</v>
      </c>
      <c r="K129">
        <v>0</v>
      </c>
      <c r="L129">
        <v>29466.65</v>
      </c>
      <c r="M129">
        <v>0</v>
      </c>
      <c r="N129">
        <v>56909.98</v>
      </c>
      <c r="O129">
        <v>5634.07</v>
      </c>
      <c r="P129">
        <v>4463.28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2349.17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4532.5600000000004</v>
      </c>
      <c r="AH129">
        <v>0</v>
      </c>
      <c r="AI129">
        <v>0</v>
      </c>
      <c r="AJ129">
        <v>102787242.13045999</v>
      </c>
    </row>
    <row r="130" spans="1:36" x14ac:dyDescent="0.25">
      <c r="A130" t="s">
        <v>515</v>
      </c>
      <c r="B130" t="s">
        <v>14</v>
      </c>
      <c r="D130">
        <v>21701.23</v>
      </c>
      <c r="E130">
        <v>7601.6</v>
      </c>
      <c r="G130">
        <v>0.113262</v>
      </c>
      <c r="H130">
        <v>0</v>
      </c>
      <c r="I130">
        <v>537564.18000000005</v>
      </c>
      <c r="J130">
        <v>239542.44</v>
      </c>
      <c r="K130">
        <v>0</v>
      </c>
      <c r="L130">
        <v>831153.37</v>
      </c>
      <c r="M130">
        <v>0</v>
      </c>
      <c r="N130">
        <v>192351.13</v>
      </c>
      <c r="O130">
        <v>155148.75</v>
      </c>
      <c r="P130">
        <v>164283.81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288976.68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111402.07</v>
      </c>
      <c r="AH130">
        <v>0</v>
      </c>
      <c r="AI130">
        <v>0</v>
      </c>
      <c r="AJ130">
        <v>1485346893.5016301</v>
      </c>
    </row>
    <row r="131" spans="1:36" x14ac:dyDescent="0.25">
      <c r="A131" t="s">
        <v>516</v>
      </c>
      <c r="B131" t="s">
        <v>14</v>
      </c>
      <c r="C131">
        <v>7601.6</v>
      </c>
      <c r="D131">
        <v>21701.23</v>
      </c>
      <c r="G131">
        <v>0.113262</v>
      </c>
      <c r="H131">
        <v>0</v>
      </c>
      <c r="I131">
        <v>675578.36</v>
      </c>
      <c r="J131">
        <v>239542.44</v>
      </c>
      <c r="K131">
        <v>0</v>
      </c>
      <c r="L131">
        <v>831153.37</v>
      </c>
      <c r="M131">
        <v>0</v>
      </c>
      <c r="N131">
        <v>192452.04</v>
      </c>
      <c r="O131">
        <v>186021.87</v>
      </c>
      <c r="P131">
        <v>172062.87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286274.55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111398.72</v>
      </c>
      <c r="AH131">
        <v>0</v>
      </c>
      <c r="AI131">
        <v>0</v>
      </c>
      <c r="AJ131">
        <v>1743661569.73316</v>
      </c>
    </row>
    <row r="132" spans="1:36" x14ac:dyDescent="0.25">
      <c r="A132" t="s">
        <v>517</v>
      </c>
      <c r="B132" t="s">
        <v>14</v>
      </c>
      <c r="D132">
        <v>3837.58</v>
      </c>
      <c r="E132">
        <v>1344.24</v>
      </c>
      <c r="G132">
        <v>2.0029000000000002E-2</v>
      </c>
      <c r="H132">
        <v>0</v>
      </c>
      <c r="I132">
        <v>125054.12</v>
      </c>
      <c r="J132">
        <v>103288.37</v>
      </c>
      <c r="K132">
        <v>0</v>
      </c>
      <c r="L132">
        <v>282049.05</v>
      </c>
      <c r="M132">
        <v>0</v>
      </c>
      <c r="N132">
        <v>74880.34</v>
      </c>
      <c r="O132">
        <v>15382.56</v>
      </c>
      <c r="P132">
        <v>15764.65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71941.37</v>
      </c>
      <c r="W132">
        <v>0</v>
      </c>
      <c r="X132">
        <v>0</v>
      </c>
      <c r="Y132">
        <v>0</v>
      </c>
      <c r="Z132">
        <v>65854.75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121497.76</v>
      </c>
      <c r="AH132">
        <v>0</v>
      </c>
      <c r="AI132">
        <v>0</v>
      </c>
      <c r="AJ132">
        <v>416904497.117594</v>
      </c>
    </row>
    <row r="133" spans="1:36" x14ac:dyDescent="0.25">
      <c r="A133" t="s">
        <v>518</v>
      </c>
      <c r="B133" t="s">
        <v>14</v>
      </c>
      <c r="C133">
        <v>1344.24</v>
      </c>
      <c r="D133">
        <v>3837.58</v>
      </c>
      <c r="G133">
        <v>2.0029000000000002E-2</v>
      </c>
      <c r="H133">
        <v>0</v>
      </c>
      <c r="I133">
        <v>140389.98000000001</v>
      </c>
      <c r="J133">
        <v>103288.37</v>
      </c>
      <c r="K133">
        <v>0</v>
      </c>
      <c r="L133">
        <v>282049.05</v>
      </c>
      <c r="M133">
        <v>0</v>
      </c>
      <c r="N133">
        <v>74878.39</v>
      </c>
      <c r="O133">
        <v>17105.34</v>
      </c>
      <c r="P133">
        <v>15809.27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71959.820000000007</v>
      </c>
      <c r="W133">
        <v>0</v>
      </c>
      <c r="X133">
        <v>0</v>
      </c>
      <c r="Y133">
        <v>0</v>
      </c>
      <c r="Z133">
        <v>65854.75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121495.08</v>
      </c>
      <c r="AH133">
        <v>0</v>
      </c>
      <c r="AI133">
        <v>0</v>
      </c>
      <c r="AJ133">
        <v>443685321.16514999</v>
      </c>
    </row>
    <row r="134" spans="1:36" x14ac:dyDescent="0.25">
      <c r="A134" t="s">
        <v>519</v>
      </c>
      <c r="B134" t="s">
        <v>14</v>
      </c>
      <c r="D134">
        <v>4621.07</v>
      </c>
      <c r="E134">
        <v>1618.69</v>
      </c>
      <c r="G134">
        <v>2.4118000000000001E-2</v>
      </c>
      <c r="H134">
        <v>0</v>
      </c>
      <c r="I134">
        <v>149966.82</v>
      </c>
      <c r="J134">
        <v>94437.9</v>
      </c>
      <c r="K134">
        <v>0</v>
      </c>
      <c r="L134">
        <v>258328.15</v>
      </c>
      <c r="M134">
        <v>0</v>
      </c>
      <c r="N134">
        <v>333148.19</v>
      </c>
      <c r="O134">
        <v>18827.509999999998</v>
      </c>
      <c r="P134">
        <v>20089.84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119778.56</v>
      </c>
      <c r="W134">
        <v>0</v>
      </c>
      <c r="X134">
        <v>0</v>
      </c>
      <c r="Y134">
        <v>0</v>
      </c>
      <c r="Z134">
        <v>64094.3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223735.46</v>
      </c>
      <c r="AH134">
        <v>0</v>
      </c>
      <c r="AI134">
        <v>0</v>
      </c>
      <c r="AJ134">
        <v>757143144.57918894</v>
      </c>
    </row>
    <row r="135" spans="1:36" x14ac:dyDescent="0.25">
      <c r="A135" t="s">
        <v>520</v>
      </c>
      <c r="B135" t="s">
        <v>14</v>
      </c>
      <c r="D135">
        <v>37305.379999999997</v>
      </c>
      <c r="E135">
        <v>13067.48</v>
      </c>
      <c r="G135">
        <v>0.19470199999999999</v>
      </c>
      <c r="H135">
        <v>0</v>
      </c>
      <c r="I135">
        <v>970955.69</v>
      </c>
      <c r="J135">
        <v>626942.71</v>
      </c>
      <c r="K135">
        <v>0</v>
      </c>
      <c r="L135">
        <v>1141299.43</v>
      </c>
      <c r="M135">
        <v>0</v>
      </c>
      <c r="N135">
        <v>356921.38</v>
      </c>
      <c r="O135">
        <v>322956.28000000003</v>
      </c>
      <c r="P135">
        <v>338359.79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899599.31</v>
      </c>
      <c r="W135">
        <v>0</v>
      </c>
      <c r="X135">
        <v>0</v>
      </c>
      <c r="Y135">
        <v>0</v>
      </c>
      <c r="Z135">
        <v>43737.51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264811.12</v>
      </c>
      <c r="AH135">
        <v>0</v>
      </c>
      <c r="AI135">
        <v>0</v>
      </c>
      <c r="AJ135">
        <v>2809295009.7630301</v>
      </c>
    </row>
    <row r="136" spans="1:36" x14ac:dyDescent="0.25">
      <c r="A136" t="s">
        <v>521</v>
      </c>
      <c r="B136" t="s">
        <v>14</v>
      </c>
      <c r="C136">
        <v>13067.48</v>
      </c>
      <c r="D136">
        <v>37305.379999999997</v>
      </c>
      <c r="G136">
        <v>0.19470199999999999</v>
      </c>
      <c r="H136">
        <v>0</v>
      </c>
      <c r="I136">
        <v>1172809.26</v>
      </c>
      <c r="J136">
        <v>626942.71</v>
      </c>
      <c r="K136">
        <v>0</v>
      </c>
      <c r="L136">
        <v>1141299.43</v>
      </c>
      <c r="M136">
        <v>0</v>
      </c>
      <c r="N136">
        <v>357697.54</v>
      </c>
      <c r="O136">
        <v>384209.78</v>
      </c>
      <c r="P136">
        <v>351777.19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894297.16</v>
      </c>
      <c r="W136">
        <v>0</v>
      </c>
      <c r="X136">
        <v>0</v>
      </c>
      <c r="Y136">
        <v>0</v>
      </c>
      <c r="Z136">
        <v>43737.51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264794.14</v>
      </c>
      <c r="AH136">
        <v>0</v>
      </c>
      <c r="AI136">
        <v>0</v>
      </c>
      <c r="AJ136">
        <v>2908486961.9923501</v>
      </c>
    </row>
    <row r="137" spans="1:36" x14ac:dyDescent="0.25">
      <c r="A137" t="s">
        <v>522</v>
      </c>
      <c r="B137" t="s">
        <v>14</v>
      </c>
      <c r="D137">
        <v>59272.37</v>
      </c>
      <c r="E137">
        <v>20762.169999999998</v>
      </c>
      <c r="G137">
        <v>0.30935099999999999</v>
      </c>
      <c r="H137">
        <v>0</v>
      </c>
      <c r="I137">
        <v>1353239.19</v>
      </c>
      <c r="J137">
        <v>643032.05000000005</v>
      </c>
      <c r="K137">
        <v>0</v>
      </c>
      <c r="L137">
        <v>3553012.2</v>
      </c>
      <c r="M137">
        <v>0</v>
      </c>
      <c r="N137">
        <v>945231.48</v>
      </c>
      <c r="O137">
        <v>238636.45</v>
      </c>
      <c r="P137">
        <v>252096.1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649764.15</v>
      </c>
      <c r="W137">
        <v>0</v>
      </c>
      <c r="X137">
        <v>0</v>
      </c>
      <c r="Y137">
        <v>0</v>
      </c>
      <c r="Z137">
        <v>127428.8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711126.93</v>
      </c>
      <c r="AH137">
        <v>0</v>
      </c>
      <c r="AI137">
        <v>0</v>
      </c>
      <c r="AJ137">
        <v>5810176334.65205</v>
      </c>
    </row>
    <row r="138" spans="1:36" x14ac:dyDescent="0.25">
      <c r="A138" t="s">
        <v>523</v>
      </c>
      <c r="B138" t="s">
        <v>14</v>
      </c>
      <c r="C138">
        <v>1618.69</v>
      </c>
      <c r="D138">
        <v>4621.07</v>
      </c>
      <c r="G138">
        <v>2.4118000000000001E-2</v>
      </c>
      <c r="H138">
        <v>0</v>
      </c>
      <c r="I138">
        <v>173275.65</v>
      </c>
      <c r="J138">
        <v>94437.9</v>
      </c>
      <c r="K138">
        <v>0</v>
      </c>
      <c r="L138">
        <v>258328.15</v>
      </c>
      <c r="M138">
        <v>0</v>
      </c>
      <c r="N138">
        <v>333124.14</v>
      </c>
      <c r="O138">
        <v>21825.41</v>
      </c>
      <c r="P138">
        <v>20269.98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119681.59</v>
      </c>
      <c r="W138">
        <v>0</v>
      </c>
      <c r="X138">
        <v>0</v>
      </c>
      <c r="Y138">
        <v>0</v>
      </c>
      <c r="Z138">
        <v>64094.3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223734.88</v>
      </c>
      <c r="AH138">
        <v>0</v>
      </c>
      <c r="AI138">
        <v>0</v>
      </c>
      <c r="AJ138">
        <v>810166832.01511002</v>
      </c>
    </row>
    <row r="139" spans="1:36" x14ac:dyDescent="0.25">
      <c r="A139" t="s">
        <v>524</v>
      </c>
      <c r="B139" t="s">
        <v>14</v>
      </c>
      <c r="C139">
        <v>20762.169999999998</v>
      </c>
      <c r="D139">
        <v>59272.37</v>
      </c>
      <c r="G139">
        <v>0.30935099999999999</v>
      </c>
      <c r="H139">
        <v>0</v>
      </c>
      <c r="I139">
        <v>1585149.43</v>
      </c>
      <c r="J139">
        <v>643032.05000000005</v>
      </c>
      <c r="K139">
        <v>0</v>
      </c>
      <c r="L139">
        <v>3553012.2</v>
      </c>
      <c r="M139">
        <v>0</v>
      </c>
      <c r="N139">
        <v>945097.74</v>
      </c>
      <c r="O139">
        <v>274781.03000000003</v>
      </c>
      <c r="P139">
        <v>253729.29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651151.22</v>
      </c>
      <c r="W139">
        <v>0</v>
      </c>
      <c r="X139">
        <v>0</v>
      </c>
      <c r="Y139">
        <v>0</v>
      </c>
      <c r="Z139">
        <v>127428.8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711030.46</v>
      </c>
      <c r="AH139">
        <v>0</v>
      </c>
      <c r="AI139">
        <v>0</v>
      </c>
      <c r="AJ139">
        <v>6187944841.0809498</v>
      </c>
    </row>
    <row r="140" spans="1:36" x14ac:dyDescent="0.25">
      <c r="A140" t="s">
        <v>525</v>
      </c>
      <c r="B140" t="s">
        <v>14</v>
      </c>
      <c r="D140">
        <v>29337.02</v>
      </c>
      <c r="E140">
        <v>10276.290000000001</v>
      </c>
      <c r="G140">
        <v>0.153114</v>
      </c>
      <c r="H140">
        <v>0</v>
      </c>
      <c r="I140">
        <v>515721.89</v>
      </c>
      <c r="J140">
        <v>163686.57</v>
      </c>
      <c r="K140">
        <v>0</v>
      </c>
      <c r="L140">
        <v>936314.72</v>
      </c>
      <c r="M140">
        <v>0</v>
      </c>
      <c r="N140">
        <v>266872.49</v>
      </c>
      <c r="O140">
        <v>202349.6</v>
      </c>
      <c r="P140">
        <v>218206.78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271476.44</v>
      </c>
      <c r="W140">
        <v>0</v>
      </c>
      <c r="X140">
        <v>0</v>
      </c>
      <c r="Y140">
        <v>0</v>
      </c>
      <c r="Z140">
        <v>68627.600000000006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467625.91</v>
      </c>
      <c r="AH140">
        <v>0</v>
      </c>
      <c r="AI140">
        <v>0</v>
      </c>
      <c r="AJ140">
        <v>2012462045.6386499</v>
      </c>
    </row>
    <row r="141" spans="1:36" x14ac:dyDescent="0.25">
      <c r="A141" t="s">
        <v>526</v>
      </c>
      <c r="B141" t="s">
        <v>14</v>
      </c>
      <c r="C141">
        <v>10276.290000000001</v>
      </c>
      <c r="D141">
        <v>29337.02</v>
      </c>
      <c r="G141">
        <v>0.153114</v>
      </c>
      <c r="H141">
        <v>0</v>
      </c>
      <c r="I141">
        <v>828184.47</v>
      </c>
      <c r="J141">
        <v>163686.57</v>
      </c>
      <c r="K141">
        <v>0</v>
      </c>
      <c r="L141">
        <v>936314.72</v>
      </c>
      <c r="M141">
        <v>0</v>
      </c>
      <c r="N141">
        <v>267067.25</v>
      </c>
      <c r="O141">
        <v>239615.29</v>
      </c>
      <c r="P141">
        <v>223084.09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273205.90999999997</v>
      </c>
      <c r="W141">
        <v>0</v>
      </c>
      <c r="X141">
        <v>0</v>
      </c>
      <c r="Y141">
        <v>0</v>
      </c>
      <c r="Z141">
        <v>68627.600000000006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467629.04</v>
      </c>
      <c r="AH141">
        <v>0</v>
      </c>
      <c r="AI141">
        <v>0</v>
      </c>
      <c r="AJ141">
        <v>2212359865.7895098</v>
      </c>
    </row>
    <row r="142" spans="1:36" x14ac:dyDescent="0.25">
      <c r="A142" t="s">
        <v>599</v>
      </c>
      <c r="B142" t="s">
        <v>14</v>
      </c>
      <c r="D142">
        <v>4451.8500000000004</v>
      </c>
      <c r="E142">
        <v>1559.41</v>
      </c>
      <c r="G142">
        <v>2.3234999999999999E-2</v>
      </c>
      <c r="H142">
        <v>0</v>
      </c>
      <c r="I142">
        <v>141555.17000000001</v>
      </c>
      <c r="J142">
        <v>125722.95</v>
      </c>
      <c r="K142">
        <v>0</v>
      </c>
      <c r="L142">
        <v>179632.92</v>
      </c>
      <c r="M142">
        <v>0</v>
      </c>
      <c r="N142">
        <v>59874.77</v>
      </c>
      <c r="O142">
        <v>20301.12</v>
      </c>
      <c r="P142">
        <v>21801.67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67205.600000000006</v>
      </c>
      <c r="W142">
        <v>0</v>
      </c>
      <c r="X142">
        <v>0</v>
      </c>
      <c r="Y142">
        <v>0</v>
      </c>
      <c r="Z142">
        <v>25988.9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11507.79</v>
      </c>
      <c r="AH142">
        <v>0</v>
      </c>
      <c r="AI142">
        <v>0</v>
      </c>
      <c r="AJ142">
        <v>587980146.00947201</v>
      </c>
    </row>
    <row r="143" spans="1:36" x14ac:dyDescent="0.25">
      <c r="A143" t="s">
        <v>601</v>
      </c>
      <c r="B143" t="s">
        <v>14</v>
      </c>
      <c r="C143">
        <v>1559.41</v>
      </c>
      <c r="D143">
        <v>4451.8500000000004</v>
      </c>
      <c r="G143">
        <v>2.3234999999999999E-2</v>
      </c>
      <c r="H143">
        <v>0</v>
      </c>
      <c r="I143">
        <v>177414.1</v>
      </c>
      <c r="J143">
        <v>125722.95</v>
      </c>
      <c r="K143">
        <v>0</v>
      </c>
      <c r="L143">
        <v>179632.92</v>
      </c>
      <c r="M143">
        <v>0</v>
      </c>
      <c r="N143">
        <v>59851.85</v>
      </c>
      <c r="O143">
        <v>23876.27</v>
      </c>
      <c r="P143">
        <v>21998.080000000002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67037.39</v>
      </c>
      <c r="W143">
        <v>0</v>
      </c>
      <c r="X143">
        <v>0</v>
      </c>
      <c r="Y143">
        <v>0</v>
      </c>
      <c r="Z143">
        <v>25988.9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11475.45</v>
      </c>
      <c r="AH143">
        <v>0</v>
      </c>
      <c r="AI143">
        <v>0</v>
      </c>
      <c r="AJ143">
        <v>641026242.99811697</v>
      </c>
    </row>
    <row r="144" spans="1:36" x14ac:dyDescent="0.25">
      <c r="A144" t="s">
        <v>631</v>
      </c>
      <c r="B144" t="s">
        <v>14</v>
      </c>
      <c r="D144">
        <v>3836.12</v>
      </c>
      <c r="E144">
        <v>1343.73</v>
      </c>
      <c r="G144">
        <v>2.0021000000000001E-2</v>
      </c>
      <c r="H144">
        <v>0</v>
      </c>
      <c r="I144">
        <v>114010.17</v>
      </c>
      <c r="J144">
        <v>125722.95</v>
      </c>
      <c r="K144">
        <v>0</v>
      </c>
      <c r="L144">
        <v>179632.92</v>
      </c>
      <c r="M144">
        <v>0</v>
      </c>
      <c r="N144">
        <v>50331.89</v>
      </c>
      <c r="O144">
        <v>17439.07</v>
      </c>
      <c r="P144">
        <v>18719.830000000002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59981.93</v>
      </c>
      <c r="W144">
        <v>0</v>
      </c>
      <c r="X144">
        <v>0</v>
      </c>
      <c r="Y144">
        <v>0</v>
      </c>
      <c r="Z144">
        <v>25988.9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11512.23</v>
      </c>
      <c r="AH144">
        <v>0</v>
      </c>
      <c r="AI144">
        <v>0</v>
      </c>
      <c r="AJ144">
        <v>508962401.733042</v>
      </c>
    </row>
    <row r="145" spans="1:36" x14ac:dyDescent="0.25">
      <c r="A145" t="s">
        <v>632</v>
      </c>
      <c r="B145" t="s">
        <v>14</v>
      </c>
      <c r="C145">
        <v>1343.73</v>
      </c>
      <c r="D145">
        <v>3836.12</v>
      </c>
      <c r="G145">
        <v>2.0021000000000001E-2</v>
      </c>
      <c r="H145">
        <v>0</v>
      </c>
      <c r="I145">
        <v>144273.88</v>
      </c>
      <c r="J145">
        <v>125722.95</v>
      </c>
      <c r="K145">
        <v>0</v>
      </c>
      <c r="L145">
        <v>179632.92</v>
      </c>
      <c r="M145">
        <v>0</v>
      </c>
      <c r="N145">
        <v>50318.29</v>
      </c>
      <c r="O145">
        <v>20536.580000000002</v>
      </c>
      <c r="P145">
        <v>18905.22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59922.33</v>
      </c>
      <c r="W145">
        <v>0</v>
      </c>
      <c r="X145">
        <v>0</v>
      </c>
      <c r="Y145">
        <v>0</v>
      </c>
      <c r="Z145">
        <v>25988.9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11484.59</v>
      </c>
      <c r="AH145">
        <v>0</v>
      </c>
      <c r="AI145">
        <v>0</v>
      </c>
      <c r="AJ145">
        <v>552095033.56440401</v>
      </c>
    </row>
    <row r="146" spans="1:36" x14ac:dyDescent="0.25">
      <c r="A146" t="s">
        <v>239</v>
      </c>
      <c r="B146" t="s">
        <v>15</v>
      </c>
      <c r="D146">
        <v>21066.880000000001</v>
      </c>
      <c r="E146">
        <v>7379.39</v>
      </c>
      <c r="G146">
        <v>0.10995099999999999</v>
      </c>
      <c r="H146">
        <v>0</v>
      </c>
      <c r="I146">
        <v>408362.21</v>
      </c>
      <c r="J146">
        <v>774617.57</v>
      </c>
      <c r="K146">
        <v>0</v>
      </c>
      <c r="L146">
        <v>436518</v>
      </c>
      <c r="M146">
        <v>0</v>
      </c>
      <c r="N146">
        <v>178653.7</v>
      </c>
      <c r="O146">
        <v>88886.94</v>
      </c>
      <c r="P146">
        <v>89666.240000000005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252665.76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176296.6</v>
      </c>
      <c r="AH146">
        <v>0</v>
      </c>
      <c r="AI146">
        <v>0</v>
      </c>
      <c r="AJ146">
        <v>1721019157.40026</v>
      </c>
    </row>
    <row r="147" spans="1:36" x14ac:dyDescent="0.25">
      <c r="A147" t="s">
        <v>240</v>
      </c>
      <c r="B147" t="s">
        <v>15</v>
      </c>
      <c r="D147">
        <v>2273.9</v>
      </c>
      <c r="E147">
        <v>796.51</v>
      </c>
      <c r="G147">
        <v>1.1868E-2</v>
      </c>
      <c r="H147">
        <v>0</v>
      </c>
      <c r="I147">
        <v>18733.98</v>
      </c>
      <c r="J147">
        <v>23792.959999999999</v>
      </c>
      <c r="K147">
        <v>0</v>
      </c>
      <c r="L147">
        <v>29466.65</v>
      </c>
      <c r="M147">
        <v>0</v>
      </c>
      <c r="N147">
        <v>106239.22</v>
      </c>
      <c r="O147">
        <v>6904.59</v>
      </c>
      <c r="P147">
        <v>6744.67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1605.08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4673.0200000000004</v>
      </c>
      <c r="AH147">
        <v>0</v>
      </c>
      <c r="AI147">
        <v>0</v>
      </c>
      <c r="AJ147">
        <v>115446318.558943</v>
      </c>
    </row>
    <row r="148" spans="1:36" x14ac:dyDescent="0.25">
      <c r="A148" t="s">
        <v>241</v>
      </c>
      <c r="B148" t="s">
        <v>15</v>
      </c>
      <c r="C148">
        <v>796.51</v>
      </c>
      <c r="D148">
        <v>2273.9</v>
      </c>
      <c r="G148">
        <v>1.1868E-2</v>
      </c>
      <c r="H148">
        <v>0</v>
      </c>
      <c r="I148">
        <v>26354.46</v>
      </c>
      <c r="J148">
        <v>23792.959999999999</v>
      </c>
      <c r="K148">
        <v>0</v>
      </c>
      <c r="L148">
        <v>29466.65</v>
      </c>
      <c r="M148">
        <v>0</v>
      </c>
      <c r="N148">
        <v>106238.94</v>
      </c>
      <c r="O148">
        <v>12157.28</v>
      </c>
      <c r="P148">
        <v>9363.7000000000007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1604.82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4673.0200000000004</v>
      </c>
      <c r="AH148">
        <v>0</v>
      </c>
      <c r="AI148">
        <v>0</v>
      </c>
      <c r="AJ148">
        <v>131529768.98656701</v>
      </c>
    </row>
    <row r="149" spans="1:36" x14ac:dyDescent="0.25">
      <c r="A149" t="s">
        <v>242</v>
      </c>
      <c r="B149" t="s">
        <v>15</v>
      </c>
      <c r="C149">
        <v>7379.39</v>
      </c>
      <c r="D149">
        <v>21066.880000000001</v>
      </c>
      <c r="G149">
        <v>0.10995099999999999</v>
      </c>
      <c r="H149">
        <v>0</v>
      </c>
      <c r="I149">
        <v>429153.77</v>
      </c>
      <c r="J149">
        <v>774617.57</v>
      </c>
      <c r="K149">
        <v>0</v>
      </c>
      <c r="L149">
        <v>436518</v>
      </c>
      <c r="M149">
        <v>0</v>
      </c>
      <c r="N149">
        <v>178834.68</v>
      </c>
      <c r="O149">
        <v>107872.49</v>
      </c>
      <c r="P149">
        <v>94872.68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253357.64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176293.56</v>
      </c>
      <c r="AH149">
        <v>0</v>
      </c>
      <c r="AI149">
        <v>0</v>
      </c>
      <c r="AJ149">
        <v>1727174374.70525</v>
      </c>
    </row>
    <row r="150" spans="1:36" x14ac:dyDescent="0.25">
      <c r="A150" t="s">
        <v>243</v>
      </c>
      <c r="B150" t="s">
        <v>15</v>
      </c>
      <c r="D150">
        <v>30217.01</v>
      </c>
      <c r="E150">
        <v>10584.54</v>
      </c>
      <c r="G150">
        <v>0.15770700000000001</v>
      </c>
      <c r="H150">
        <v>0</v>
      </c>
      <c r="I150">
        <v>582132.86</v>
      </c>
      <c r="J150">
        <v>463682.79</v>
      </c>
      <c r="K150">
        <v>0</v>
      </c>
      <c r="L150">
        <v>831153.37</v>
      </c>
      <c r="M150">
        <v>0</v>
      </c>
      <c r="N150">
        <v>214578.89</v>
      </c>
      <c r="O150">
        <v>196968.7</v>
      </c>
      <c r="P150">
        <v>206327.71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554526.21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115374.26</v>
      </c>
      <c r="AH150">
        <v>0</v>
      </c>
      <c r="AI150">
        <v>0</v>
      </c>
      <c r="AJ150">
        <v>1513528330.0994899</v>
      </c>
    </row>
    <row r="151" spans="1:36" x14ac:dyDescent="0.25">
      <c r="A151" t="s">
        <v>244</v>
      </c>
      <c r="B151" t="s">
        <v>15</v>
      </c>
      <c r="C151">
        <v>10584.54</v>
      </c>
      <c r="D151">
        <v>30217.01</v>
      </c>
      <c r="G151">
        <v>0.15770700000000001</v>
      </c>
      <c r="H151">
        <v>0</v>
      </c>
      <c r="I151">
        <v>707430.33</v>
      </c>
      <c r="J151">
        <v>463682.79</v>
      </c>
      <c r="K151">
        <v>0</v>
      </c>
      <c r="L151">
        <v>831153.37</v>
      </c>
      <c r="M151">
        <v>0</v>
      </c>
      <c r="N151">
        <v>215277.63</v>
      </c>
      <c r="O151">
        <v>232980.66</v>
      </c>
      <c r="P151">
        <v>210536.27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552310.99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115373.97</v>
      </c>
      <c r="AH151">
        <v>0</v>
      </c>
      <c r="AI151">
        <v>0</v>
      </c>
      <c r="AJ151">
        <v>1769494770.7680399</v>
      </c>
    </row>
    <row r="152" spans="1:36" x14ac:dyDescent="0.25">
      <c r="A152" t="s">
        <v>245</v>
      </c>
      <c r="B152" t="s">
        <v>15</v>
      </c>
      <c r="C152">
        <v>1625.83</v>
      </c>
      <c r="D152">
        <v>4641.45</v>
      </c>
      <c r="G152">
        <v>2.4223999999999999E-2</v>
      </c>
      <c r="H152">
        <v>0</v>
      </c>
      <c r="I152">
        <v>144597.54</v>
      </c>
      <c r="J152">
        <v>201226.15</v>
      </c>
      <c r="K152">
        <v>0</v>
      </c>
      <c r="L152">
        <v>282049.05</v>
      </c>
      <c r="M152">
        <v>0</v>
      </c>
      <c r="N152">
        <v>92316.81</v>
      </c>
      <c r="O152">
        <v>19690.830000000002</v>
      </c>
      <c r="P152">
        <v>17856.21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98956.67</v>
      </c>
      <c r="W152">
        <v>0</v>
      </c>
      <c r="X152">
        <v>0</v>
      </c>
      <c r="Y152">
        <v>0</v>
      </c>
      <c r="Z152">
        <v>65854.75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125832.03</v>
      </c>
      <c r="AH152">
        <v>0</v>
      </c>
      <c r="AI152">
        <v>0</v>
      </c>
      <c r="AJ152">
        <v>412082466.745314</v>
      </c>
    </row>
    <row r="153" spans="1:36" x14ac:dyDescent="0.25">
      <c r="A153" t="s">
        <v>246</v>
      </c>
      <c r="B153" t="s">
        <v>15</v>
      </c>
      <c r="D153">
        <v>4641.45</v>
      </c>
      <c r="E153">
        <v>1625.83</v>
      </c>
      <c r="G153">
        <v>2.4223999999999999E-2</v>
      </c>
      <c r="H153">
        <v>0</v>
      </c>
      <c r="I153">
        <v>137597.88</v>
      </c>
      <c r="J153">
        <v>201226.15</v>
      </c>
      <c r="K153">
        <v>0</v>
      </c>
      <c r="L153">
        <v>282049.05</v>
      </c>
      <c r="M153">
        <v>0</v>
      </c>
      <c r="N153">
        <v>92196.27</v>
      </c>
      <c r="O153">
        <v>17714.990000000002</v>
      </c>
      <c r="P153">
        <v>17781.37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98893.35</v>
      </c>
      <c r="W153">
        <v>0</v>
      </c>
      <c r="X153">
        <v>0</v>
      </c>
      <c r="Y153">
        <v>0</v>
      </c>
      <c r="Z153">
        <v>65854.75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125830.61</v>
      </c>
      <c r="AH153">
        <v>0</v>
      </c>
      <c r="AI153">
        <v>0</v>
      </c>
      <c r="AJ153">
        <v>387873265.90719497</v>
      </c>
    </row>
    <row r="154" spans="1:36" x14ac:dyDescent="0.25">
      <c r="A154" t="s">
        <v>247</v>
      </c>
      <c r="B154" t="s">
        <v>15</v>
      </c>
      <c r="D154">
        <v>36319.089999999997</v>
      </c>
      <c r="E154">
        <v>12722</v>
      </c>
      <c r="G154">
        <v>0.189554</v>
      </c>
      <c r="H154">
        <v>0</v>
      </c>
      <c r="I154">
        <v>746069.97</v>
      </c>
      <c r="J154">
        <v>857863.39</v>
      </c>
      <c r="K154">
        <v>0</v>
      </c>
      <c r="L154">
        <v>1141299.43</v>
      </c>
      <c r="M154">
        <v>0</v>
      </c>
      <c r="N154">
        <v>334200.8</v>
      </c>
      <c r="O154">
        <v>310323.93</v>
      </c>
      <c r="P154">
        <v>320180.58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558461.1</v>
      </c>
      <c r="W154">
        <v>0</v>
      </c>
      <c r="X154">
        <v>0</v>
      </c>
      <c r="Y154">
        <v>0</v>
      </c>
      <c r="Z154">
        <v>43737.51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274267.07</v>
      </c>
      <c r="AH154">
        <v>0</v>
      </c>
      <c r="AI154">
        <v>0</v>
      </c>
      <c r="AJ154">
        <v>2144209207.01511</v>
      </c>
    </row>
    <row r="155" spans="1:36" x14ac:dyDescent="0.25">
      <c r="A155" t="s">
        <v>248</v>
      </c>
      <c r="B155" t="s">
        <v>15</v>
      </c>
      <c r="C155">
        <v>12722</v>
      </c>
      <c r="D155">
        <v>36319.089999999997</v>
      </c>
      <c r="G155">
        <v>0.189554</v>
      </c>
      <c r="H155">
        <v>0</v>
      </c>
      <c r="I155">
        <v>930906.33</v>
      </c>
      <c r="J155">
        <v>857863.39</v>
      </c>
      <c r="K155">
        <v>0</v>
      </c>
      <c r="L155">
        <v>1141299.43</v>
      </c>
      <c r="M155">
        <v>0</v>
      </c>
      <c r="N155">
        <v>335171.09999999998</v>
      </c>
      <c r="O155">
        <v>372012.3</v>
      </c>
      <c r="P155">
        <v>333479.17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550871.74</v>
      </c>
      <c r="W155">
        <v>0</v>
      </c>
      <c r="X155">
        <v>0</v>
      </c>
      <c r="Y155">
        <v>0</v>
      </c>
      <c r="Z155">
        <v>43737.51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274264.18</v>
      </c>
      <c r="AH155">
        <v>0</v>
      </c>
      <c r="AI155">
        <v>0</v>
      </c>
      <c r="AJ155">
        <v>2199100243.9850402</v>
      </c>
    </row>
    <row r="156" spans="1:36" x14ac:dyDescent="0.25">
      <c r="A156" t="s">
        <v>249</v>
      </c>
      <c r="B156" t="s">
        <v>15</v>
      </c>
      <c r="D156">
        <v>5105.82</v>
      </c>
      <c r="E156">
        <v>1788.49</v>
      </c>
      <c r="G156">
        <v>2.6648000000000002E-2</v>
      </c>
      <c r="H156">
        <v>0</v>
      </c>
      <c r="I156">
        <v>131945.31</v>
      </c>
      <c r="J156">
        <v>197273.03</v>
      </c>
      <c r="K156">
        <v>0</v>
      </c>
      <c r="L156">
        <v>258328.15</v>
      </c>
      <c r="M156">
        <v>0</v>
      </c>
      <c r="N156">
        <v>339259.77</v>
      </c>
      <c r="O156">
        <v>20762.89</v>
      </c>
      <c r="P156">
        <v>21753.73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87090.41</v>
      </c>
      <c r="W156">
        <v>0</v>
      </c>
      <c r="X156">
        <v>0</v>
      </c>
      <c r="Y156">
        <v>0</v>
      </c>
      <c r="Z156">
        <v>64094.3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231746.62</v>
      </c>
      <c r="AH156">
        <v>0</v>
      </c>
      <c r="AI156">
        <v>0</v>
      </c>
      <c r="AJ156">
        <v>567736781.42712295</v>
      </c>
    </row>
    <row r="157" spans="1:36" x14ac:dyDescent="0.25">
      <c r="A157" t="s">
        <v>250</v>
      </c>
      <c r="B157" t="s">
        <v>15</v>
      </c>
      <c r="C157">
        <v>10732.08</v>
      </c>
      <c r="D157">
        <v>30638.23</v>
      </c>
      <c r="G157">
        <v>0.15990499999999999</v>
      </c>
      <c r="H157">
        <v>0</v>
      </c>
      <c r="I157">
        <v>751853.37</v>
      </c>
      <c r="J157">
        <v>350734.07</v>
      </c>
      <c r="K157">
        <v>0</v>
      </c>
      <c r="L157">
        <v>936314.72</v>
      </c>
      <c r="M157">
        <v>0</v>
      </c>
      <c r="N157">
        <v>266586.45</v>
      </c>
      <c r="O157">
        <v>279146.83</v>
      </c>
      <c r="P157">
        <v>256872.54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174554.05</v>
      </c>
      <c r="W157">
        <v>0</v>
      </c>
      <c r="X157">
        <v>0</v>
      </c>
      <c r="Y157">
        <v>0</v>
      </c>
      <c r="Z157">
        <v>68627.600000000006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485038.18</v>
      </c>
      <c r="AH157">
        <v>0</v>
      </c>
      <c r="AI157">
        <v>0</v>
      </c>
      <c r="AJ157">
        <v>1437974802.8610899</v>
      </c>
    </row>
    <row r="158" spans="1:36" x14ac:dyDescent="0.25">
      <c r="A158" t="s">
        <v>251</v>
      </c>
      <c r="B158" t="s">
        <v>15</v>
      </c>
      <c r="C158">
        <v>1788.49</v>
      </c>
      <c r="D158">
        <v>5105.82</v>
      </c>
      <c r="G158">
        <v>2.6648000000000002E-2</v>
      </c>
      <c r="H158">
        <v>0</v>
      </c>
      <c r="I158">
        <v>143168.95999999999</v>
      </c>
      <c r="J158">
        <v>197273.03</v>
      </c>
      <c r="K158">
        <v>0</v>
      </c>
      <c r="L158">
        <v>258328.15</v>
      </c>
      <c r="M158">
        <v>0</v>
      </c>
      <c r="N158">
        <v>339231.36</v>
      </c>
      <c r="O158">
        <v>23696.32</v>
      </c>
      <c r="P158">
        <v>21823.84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86779.33</v>
      </c>
      <c r="W158">
        <v>0</v>
      </c>
      <c r="X158">
        <v>0</v>
      </c>
      <c r="Y158">
        <v>0</v>
      </c>
      <c r="Z158">
        <v>64094.3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231753.71</v>
      </c>
      <c r="AH158">
        <v>0</v>
      </c>
      <c r="AI158">
        <v>0</v>
      </c>
      <c r="AJ158">
        <v>608328931.82084501</v>
      </c>
    </row>
    <row r="159" spans="1:36" x14ac:dyDescent="0.25">
      <c r="A159" t="s">
        <v>252</v>
      </c>
      <c r="B159" t="s">
        <v>15</v>
      </c>
      <c r="D159">
        <v>74767.08</v>
      </c>
      <c r="E159">
        <v>26189.72</v>
      </c>
      <c r="G159">
        <v>0.39022000000000001</v>
      </c>
      <c r="H159">
        <v>0</v>
      </c>
      <c r="I159">
        <v>1376068.88</v>
      </c>
      <c r="J159">
        <v>1274541.22</v>
      </c>
      <c r="K159">
        <v>0</v>
      </c>
      <c r="L159">
        <v>3553012.2</v>
      </c>
      <c r="M159">
        <v>0</v>
      </c>
      <c r="N159">
        <v>1006475.26</v>
      </c>
      <c r="O159">
        <v>297688.55</v>
      </c>
      <c r="P159">
        <v>309485.7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713385.48</v>
      </c>
      <c r="W159">
        <v>0</v>
      </c>
      <c r="X159">
        <v>0</v>
      </c>
      <c r="Y159">
        <v>0</v>
      </c>
      <c r="Z159">
        <v>127428.8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736986.56</v>
      </c>
      <c r="AH159">
        <v>0</v>
      </c>
      <c r="AI159">
        <v>0</v>
      </c>
      <c r="AJ159">
        <v>3892954584.7011399</v>
      </c>
    </row>
    <row r="160" spans="1:36" x14ac:dyDescent="0.25">
      <c r="A160" t="s">
        <v>253</v>
      </c>
      <c r="B160" t="s">
        <v>15</v>
      </c>
      <c r="D160">
        <v>30638.23</v>
      </c>
      <c r="E160">
        <v>10732.08</v>
      </c>
      <c r="G160">
        <v>0.15990499999999999</v>
      </c>
      <c r="H160">
        <v>0</v>
      </c>
      <c r="I160">
        <v>487292.09</v>
      </c>
      <c r="J160">
        <v>350734.07</v>
      </c>
      <c r="K160">
        <v>0</v>
      </c>
      <c r="L160">
        <v>936314.72</v>
      </c>
      <c r="M160">
        <v>0</v>
      </c>
      <c r="N160">
        <v>265387.39</v>
      </c>
      <c r="O160">
        <v>235024.77</v>
      </c>
      <c r="P160">
        <v>249889.62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174062.07</v>
      </c>
      <c r="W160">
        <v>0</v>
      </c>
      <c r="X160">
        <v>0</v>
      </c>
      <c r="Y160">
        <v>0</v>
      </c>
      <c r="Z160">
        <v>68627.600000000006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485029.65</v>
      </c>
      <c r="AH160">
        <v>0</v>
      </c>
      <c r="AI160">
        <v>0</v>
      </c>
      <c r="AJ160">
        <v>1279953921.388</v>
      </c>
    </row>
    <row r="161" spans="1:36" x14ac:dyDescent="0.25">
      <c r="A161" t="s">
        <v>254</v>
      </c>
      <c r="B161" t="s">
        <v>15</v>
      </c>
      <c r="C161">
        <v>26189.72</v>
      </c>
      <c r="D161">
        <v>74767.08</v>
      </c>
      <c r="G161">
        <v>0.39022000000000001</v>
      </c>
      <c r="H161">
        <v>0</v>
      </c>
      <c r="I161">
        <v>1538965.76</v>
      </c>
      <c r="J161">
        <v>1274541.22</v>
      </c>
      <c r="K161">
        <v>0</v>
      </c>
      <c r="L161">
        <v>3553012.2</v>
      </c>
      <c r="M161">
        <v>0</v>
      </c>
      <c r="N161">
        <v>1006794.9</v>
      </c>
      <c r="O161">
        <v>344606.87</v>
      </c>
      <c r="P161">
        <v>312784.17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713748.92</v>
      </c>
      <c r="W161">
        <v>0</v>
      </c>
      <c r="X161">
        <v>0</v>
      </c>
      <c r="Y161">
        <v>0</v>
      </c>
      <c r="Z161">
        <v>127428.8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737011.51</v>
      </c>
      <c r="AH161">
        <v>0</v>
      </c>
      <c r="AI161">
        <v>0</v>
      </c>
      <c r="AJ161">
        <v>4388293237.3875599</v>
      </c>
    </row>
    <row r="162" spans="1:36" x14ac:dyDescent="0.25">
      <c r="A162" t="s">
        <v>495</v>
      </c>
      <c r="B162" t="s">
        <v>15</v>
      </c>
      <c r="D162">
        <v>19317.240000000002</v>
      </c>
      <c r="E162">
        <v>6766.52</v>
      </c>
      <c r="G162">
        <v>0.10081900000000001</v>
      </c>
      <c r="H162">
        <v>0</v>
      </c>
      <c r="I162">
        <v>366201.86</v>
      </c>
      <c r="J162">
        <v>394508.4</v>
      </c>
      <c r="K162">
        <v>0</v>
      </c>
      <c r="L162">
        <v>436518</v>
      </c>
      <c r="M162">
        <v>0</v>
      </c>
      <c r="N162">
        <v>167384.70000000001</v>
      </c>
      <c r="O162">
        <v>84399.34</v>
      </c>
      <c r="P162">
        <v>85306.14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469234.31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176303.99</v>
      </c>
      <c r="AH162">
        <v>0</v>
      </c>
      <c r="AI162">
        <v>0</v>
      </c>
      <c r="AJ162">
        <v>1310997503.2272999</v>
      </c>
    </row>
    <row r="163" spans="1:36" x14ac:dyDescent="0.25">
      <c r="A163" t="s">
        <v>496</v>
      </c>
      <c r="B163" t="s">
        <v>15</v>
      </c>
      <c r="C163">
        <v>6766.52</v>
      </c>
      <c r="D163">
        <v>19317.240000000002</v>
      </c>
      <c r="G163">
        <v>0.10081900000000001</v>
      </c>
      <c r="H163">
        <v>0</v>
      </c>
      <c r="I163">
        <v>393408.79</v>
      </c>
      <c r="J163">
        <v>394508.4</v>
      </c>
      <c r="K163">
        <v>0</v>
      </c>
      <c r="L163">
        <v>436518</v>
      </c>
      <c r="M163">
        <v>0</v>
      </c>
      <c r="N163">
        <v>167379.79999999999</v>
      </c>
      <c r="O163">
        <v>100488.91</v>
      </c>
      <c r="P163">
        <v>87948.26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469759.26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176303.76</v>
      </c>
      <c r="AH163">
        <v>0</v>
      </c>
      <c r="AI163">
        <v>0</v>
      </c>
      <c r="AJ163">
        <v>1377379106.06054</v>
      </c>
    </row>
    <row r="164" spans="1:36" x14ac:dyDescent="0.25">
      <c r="A164" t="s">
        <v>497</v>
      </c>
      <c r="B164" t="s">
        <v>15</v>
      </c>
      <c r="D164">
        <v>1206.44</v>
      </c>
      <c r="E164">
        <v>422.6</v>
      </c>
      <c r="G164">
        <v>6.2969999999999996E-3</v>
      </c>
      <c r="H164">
        <v>0</v>
      </c>
      <c r="I164">
        <v>7717.15</v>
      </c>
      <c r="J164">
        <v>12134.67</v>
      </c>
      <c r="K164">
        <v>0</v>
      </c>
      <c r="L164">
        <v>29466.65</v>
      </c>
      <c r="M164">
        <v>0</v>
      </c>
      <c r="N164">
        <v>54029.8</v>
      </c>
      <c r="O164">
        <v>2729.08</v>
      </c>
      <c r="P164">
        <v>2669.23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2996.25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4672.74</v>
      </c>
      <c r="AH164">
        <v>0</v>
      </c>
      <c r="AI164">
        <v>0</v>
      </c>
      <c r="AJ164">
        <v>54974195.407887802</v>
      </c>
    </row>
    <row r="165" spans="1:36" x14ac:dyDescent="0.25">
      <c r="A165" t="s">
        <v>498</v>
      </c>
      <c r="B165" t="s">
        <v>15</v>
      </c>
      <c r="C165">
        <v>422.6</v>
      </c>
      <c r="D165">
        <v>1206.44</v>
      </c>
      <c r="G165">
        <v>6.2969999999999996E-3</v>
      </c>
      <c r="H165">
        <v>0</v>
      </c>
      <c r="I165">
        <v>11182.19</v>
      </c>
      <c r="J165">
        <v>12134.67</v>
      </c>
      <c r="K165">
        <v>0</v>
      </c>
      <c r="L165">
        <v>29466.65</v>
      </c>
      <c r="M165">
        <v>0</v>
      </c>
      <c r="N165">
        <v>54029.81</v>
      </c>
      <c r="O165">
        <v>4576.53</v>
      </c>
      <c r="P165">
        <v>3437.32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2996.16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4672.74</v>
      </c>
      <c r="AH165">
        <v>0</v>
      </c>
      <c r="AI165">
        <v>0</v>
      </c>
      <c r="AJ165">
        <v>62983807.344960801</v>
      </c>
    </row>
    <row r="166" spans="1:36" x14ac:dyDescent="0.25">
      <c r="A166" t="s">
        <v>499</v>
      </c>
      <c r="B166" t="s">
        <v>15</v>
      </c>
      <c r="D166">
        <v>19399.3</v>
      </c>
      <c r="E166">
        <v>6795.27</v>
      </c>
      <c r="G166">
        <v>0.101248</v>
      </c>
      <c r="H166">
        <v>0</v>
      </c>
      <c r="I166">
        <v>366243.75</v>
      </c>
      <c r="J166">
        <v>239542.44</v>
      </c>
      <c r="K166">
        <v>0</v>
      </c>
      <c r="L166">
        <v>831153.37</v>
      </c>
      <c r="M166">
        <v>0</v>
      </c>
      <c r="N166">
        <v>168179.48</v>
      </c>
      <c r="O166">
        <v>134121.59</v>
      </c>
      <c r="P166">
        <v>139728.48000000001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209212.57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115365.77</v>
      </c>
      <c r="AH166">
        <v>0</v>
      </c>
      <c r="AI166">
        <v>0</v>
      </c>
      <c r="AJ166">
        <v>1133002441.7284</v>
      </c>
    </row>
    <row r="167" spans="1:36" x14ac:dyDescent="0.25">
      <c r="A167" t="s">
        <v>500</v>
      </c>
      <c r="B167" t="s">
        <v>15</v>
      </c>
      <c r="C167">
        <v>6795.27</v>
      </c>
      <c r="D167">
        <v>19399.3</v>
      </c>
      <c r="G167">
        <v>0.101248</v>
      </c>
      <c r="H167">
        <v>0</v>
      </c>
      <c r="I167">
        <v>474923.22</v>
      </c>
      <c r="J167">
        <v>239542.44</v>
      </c>
      <c r="K167">
        <v>0</v>
      </c>
      <c r="L167">
        <v>831153.37</v>
      </c>
      <c r="M167">
        <v>0</v>
      </c>
      <c r="N167">
        <v>168684.84</v>
      </c>
      <c r="O167">
        <v>164511.45000000001</v>
      </c>
      <c r="P167">
        <v>149063.5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208152.64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115370.66</v>
      </c>
      <c r="AH167">
        <v>0</v>
      </c>
      <c r="AI167">
        <v>0</v>
      </c>
      <c r="AJ167">
        <v>1234305767.03479</v>
      </c>
    </row>
    <row r="168" spans="1:36" x14ac:dyDescent="0.25">
      <c r="A168" t="s">
        <v>501</v>
      </c>
      <c r="B168" t="s">
        <v>15</v>
      </c>
      <c r="D168">
        <v>3378.13</v>
      </c>
      <c r="E168">
        <v>1183.31</v>
      </c>
      <c r="G168">
        <v>1.7631000000000001E-2</v>
      </c>
      <c r="H168">
        <v>0</v>
      </c>
      <c r="I168">
        <v>93838.25</v>
      </c>
      <c r="J168">
        <v>103288.37</v>
      </c>
      <c r="K168">
        <v>0</v>
      </c>
      <c r="L168">
        <v>282049.05</v>
      </c>
      <c r="M168">
        <v>0</v>
      </c>
      <c r="N168">
        <v>65374.57</v>
      </c>
      <c r="O168">
        <v>12140.72</v>
      </c>
      <c r="P168">
        <v>12270.54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75175.929999999993</v>
      </c>
      <c r="W168">
        <v>0</v>
      </c>
      <c r="X168">
        <v>0</v>
      </c>
      <c r="Y168">
        <v>0</v>
      </c>
      <c r="Z168">
        <v>65854.75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125817.16</v>
      </c>
      <c r="AH168">
        <v>0</v>
      </c>
      <c r="AI168">
        <v>0</v>
      </c>
      <c r="AJ168">
        <v>282314415.62586999</v>
      </c>
    </row>
    <row r="169" spans="1:36" x14ac:dyDescent="0.25">
      <c r="A169" t="s">
        <v>502</v>
      </c>
      <c r="B169" t="s">
        <v>15</v>
      </c>
      <c r="C169">
        <v>1183.31</v>
      </c>
      <c r="D169">
        <v>3378.13</v>
      </c>
      <c r="G169">
        <v>1.7631000000000001E-2</v>
      </c>
      <c r="H169">
        <v>0</v>
      </c>
      <c r="I169">
        <v>98450.45</v>
      </c>
      <c r="J169">
        <v>103288.37</v>
      </c>
      <c r="K169">
        <v>0</v>
      </c>
      <c r="L169">
        <v>282049.05</v>
      </c>
      <c r="M169">
        <v>0</v>
      </c>
      <c r="N169">
        <v>65428.97</v>
      </c>
      <c r="O169">
        <v>13486.18</v>
      </c>
      <c r="P169">
        <v>12318.18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75201.73</v>
      </c>
      <c r="W169">
        <v>0</v>
      </c>
      <c r="X169">
        <v>0</v>
      </c>
      <c r="Y169">
        <v>0</v>
      </c>
      <c r="Z169">
        <v>65854.75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125829.6</v>
      </c>
      <c r="AH169">
        <v>0</v>
      </c>
      <c r="AI169">
        <v>0</v>
      </c>
      <c r="AJ169">
        <v>300547478.831644</v>
      </c>
    </row>
    <row r="170" spans="1:36" x14ac:dyDescent="0.25">
      <c r="A170" t="s">
        <v>503</v>
      </c>
      <c r="B170" t="s">
        <v>15</v>
      </c>
      <c r="D170">
        <v>33148.99</v>
      </c>
      <c r="E170">
        <v>11611.56</v>
      </c>
      <c r="G170">
        <v>0.173009</v>
      </c>
      <c r="H170">
        <v>0</v>
      </c>
      <c r="I170">
        <v>670992.52</v>
      </c>
      <c r="J170">
        <v>626942.71</v>
      </c>
      <c r="K170">
        <v>0</v>
      </c>
      <c r="L170">
        <v>1141299.43</v>
      </c>
      <c r="M170">
        <v>0</v>
      </c>
      <c r="N170">
        <v>292060.45</v>
      </c>
      <c r="O170">
        <v>282426.78999999998</v>
      </c>
      <c r="P170">
        <v>290843.08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727484.56</v>
      </c>
      <c r="W170">
        <v>0</v>
      </c>
      <c r="X170">
        <v>0</v>
      </c>
      <c r="Y170">
        <v>0</v>
      </c>
      <c r="Z170">
        <v>43737.51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274247.21000000002</v>
      </c>
      <c r="AH170">
        <v>0</v>
      </c>
      <c r="AI170">
        <v>0</v>
      </c>
      <c r="AJ170">
        <v>1915116813.91974</v>
      </c>
    </row>
    <row r="171" spans="1:36" x14ac:dyDescent="0.25">
      <c r="A171" t="s">
        <v>504</v>
      </c>
      <c r="B171" t="s">
        <v>15</v>
      </c>
      <c r="C171">
        <v>11611.56</v>
      </c>
      <c r="D171">
        <v>33148.99</v>
      </c>
      <c r="G171">
        <v>0.173009</v>
      </c>
      <c r="H171">
        <v>0</v>
      </c>
      <c r="I171">
        <v>831856.78</v>
      </c>
      <c r="J171">
        <v>626942.71</v>
      </c>
      <c r="K171">
        <v>0</v>
      </c>
      <c r="L171">
        <v>1141299.43</v>
      </c>
      <c r="M171">
        <v>0</v>
      </c>
      <c r="N171">
        <v>292475.81</v>
      </c>
      <c r="O171">
        <v>338947.28</v>
      </c>
      <c r="P171">
        <v>303312.69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721607.57</v>
      </c>
      <c r="W171">
        <v>0</v>
      </c>
      <c r="X171">
        <v>0</v>
      </c>
      <c r="Y171">
        <v>0</v>
      </c>
      <c r="Z171">
        <v>43737.51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274265.32</v>
      </c>
      <c r="AH171">
        <v>0</v>
      </c>
      <c r="AI171">
        <v>0</v>
      </c>
      <c r="AJ171">
        <v>1964154800.5350699</v>
      </c>
    </row>
    <row r="172" spans="1:36" x14ac:dyDescent="0.25">
      <c r="A172" t="s">
        <v>505</v>
      </c>
      <c r="B172" t="s">
        <v>15</v>
      </c>
      <c r="D172">
        <v>3930.94</v>
      </c>
      <c r="E172">
        <v>1376.95</v>
      </c>
      <c r="G172">
        <v>2.0516E-2</v>
      </c>
      <c r="H172">
        <v>0</v>
      </c>
      <c r="I172">
        <v>99768.88</v>
      </c>
      <c r="J172">
        <v>94437.9</v>
      </c>
      <c r="K172">
        <v>0</v>
      </c>
      <c r="L172">
        <v>258328.15</v>
      </c>
      <c r="M172">
        <v>0</v>
      </c>
      <c r="N172">
        <v>311887.09999999998</v>
      </c>
      <c r="O172">
        <v>15190.53</v>
      </c>
      <c r="P172">
        <v>16004.27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117837.58</v>
      </c>
      <c r="W172">
        <v>0</v>
      </c>
      <c r="X172">
        <v>0</v>
      </c>
      <c r="Y172">
        <v>0</v>
      </c>
      <c r="Z172">
        <v>64094.3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231751.64</v>
      </c>
      <c r="AH172">
        <v>0</v>
      </c>
      <c r="AI172">
        <v>0</v>
      </c>
      <c r="AJ172">
        <v>461263991.799667</v>
      </c>
    </row>
    <row r="173" spans="1:36" x14ac:dyDescent="0.25">
      <c r="A173" t="s">
        <v>506</v>
      </c>
      <c r="B173" t="s">
        <v>15</v>
      </c>
      <c r="C173">
        <v>18483.740000000002</v>
      </c>
      <c r="D173">
        <v>52767.87</v>
      </c>
      <c r="G173">
        <v>0.27540300000000001</v>
      </c>
      <c r="H173">
        <v>0</v>
      </c>
      <c r="I173">
        <v>1054883.08</v>
      </c>
      <c r="J173">
        <v>643032.05000000005</v>
      </c>
      <c r="K173">
        <v>0</v>
      </c>
      <c r="L173">
        <v>3553012.2</v>
      </c>
      <c r="M173">
        <v>0</v>
      </c>
      <c r="N173">
        <v>861527.5</v>
      </c>
      <c r="O173">
        <v>222187.46</v>
      </c>
      <c r="P173">
        <v>201863.33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512172.63</v>
      </c>
      <c r="W173">
        <v>0</v>
      </c>
      <c r="X173">
        <v>0</v>
      </c>
      <c r="Y173">
        <v>0</v>
      </c>
      <c r="Z173">
        <v>127428.8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736922.58</v>
      </c>
      <c r="AH173">
        <v>0</v>
      </c>
      <c r="AI173">
        <v>0</v>
      </c>
      <c r="AJ173">
        <v>3244715095.2863498</v>
      </c>
    </row>
    <row r="174" spans="1:36" x14ac:dyDescent="0.25">
      <c r="A174" t="s">
        <v>507</v>
      </c>
      <c r="B174" t="s">
        <v>15</v>
      </c>
      <c r="D174">
        <v>25073.7</v>
      </c>
      <c r="E174">
        <v>8782.92</v>
      </c>
      <c r="G174">
        <v>0.13086300000000001</v>
      </c>
      <c r="H174">
        <v>0</v>
      </c>
      <c r="I174">
        <v>362711.16</v>
      </c>
      <c r="J174">
        <v>163686.57</v>
      </c>
      <c r="K174">
        <v>0</v>
      </c>
      <c r="L174">
        <v>936314.72</v>
      </c>
      <c r="M174">
        <v>0</v>
      </c>
      <c r="N174">
        <v>234771.47</v>
      </c>
      <c r="O174">
        <v>170944.38</v>
      </c>
      <c r="P174">
        <v>182799.54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233878.9</v>
      </c>
      <c r="W174">
        <v>0</v>
      </c>
      <c r="X174">
        <v>0</v>
      </c>
      <c r="Y174">
        <v>0</v>
      </c>
      <c r="Z174">
        <v>68627.600000000006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484969.44</v>
      </c>
      <c r="AH174">
        <v>0</v>
      </c>
      <c r="AI174">
        <v>0</v>
      </c>
      <c r="AJ174">
        <v>1001376452.51265</v>
      </c>
    </row>
    <row r="175" spans="1:36" x14ac:dyDescent="0.25">
      <c r="A175" t="s">
        <v>508</v>
      </c>
      <c r="B175" t="s">
        <v>15</v>
      </c>
      <c r="D175">
        <v>52767.87</v>
      </c>
      <c r="E175">
        <v>18483.740000000002</v>
      </c>
      <c r="G175">
        <v>0.27540300000000001</v>
      </c>
      <c r="H175">
        <v>0</v>
      </c>
      <c r="I175">
        <v>961691.89</v>
      </c>
      <c r="J175">
        <v>643032.05000000005</v>
      </c>
      <c r="K175">
        <v>0</v>
      </c>
      <c r="L175">
        <v>3553012.2</v>
      </c>
      <c r="M175">
        <v>0</v>
      </c>
      <c r="N175">
        <v>861318.26</v>
      </c>
      <c r="O175">
        <v>193177.01</v>
      </c>
      <c r="P175">
        <v>200289.54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511447.29</v>
      </c>
      <c r="W175">
        <v>0</v>
      </c>
      <c r="X175">
        <v>0</v>
      </c>
      <c r="Y175">
        <v>0</v>
      </c>
      <c r="Z175">
        <v>127428.8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736918.55</v>
      </c>
      <c r="AH175">
        <v>0</v>
      </c>
      <c r="AI175">
        <v>0</v>
      </c>
      <c r="AJ175">
        <v>3032915251.0020099</v>
      </c>
    </row>
    <row r="176" spans="1:36" x14ac:dyDescent="0.25">
      <c r="A176" t="s">
        <v>509</v>
      </c>
      <c r="B176" t="s">
        <v>15</v>
      </c>
      <c r="C176">
        <v>1376.95</v>
      </c>
      <c r="D176">
        <v>3930.94</v>
      </c>
      <c r="G176">
        <v>2.0516E-2</v>
      </c>
      <c r="H176">
        <v>0</v>
      </c>
      <c r="I176">
        <v>110587.85</v>
      </c>
      <c r="J176">
        <v>94437.9</v>
      </c>
      <c r="K176">
        <v>0</v>
      </c>
      <c r="L176">
        <v>258328.15</v>
      </c>
      <c r="M176">
        <v>0</v>
      </c>
      <c r="N176">
        <v>312050.78000000003</v>
      </c>
      <c r="O176">
        <v>17405.419999999998</v>
      </c>
      <c r="P176">
        <v>16090.82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117503.35</v>
      </c>
      <c r="W176">
        <v>0</v>
      </c>
      <c r="X176">
        <v>0</v>
      </c>
      <c r="Y176">
        <v>0</v>
      </c>
      <c r="Z176">
        <v>64094.3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231749.16</v>
      </c>
      <c r="AH176">
        <v>0</v>
      </c>
      <c r="AI176">
        <v>0</v>
      </c>
      <c r="AJ176">
        <v>484913301.87108201</v>
      </c>
    </row>
    <row r="177" spans="1:36" x14ac:dyDescent="0.25">
      <c r="A177" t="s">
        <v>510</v>
      </c>
      <c r="B177" t="s">
        <v>15</v>
      </c>
      <c r="C177">
        <v>8782.92</v>
      </c>
      <c r="D177">
        <v>25073.7</v>
      </c>
      <c r="G177">
        <v>0.13086300000000001</v>
      </c>
      <c r="H177">
        <v>0</v>
      </c>
      <c r="I177">
        <v>567646.07999999996</v>
      </c>
      <c r="J177">
        <v>163686.57</v>
      </c>
      <c r="K177">
        <v>0</v>
      </c>
      <c r="L177">
        <v>936314.72</v>
      </c>
      <c r="M177">
        <v>0</v>
      </c>
      <c r="N177">
        <v>235327.49</v>
      </c>
      <c r="O177">
        <v>203203.75</v>
      </c>
      <c r="P177">
        <v>187596.96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234354.88</v>
      </c>
      <c r="W177">
        <v>0</v>
      </c>
      <c r="X177">
        <v>0</v>
      </c>
      <c r="Y177">
        <v>0</v>
      </c>
      <c r="Z177">
        <v>68627.600000000006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484950.86</v>
      </c>
      <c r="AH177">
        <v>0</v>
      </c>
      <c r="AI177">
        <v>0</v>
      </c>
      <c r="AJ177">
        <v>1136625605.9862199</v>
      </c>
    </row>
    <row r="178" spans="1:36" x14ac:dyDescent="0.25">
      <c r="A178" t="s">
        <v>597</v>
      </c>
      <c r="B178" t="s">
        <v>15</v>
      </c>
      <c r="D178">
        <v>3810.92</v>
      </c>
      <c r="E178">
        <v>1334.91</v>
      </c>
      <c r="G178">
        <v>1.9890000000000001E-2</v>
      </c>
      <c r="H178">
        <v>0</v>
      </c>
      <c r="I178">
        <v>114224.86</v>
      </c>
      <c r="J178">
        <v>125722.95</v>
      </c>
      <c r="K178">
        <v>0</v>
      </c>
      <c r="L178">
        <v>179632.92</v>
      </c>
      <c r="M178">
        <v>0</v>
      </c>
      <c r="N178">
        <v>48142.32</v>
      </c>
      <c r="O178">
        <v>15877.19</v>
      </c>
      <c r="P178">
        <v>16397.75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43643.69</v>
      </c>
      <c r="W178">
        <v>0</v>
      </c>
      <c r="X178">
        <v>0</v>
      </c>
      <c r="Y178">
        <v>0</v>
      </c>
      <c r="Z178">
        <v>25988.9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11806.95</v>
      </c>
      <c r="AH178">
        <v>0</v>
      </c>
      <c r="AI178">
        <v>0</v>
      </c>
      <c r="AJ178">
        <v>433798728.78504598</v>
      </c>
    </row>
    <row r="179" spans="1:36" x14ac:dyDescent="0.25">
      <c r="A179" t="s">
        <v>598</v>
      </c>
      <c r="B179" t="s">
        <v>15</v>
      </c>
      <c r="C179">
        <v>1334.91</v>
      </c>
      <c r="D179">
        <v>3810.92</v>
      </c>
      <c r="G179">
        <v>1.9890000000000001E-2</v>
      </c>
      <c r="H179">
        <v>0</v>
      </c>
      <c r="I179">
        <v>120782.06</v>
      </c>
      <c r="J179">
        <v>125722.95</v>
      </c>
      <c r="K179">
        <v>0</v>
      </c>
      <c r="L179">
        <v>179632.92</v>
      </c>
      <c r="M179">
        <v>0</v>
      </c>
      <c r="N179">
        <v>48160.81</v>
      </c>
      <c r="O179">
        <v>18263.02</v>
      </c>
      <c r="P179">
        <v>16566.400000000001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43669.37</v>
      </c>
      <c r="W179">
        <v>0</v>
      </c>
      <c r="X179">
        <v>0</v>
      </c>
      <c r="Y179">
        <v>0</v>
      </c>
      <c r="Z179">
        <v>25988.9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11835.46</v>
      </c>
      <c r="AH179">
        <v>0</v>
      </c>
      <c r="AI179">
        <v>0</v>
      </c>
      <c r="AJ179">
        <v>446995482.96724701</v>
      </c>
    </row>
    <row r="180" spans="1:36" x14ac:dyDescent="0.25">
      <c r="A180" t="s">
        <v>628</v>
      </c>
      <c r="B180" t="s">
        <v>15</v>
      </c>
      <c r="D180">
        <v>3309.58</v>
      </c>
      <c r="E180">
        <v>1159.29</v>
      </c>
      <c r="G180">
        <v>1.7273E-2</v>
      </c>
      <c r="H180">
        <v>0</v>
      </c>
      <c r="I180">
        <v>92667.87</v>
      </c>
      <c r="J180">
        <v>125722.95</v>
      </c>
      <c r="K180">
        <v>0</v>
      </c>
      <c r="L180">
        <v>179632.92</v>
      </c>
      <c r="M180">
        <v>0</v>
      </c>
      <c r="N180">
        <v>41583.21</v>
      </c>
      <c r="O180">
        <v>13746.97</v>
      </c>
      <c r="P180">
        <v>14169.02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43288.74</v>
      </c>
      <c r="W180">
        <v>0</v>
      </c>
      <c r="X180">
        <v>0</v>
      </c>
      <c r="Y180">
        <v>0</v>
      </c>
      <c r="Z180">
        <v>25988.9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11782.85</v>
      </c>
      <c r="AH180">
        <v>0</v>
      </c>
      <c r="AI180">
        <v>0</v>
      </c>
      <c r="AJ180">
        <v>388712520.00018901</v>
      </c>
    </row>
    <row r="181" spans="1:36" x14ac:dyDescent="0.25">
      <c r="A181" t="s">
        <v>630</v>
      </c>
      <c r="B181" t="s">
        <v>15</v>
      </c>
      <c r="C181">
        <v>1159.29</v>
      </c>
      <c r="D181">
        <v>3309.58</v>
      </c>
      <c r="G181">
        <v>1.7273E-2</v>
      </c>
      <c r="H181">
        <v>0</v>
      </c>
      <c r="I181">
        <v>98000.93</v>
      </c>
      <c r="J181">
        <v>125722.95</v>
      </c>
      <c r="K181">
        <v>0</v>
      </c>
      <c r="L181">
        <v>179632.92</v>
      </c>
      <c r="M181">
        <v>0</v>
      </c>
      <c r="N181">
        <v>41582.080000000002</v>
      </c>
      <c r="O181">
        <v>15770.53</v>
      </c>
      <c r="P181">
        <v>14307.86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43477.22</v>
      </c>
      <c r="W181">
        <v>0</v>
      </c>
      <c r="X181">
        <v>0</v>
      </c>
      <c r="Y181">
        <v>0</v>
      </c>
      <c r="Z181">
        <v>25988.9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11807.17</v>
      </c>
      <c r="AH181">
        <v>0</v>
      </c>
      <c r="AI181">
        <v>0</v>
      </c>
      <c r="AJ181">
        <v>400161779.14640301</v>
      </c>
    </row>
    <row r="182" spans="1:36" x14ac:dyDescent="0.25">
      <c r="A182" t="s">
        <v>223</v>
      </c>
      <c r="B182" t="s">
        <v>16</v>
      </c>
      <c r="D182">
        <v>22512</v>
      </c>
      <c r="E182">
        <v>7885.59</v>
      </c>
      <c r="G182">
        <v>0.117493</v>
      </c>
      <c r="H182">
        <v>0</v>
      </c>
      <c r="I182">
        <v>730108.13</v>
      </c>
      <c r="J182">
        <v>774617.57</v>
      </c>
      <c r="K182">
        <v>0</v>
      </c>
      <c r="L182">
        <v>436518</v>
      </c>
      <c r="M182">
        <v>0</v>
      </c>
      <c r="N182">
        <v>227618.63</v>
      </c>
      <c r="O182">
        <v>120502.11</v>
      </c>
      <c r="P182">
        <v>125045.98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187208.49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162396.91</v>
      </c>
      <c r="AH182">
        <v>0</v>
      </c>
      <c r="AI182">
        <v>0</v>
      </c>
      <c r="AJ182">
        <v>1879081168.2969601</v>
      </c>
    </row>
    <row r="183" spans="1:36" x14ac:dyDescent="0.25">
      <c r="A183" t="s">
        <v>224</v>
      </c>
      <c r="B183" t="s">
        <v>16</v>
      </c>
      <c r="D183">
        <v>2323.52</v>
      </c>
      <c r="E183">
        <v>813.89</v>
      </c>
      <c r="G183">
        <v>1.2127000000000001E-2</v>
      </c>
      <c r="H183">
        <v>0</v>
      </c>
      <c r="I183">
        <v>30017.95</v>
      </c>
      <c r="J183">
        <v>23792.959999999999</v>
      </c>
      <c r="K183">
        <v>0</v>
      </c>
      <c r="L183">
        <v>29466.65</v>
      </c>
      <c r="M183">
        <v>0</v>
      </c>
      <c r="N183">
        <v>108148.41</v>
      </c>
      <c r="O183">
        <v>8457.7900000000009</v>
      </c>
      <c r="P183">
        <v>9303.33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115.72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4351.87</v>
      </c>
      <c r="AH183">
        <v>0</v>
      </c>
      <c r="AI183">
        <v>0</v>
      </c>
      <c r="AJ183">
        <v>114561401.915198</v>
      </c>
    </row>
    <row r="184" spans="1:36" x14ac:dyDescent="0.25">
      <c r="A184" t="s">
        <v>225</v>
      </c>
      <c r="B184" t="s">
        <v>16</v>
      </c>
      <c r="C184">
        <v>7885.59</v>
      </c>
      <c r="D184">
        <v>22512</v>
      </c>
      <c r="G184">
        <v>0.117493</v>
      </c>
      <c r="H184">
        <v>0</v>
      </c>
      <c r="I184">
        <v>755659.01</v>
      </c>
      <c r="J184">
        <v>774617.57</v>
      </c>
      <c r="K184">
        <v>0</v>
      </c>
      <c r="L184">
        <v>436518</v>
      </c>
      <c r="M184">
        <v>0</v>
      </c>
      <c r="N184">
        <v>227658.66</v>
      </c>
      <c r="O184">
        <v>139215.53</v>
      </c>
      <c r="P184">
        <v>128855.74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189480.48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162393.85999999999</v>
      </c>
      <c r="AH184">
        <v>0</v>
      </c>
      <c r="AI184">
        <v>0</v>
      </c>
      <c r="AJ184">
        <v>1907844656.7614701</v>
      </c>
    </row>
    <row r="185" spans="1:36" x14ac:dyDescent="0.25">
      <c r="A185" t="s">
        <v>226</v>
      </c>
      <c r="B185" t="s">
        <v>16</v>
      </c>
      <c r="C185">
        <v>813.89</v>
      </c>
      <c r="D185">
        <v>2323.52</v>
      </c>
      <c r="G185">
        <v>1.2127000000000001E-2</v>
      </c>
      <c r="H185">
        <v>0</v>
      </c>
      <c r="I185">
        <v>44640.2</v>
      </c>
      <c r="J185">
        <v>23792.959999999999</v>
      </c>
      <c r="K185">
        <v>0</v>
      </c>
      <c r="L185">
        <v>29466.65</v>
      </c>
      <c r="M185">
        <v>0</v>
      </c>
      <c r="N185">
        <v>108147.31</v>
      </c>
      <c r="O185">
        <v>14279.21</v>
      </c>
      <c r="P185">
        <v>12607.38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115.72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4351.87</v>
      </c>
      <c r="AH185">
        <v>0</v>
      </c>
      <c r="AI185">
        <v>0</v>
      </c>
      <c r="AJ185">
        <v>133751214.87320299</v>
      </c>
    </row>
    <row r="186" spans="1:36" x14ac:dyDescent="0.25">
      <c r="A186" t="s">
        <v>227</v>
      </c>
      <c r="B186" t="s">
        <v>16</v>
      </c>
      <c r="D186">
        <v>30575.87</v>
      </c>
      <c r="E186">
        <v>10710.24</v>
      </c>
      <c r="G186">
        <v>0.15958</v>
      </c>
      <c r="H186">
        <v>0</v>
      </c>
      <c r="I186">
        <v>1057465.6100000001</v>
      </c>
      <c r="J186">
        <v>463682.79</v>
      </c>
      <c r="K186">
        <v>0</v>
      </c>
      <c r="L186">
        <v>831153.37</v>
      </c>
      <c r="M186">
        <v>0</v>
      </c>
      <c r="N186">
        <v>253487.47</v>
      </c>
      <c r="O186">
        <v>266537.40000000002</v>
      </c>
      <c r="P186">
        <v>287665.67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410618.59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106295.79</v>
      </c>
      <c r="AH186">
        <v>0</v>
      </c>
      <c r="AI186">
        <v>0</v>
      </c>
      <c r="AJ186">
        <v>1456214409.51529</v>
      </c>
    </row>
    <row r="187" spans="1:36" x14ac:dyDescent="0.25">
      <c r="A187" t="s">
        <v>228</v>
      </c>
      <c r="B187" t="s">
        <v>16</v>
      </c>
      <c r="D187">
        <v>4838.79</v>
      </c>
      <c r="E187">
        <v>1694.95</v>
      </c>
      <c r="G187">
        <v>2.5253999999999999E-2</v>
      </c>
      <c r="H187">
        <v>0</v>
      </c>
      <c r="I187">
        <v>236156.4</v>
      </c>
      <c r="J187">
        <v>201226.15</v>
      </c>
      <c r="K187">
        <v>0</v>
      </c>
      <c r="L187">
        <v>282049.05</v>
      </c>
      <c r="M187">
        <v>0</v>
      </c>
      <c r="N187">
        <v>103252.13</v>
      </c>
      <c r="O187">
        <v>26870.18</v>
      </c>
      <c r="P187">
        <v>27751.09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69251.58</v>
      </c>
      <c r="W187">
        <v>0</v>
      </c>
      <c r="X187">
        <v>0</v>
      </c>
      <c r="Y187">
        <v>0</v>
      </c>
      <c r="Z187">
        <v>65854.75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115935.89</v>
      </c>
      <c r="AH187">
        <v>0</v>
      </c>
      <c r="AI187">
        <v>0</v>
      </c>
      <c r="AJ187">
        <v>332517340.75485802</v>
      </c>
    </row>
    <row r="188" spans="1:36" x14ac:dyDescent="0.25">
      <c r="A188" t="s">
        <v>229</v>
      </c>
      <c r="B188" t="s">
        <v>16</v>
      </c>
      <c r="C188">
        <v>10710.24</v>
      </c>
      <c r="D188">
        <v>30575.87</v>
      </c>
      <c r="G188">
        <v>0.15958</v>
      </c>
      <c r="H188">
        <v>0</v>
      </c>
      <c r="I188">
        <v>1244850.69</v>
      </c>
      <c r="J188">
        <v>463682.79</v>
      </c>
      <c r="K188">
        <v>0</v>
      </c>
      <c r="L188">
        <v>831153.37</v>
      </c>
      <c r="M188">
        <v>0</v>
      </c>
      <c r="N188">
        <v>254474.02</v>
      </c>
      <c r="O188">
        <v>307826.68</v>
      </c>
      <c r="P188">
        <v>289149.82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408826.6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106297.72</v>
      </c>
      <c r="AH188">
        <v>0</v>
      </c>
      <c r="AI188">
        <v>0</v>
      </c>
      <c r="AJ188">
        <v>1636878896.07989</v>
      </c>
    </row>
    <row r="189" spans="1:36" x14ac:dyDescent="0.25">
      <c r="A189" t="s">
        <v>230</v>
      </c>
      <c r="B189" t="s">
        <v>16</v>
      </c>
      <c r="C189">
        <v>1694.95</v>
      </c>
      <c r="D189">
        <v>4838.79</v>
      </c>
      <c r="G189">
        <v>2.5253999999999999E-2</v>
      </c>
      <c r="H189">
        <v>0</v>
      </c>
      <c r="I189">
        <v>243585.64</v>
      </c>
      <c r="J189">
        <v>201226.15</v>
      </c>
      <c r="K189">
        <v>0</v>
      </c>
      <c r="L189">
        <v>282049.05</v>
      </c>
      <c r="M189">
        <v>0</v>
      </c>
      <c r="N189">
        <v>103261.54</v>
      </c>
      <c r="O189">
        <v>29620.54</v>
      </c>
      <c r="P189">
        <v>27768.66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69266.960000000006</v>
      </c>
      <c r="W189">
        <v>0</v>
      </c>
      <c r="X189">
        <v>0</v>
      </c>
      <c r="Y189">
        <v>0</v>
      </c>
      <c r="Z189">
        <v>65854.75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115932.59</v>
      </c>
      <c r="AH189">
        <v>0</v>
      </c>
      <c r="AI189">
        <v>0</v>
      </c>
      <c r="AJ189">
        <v>347567082.35585499</v>
      </c>
    </row>
    <row r="190" spans="1:36" x14ac:dyDescent="0.25">
      <c r="A190" t="s">
        <v>231</v>
      </c>
      <c r="B190" t="s">
        <v>16</v>
      </c>
      <c r="D190">
        <v>37793.910000000003</v>
      </c>
      <c r="E190">
        <v>13238.61</v>
      </c>
      <c r="G190">
        <v>0.19725200000000001</v>
      </c>
      <c r="H190">
        <v>0</v>
      </c>
      <c r="I190">
        <v>1282461.55</v>
      </c>
      <c r="J190">
        <v>857863.39</v>
      </c>
      <c r="K190">
        <v>0</v>
      </c>
      <c r="L190">
        <v>1141299.43</v>
      </c>
      <c r="M190">
        <v>0</v>
      </c>
      <c r="N190">
        <v>350751.15</v>
      </c>
      <c r="O190">
        <v>348853.53</v>
      </c>
      <c r="P190">
        <v>376268.83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366843.68</v>
      </c>
      <c r="W190">
        <v>0</v>
      </c>
      <c r="X190">
        <v>0</v>
      </c>
      <c r="Y190">
        <v>0</v>
      </c>
      <c r="Z190">
        <v>43737.51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252623.1</v>
      </c>
      <c r="AH190">
        <v>0</v>
      </c>
      <c r="AI190">
        <v>0</v>
      </c>
      <c r="AJ190">
        <v>2193659713.0514898</v>
      </c>
    </row>
    <row r="191" spans="1:36" x14ac:dyDescent="0.25">
      <c r="A191" t="s">
        <v>232</v>
      </c>
      <c r="B191" t="s">
        <v>16</v>
      </c>
      <c r="C191">
        <v>1871.91</v>
      </c>
      <c r="D191">
        <v>5343.99</v>
      </c>
      <c r="G191">
        <v>2.7890999999999999E-2</v>
      </c>
      <c r="H191">
        <v>0</v>
      </c>
      <c r="I191">
        <v>229102.42</v>
      </c>
      <c r="J191">
        <v>197273.03</v>
      </c>
      <c r="K191">
        <v>0</v>
      </c>
      <c r="L191">
        <v>258328.15</v>
      </c>
      <c r="M191">
        <v>0</v>
      </c>
      <c r="N191">
        <v>328478.58</v>
      </c>
      <c r="O191">
        <v>33355.1</v>
      </c>
      <c r="P191">
        <v>31355.63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34426.86</v>
      </c>
      <c r="W191">
        <v>0</v>
      </c>
      <c r="X191">
        <v>0</v>
      </c>
      <c r="Y191">
        <v>0</v>
      </c>
      <c r="Z191">
        <v>64094.3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213473.59</v>
      </c>
      <c r="AH191">
        <v>0</v>
      </c>
      <c r="AI191">
        <v>0</v>
      </c>
      <c r="AJ191">
        <v>559391084.025828</v>
      </c>
    </row>
    <row r="192" spans="1:36" x14ac:dyDescent="0.25">
      <c r="A192" t="s">
        <v>233</v>
      </c>
      <c r="B192" t="s">
        <v>16</v>
      </c>
      <c r="D192">
        <v>31945.7</v>
      </c>
      <c r="E192">
        <v>11190.07</v>
      </c>
      <c r="G192">
        <v>0.16672899999999999</v>
      </c>
      <c r="H192">
        <v>0</v>
      </c>
      <c r="I192">
        <v>878658.01</v>
      </c>
      <c r="J192">
        <v>350734.07</v>
      </c>
      <c r="K192">
        <v>0</v>
      </c>
      <c r="L192">
        <v>936314.72</v>
      </c>
      <c r="M192">
        <v>0</v>
      </c>
      <c r="N192">
        <v>303296.08</v>
      </c>
      <c r="O192">
        <v>273088.55</v>
      </c>
      <c r="P192">
        <v>294907.96999999997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102125.54</v>
      </c>
      <c r="W192">
        <v>0</v>
      </c>
      <c r="X192">
        <v>0</v>
      </c>
      <c r="Y192">
        <v>0</v>
      </c>
      <c r="Z192">
        <v>68627.600000000006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446563.07</v>
      </c>
      <c r="AH192">
        <v>0</v>
      </c>
      <c r="AI192">
        <v>0</v>
      </c>
      <c r="AJ192">
        <v>1273419062.81283</v>
      </c>
    </row>
    <row r="193" spans="1:36" x14ac:dyDescent="0.25">
      <c r="A193" t="s">
        <v>234</v>
      </c>
      <c r="B193" t="s">
        <v>16</v>
      </c>
      <c r="D193">
        <v>5343.99</v>
      </c>
      <c r="E193">
        <v>1871.91</v>
      </c>
      <c r="G193">
        <v>2.7890999999999999E-2</v>
      </c>
      <c r="H193">
        <v>0</v>
      </c>
      <c r="I193">
        <v>212650.7</v>
      </c>
      <c r="J193">
        <v>197273.03</v>
      </c>
      <c r="K193">
        <v>0</v>
      </c>
      <c r="L193">
        <v>258328.15</v>
      </c>
      <c r="M193">
        <v>0</v>
      </c>
      <c r="N193">
        <v>328628.5</v>
      </c>
      <c r="O193">
        <v>29512.95</v>
      </c>
      <c r="P193">
        <v>31365.37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35524.85</v>
      </c>
      <c r="W193">
        <v>0</v>
      </c>
      <c r="X193">
        <v>0</v>
      </c>
      <c r="Y193">
        <v>0</v>
      </c>
      <c r="Z193">
        <v>64094.3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213474.56</v>
      </c>
      <c r="AH193">
        <v>0</v>
      </c>
      <c r="AI193">
        <v>0</v>
      </c>
      <c r="AJ193">
        <v>531448465.95458502</v>
      </c>
    </row>
    <row r="194" spans="1:36" x14ac:dyDescent="0.25">
      <c r="A194" t="s">
        <v>235</v>
      </c>
      <c r="B194" t="s">
        <v>16</v>
      </c>
      <c r="C194">
        <v>13238.61</v>
      </c>
      <c r="D194">
        <v>37793.910000000003</v>
      </c>
      <c r="G194">
        <v>0.19725200000000001</v>
      </c>
      <c r="H194">
        <v>0</v>
      </c>
      <c r="I194">
        <v>1545982.61</v>
      </c>
      <c r="J194">
        <v>857863.39</v>
      </c>
      <c r="K194">
        <v>0</v>
      </c>
      <c r="L194">
        <v>1141299.43</v>
      </c>
      <c r="M194">
        <v>0</v>
      </c>
      <c r="N194">
        <v>350635.77</v>
      </c>
      <c r="O194">
        <v>407617.53</v>
      </c>
      <c r="P194">
        <v>381605.1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355594.73</v>
      </c>
      <c r="W194">
        <v>0</v>
      </c>
      <c r="X194">
        <v>0</v>
      </c>
      <c r="Y194">
        <v>0</v>
      </c>
      <c r="Z194">
        <v>43737.51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252628.46</v>
      </c>
      <c r="AH194">
        <v>0</v>
      </c>
      <c r="AI194">
        <v>0</v>
      </c>
      <c r="AJ194">
        <v>2279115165.5387998</v>
      </c>
    </row>
    <row r="195" spans="1:36" x14ac:dyDescent="0.25">
      <c r="A195" t="s">
        <v>236</v>
      </c>
      <c r="B195" t="s">
        <v>16</v>
      </c>
      <c r="D195">
        <v>77085.25</v>
      </c>
      <c r="E195">
        <v>27001.74</v>
      </c>
      <c r="G195">
        <v>0.40231800000000001</v>
      </c>
      <c r="H195">
        <v>0</v>
      </c>
      <c r="I195">
        <v>2477600.44</v>
      </c>
      <c r="J195">
        <v>1274541.22</v>
      </c>
      <c r="K195">
        <v>0</v>
      </c>
      <c r="L195">
        <v>3553012.2</v>
      </c>
      <c r="M195">
        <v>0</v>
      </c>
      <c r="N195">
        <v>1106346.8500000001</v>
      </c>
      <c r="O195">
        <v>446182.66</v>
      </c>
      <c r="P195">
        <v>475914.12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530805.19999999995</v>
      </c>
      <c r="W195">
        <v>0</v>
      </c>
      <c r="X195">
        <v>0</v>
      </c>
      <c r="Y195">
        <v>0</v>
      </c>
      <c r="Z195">
        <v>127428.8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678590.72</v>
      </c>
      <c r="AH195">
        <v>0</v>
      </c>
      <c r="AI195">
        <v>0</v>
      </c>
      <c r="AJ195">
        <v>3632865481.3134699</v>
      </c>
    </row>
    <row r="196" spans="1:36" x14ac:dyDescent="0.25">
      <c r="A196" t="s">
        <v>237</v>
      </c>
      <c r="B196" t="s">
        <v>16</v>
      </c>
      <c r="C196">
        <v>27001.74</v>
      </c>
      <c r="D196">
        <v>77085.25</v>
      </c>
      <c r="G196">
        <v>0.40231800000000001</v>
      </c>
      <c r="H196">
        <v>0</v>
      </c>
      <c r="I196">
        <v>2733098.12</v>
      </c>
      <c r="J196">
        <v>1274541.22</v>
      </c>
      <c r="K196">
        <v>0</v>
      </c>
      <c r="L196">
        <v>3553012.2</v>
      </c>
      <c r="M196">
        <v>0</v>
      </c>
      <c r="N196">
        <v>1106180.1599999999</v>
      </c>
      <c r="O196">
        <v>507912.3</v>
      </c>
      <c r="P196">
        <v>477035.17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534335.22</v>
      </c>
      <c r="W196">
        <v>0</v>
      </c>
      <c r="X196">
        <v>0</v>
      </c>
      <c r="Y196">
        <v>0</v>
      </c>
      <c r="Z196">
        <v>127428.8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678638.88</v>
      </c>
      <c r="AH196">
        <v>0</v>
      </c>
      <c r="AI196">
        <v>0</v>
      </c>
      <c r="AJ196">
        <v>3967525000.6695399</v>
      </c>
    </row>
    <row r="197" spans="1:36" x14ac:dyDescent="0.25">
      <c r="A197" t="s">
        <v>238</v>
      </c>
      <c r="B197" t="s">
        <v>16</v>
      </c>
      <c r="C197">
        <v>11190.07</v>
      </c>
      <c r="D197">
        <v>31945.7</v>
      </c>
      <c r="G197">
        <v>0.16672899999999999</v>
      </c>
      <c r="H197">
        <v>0</v>
      </c>
      <c r="I197">
        <v>1212947.3400000001</v>
      </c>
      <c r="J197">
        <v>350734.07</v>
      </c>
      <c r="K197">
        <v>0</v>
      </c>
      <c r="L197">
        <v>936314.72</v>
      </c>
      <c r="M197">
        <v>0</v>
      </c>
      <c r="N197">
        <v>304531.81</v>
      </c>
      <c r="O197">
        <v>315745.71000000002</v>
      </c>
      <c r="P197">
        <v>297038.83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102830.32</v>
      </c>
      <c r="W197">
        <v>0</v>
      </c>
      <c r="X197">
        <v>0</v>
      </c>
      <c r="Y197">
        <v>0</v>
      </c>
      <c r="Z197">
        <v>68627.600000000006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446568.6</v>
      </c>
      <c r="AH197">
        <v>0</v>
      </c>
      <c r="AI197">
        <v>0</v>
      </c>
      <c r="AJ197">
        <v>1430135714.3174801</v>
      </c>
    </row>
    <row r="198" spans="1:36" x14ac:dyDescent="0.25">
      <c r="A198" t="s">
        <v>479</v>
      </c>
      <c r="B198" t="s">
        <v>16</v>
      </c>
      <c r="C198">
        <v>7327.34</v>
      </c>
      <c r="D198">
        <v>20918.27</v>
      </c>
      <c r="G198">
        <v>0.10917499999999999</v>
      </c>
      <c r="H198">
        <v>0</v>
      </c>
      <c r="I198">
        <v>686711.52</v>
      </c>
      <c r="J198">
        <v>394508.4</v>
      </c>
      <c r="K198">
        <v>0</v>
      </c>
      <c r="L198">
        <v>436518</v>
      </c>
      <c r="M198">
        <v>0</v>
      </c>
      <c r="N198">
        <v>186494.58</v>
      </c>
      <c r="O198">
        <v>132101.34</v>
      </c>
      <c r="P198">
        <v>122613.71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302860.31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162404.29999999999</v>
      </c>
      <c r="AH198">
        <v>0</v>
      </c>
      <c r="AI198">
        <v>0</v>
      </c>
      <c r="AJ198">
        <v>1562551221.6073999</v>
      </c>
    </row>
    <row r="199" spans="1:36" x14ac:dyDescent="0.25">
      <c r="A199" t="s">
        <v>480</v>
      </c>
      <c r="B199" t="s">
        <v>16</v>
      </c>
      <c r="D199">
        <v>20918.27</v>
      </c>
      <c r="E199">
        <v>7327.34</v>
      </c>
      <c r="G199">
        <v>0.10917499999999999</v>
      </c>
      <c r="H199">
        <v>0</v>
      </c>
      <c r="I199">
        <v>645541.29</v>
      </c>
      <c r="J199">
        <v>394508.4</v>
      </c>
      <c r="K199">
        <v>0</v>
      </c>
      <c r="L199">
        <v>436518</v>
      </c>
      <c r="M199">
        <v>0</v>
      </c>
      <c r="N199">
        <v>186490.8</v>
      </c>
      <c r="O199">
        <v>114548.67</v>
      </c>
      <c r="P199">
        <v>120088.52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300502.34999999998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162406.37</v>
      </c>
      <c r="AH199">
        <v>0</v>
      </c>
      <c r="AI199">
        <v>0</v>
      </c>
      <c r="AJ199">
        <v>1511967153.73276</v>
      </c>
    </row>
    <row r="200" spans="1:36" x14ac:dyDescent="0.25">
      <c r="A200" t="s">
        <v>481</v>
      </c>
      <c r="B200" t="s">
        <v>16</v>
      </c>
      <c r="C200">
        <v>456.89</v>
      </c>
      <c r="D200">
        <v>1304.33</v>
      </c>
      <c r="G200">
        <v>6.8069999999999997E-3</v>
      </c>
      <c r="H200">
        <v>0</v>
      </c>
      <c r="I200">
        <v>21435.200000000001</v>
      </c>
      <c r="J200">
        <v>12134.67</v>
      </c>
      <c r="K200">
        <v>0</v>
      </c>
      <c r="L200">
        <v>29466.65</v>
      </c>
      <c r="M200">
        <v>0</v>
      </c>
      <c r="N200">
        <v>57166.63</v>
      </c>
      <c r="O200">
        <v>6454.91</v>
      </c>
      <c r="P200">
        <v>5589.18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257.89999999999998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4351.71</v>
      </c>
      <c r="AH200">
        <v>0</v>
      </c>
      <c r="AI200">
        <v>0</v>
      </c>
      <c r="AJ200">
        <v>58566361.777669698</v>
      </c>
    </row>
    <row r="201" spans="1:36" x14ac:dyDescent="0.25">
      <c r="A201" t="s">
        <v>482</v>
      </c>
      <c r="B201" t="s">
        <v>16</v>
      </c>
      <c r="D201">
        <v>1304.33</v>
      </c>
      <c r="E201">
        <v>456.89</v>
      </c>
      <c r="G201">
        <v>6.8069999999999997E-3</v>
      </c>
      <c r="H201">
        <v>0</v>
      </c>
      <c r="I201">
        <v>14061.27</v>
      </c>
      <c r="J201">
        <v>12134.67</v>
      </c>
      <c r="K201">
        <v>0</v>
      </c>
      <c r="L201">
        <v>29466.65</v>
      </c>
      <c r="M201">
        <v>0</v>
      </c>
      <c r="N201">
        <v>57168.03</v>
      </c>
      <c r="O201">
        <v>3736.72</v>
      </c>
      <c r="P201">
        <v>4125.55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257.88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4351.71</v>
      </c>
      <c r="AH201">
        <v>0</v>
      </c>
      <c r="AI201">
        <v>0</v>
      </c>
      <c r="AJ201">
        <v>50125551.680375502</v>
      </c>
    </row>
    <row r="202" spans="1:36" x14ac:dyDescent="0.25">
      <c r="A202" t="s">
        <v>483</v>
      </c>
      <c r="B202" t="s">
        <v>16</v>
      </c>
      <c r="D202">
        <v>3608.44</v>
      </c>
      <c r="E202">
        <v>1263.98</v>
      </c>
      <c r="G202">
        <v>1.8832999999999999E-2</v>
      </c>
      <c r="H202">
        <v>0</v>
      </c>
      <c r="I202">
        <v>166938.35999999999</v>
      </c>
      <c r="J202">
        <v>103288.37</v>
      </c>
      <c r="K202">
        <v>0</v>
      </c>
      <c r="L202">
        <v>282049.05</v>
      </c>
      <c r="M202">
        <v>0</v>
      </c>
      <c r="N202">
        <v>71731</v>
      </c>
      <c r="O202">
        <v>19430.900000000001</v>
      </c>
      <c r="P202">
        <v>19995.73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42832.38</v>
      </c>
      <c r="W202">
        <v>0</v>
      </c>
      <c r="X202">
        <v>0</v>
      </c>
      <c r="Y202">
        <v>0</v>
      </c>
      <c r="Z202">
        <v>65854.75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115921.87</v>
      </c>
      <c r="AH202">
        <v>0</v>
      </c>
      <c r="AI202">
        <v>0</v>
      </c>
      <c r="AJ202">
        <v>253180773.10851201</v>
      </c>
    </row>
    <row r="203" spans="1:36" x14ac:dyDescent="0.25">
      <c r="A203" t="s">
        <v>484</v>
      </c>
      <c r="B203" t="s">
        <v>16</v>
      </c>
      <c r="C203">
        <v>7037.89</v>
      </c>
      <c r="D203">
        <v>20091.939999999999</v>
      </c>
      <c r="G203">
        <v>0.104863</v>
      </c>
      <c r="H203">
        <v>0</v>
      </c>
      <c r="I203">
        <v>837165.62</v>
      </c>
      <c r="J203">
        <v>239542.44</v>
      </c>
      <c r="K203">
        <v>0</v>
      </c>
      <c r="L203">
        <v>831153.37</v>
      </c>
      <c r="M203">
        <v>0</v>
      </c>
      <c r="N203">
        <v>206892.02</v>
      </c>
      <c r="O203">
        <v>208406.61</v>
      </c>
      <c r="P203">
        <v>195611.11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136806.84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106288.95</v>
      </c>
      <c r="AH203">
        <v>0</v>
      </c>
      <c r="AI203">
        <v>0</v>
      </c>
      <c r="AJ203">
        <v>1152084489.9514999</v>
      </c>
    </row>
    <row r="204" spans="1:36" x14ac:dyDescent="0.25">
      <c r="A204" t="s">
        <v>485</v>
      </c>
      <c r="B204" t="s">
        <v>16</v>
      </c>
      <c r="D204">
        <v>20091.939999999999</v>
      </c>
      <c r="E204">
        <v>7037.89</v>
      </c>
      <c r="G204">
        <v>0.104863</v>
      </c>
      <c r="H204">
        <v>0</v>
      </c>
      <c r="I204">
        <v>692462.12</v>
      </c>
      <c r="J204">
        <v>239542.44</v>
      </c>
      <c r="K204">
        <v>0</v>
      </c>
      <c r="L204">
        <v>831153.37</v>
      </c>
      <c r="M204">
        <v>0</v>
      </c>
      <c r="N204">
        <v>206524.64</v>
      </c>
      <c r="O204">
        <v>178333.3</v>
      </c>
      <c r="P204">
        <v>191512.06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138390.22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106286.01</v>
      </c>
      <c r="AH204">
        <v>0</v>
      </c>
      <c r="AI204">
        <v>0</v>
      </c>
      <c r="AJ204">
        <v>1029156382.2685699</v>
      </c>
    </row>
    <row r="205" spans="1:36" x14ac:dyDescent="0.25">
      <c r="A205" t="s">
        <v>486</v>
      </c>
      <c r="B205" t="s">
        <v>16</v>
      </c>
      <c r="C205">
        <v>1263.98</v>
      </c>
      <c r="D205">
        <v>3608.44</v>
      </c>
      <c r="G205">
        <v>1.8832999999999999E-2</v>
      </c>
      <c r="H205">
        <v>0</v>
      </c>
      <c r="I205">
        <v>172894.19</v>
      </c>
      <c r="J205">
        <v>103288.37</v>
      </c>
      <c r="K205">
        <v>0</v>
      </c>
      <c r="L205">
        <v>282049.05</v>
      </c>
      <c r="M205">
        <v>0</v>
      </c>
      <c r="N205">
        <v>71743.12</v>
      </c>
      <c r="O205">
        <v>21369.88</v>
      </c>
      <c r="P205">
        <v>20018.43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42842.71</v>
      </c>
      <c r="W205">
        <v>0</v>
      </c>
      <c r="X205">
        <v>0</v>
      </c>
      <c r="Y205">
        <v>0</v>
      </c>
      <c r="Z205">
        <v>65854.75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115922.95</v>
      </c>
      <c r="AH205">
        <v>0</v>
      </c>
      <c r="AI205">
        <v>0</v>
      </c>
      <c r="AJ205">
        <v>259776094.435893</v>
      </c>
    </row>
    <row r="206" spans="1:36" x14ac:dyDescent="0.25">
      <c r="A206" t="s">
        <v>487</v>
      </c>
      <c r="B206" t="s">
        <v>16</v>
      </c>
      <c r="C206">
        <v>12189</v>
      </c>
      <c r="D206">
        <v>34797.47</v>
      </c>
      <c r="G206">
        <v>0.181613</v>
      </c>
      <c r="H206">
        <v>0</v>
      </c>
      <c r="I206">
        <v>1413432.73</v>
      </c>
      <c r="J206">
        <v>626942.71</v>
      </c>
      <c r="K206">
        <v>0</v>
      </c>
      <c r="L206">
        <v>1141299.43</v>
      </c>
      <c r="M206">
        <v>0</v>
      </c>
      <c r="N206">
        <v>311901.3</v>
      </c>
      <c r="O206">
        <v>375562.47</v>
      </c>
      <c r="P206">
        <v>351410.87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437016.52</v>
      </c>
      <c r="W206">
        <v>0</v>
      </c>
      <c r="X206">
        <v>0</v>
      </c>
      <c r="Y206">
        <v>0</v>
      </c>
      <c r="Z206">
        <v>43737.51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252644.44</v>
      </c>
      <c r="AH206">
        <v>0</v>
      </c>
      <c r="AI206">
        <v>0</v>
      </c>
      <c r="AJ206">
        <v>2046523317.28894</v>
      </c>
    </row>
    <row r="207" spans="1:36" x14ac:dyDescent="0.25">
      <c r="A207" t="s">
        <v>488</v>
      </c>
      <c r="B207" t="s">
        <v>16</v>
      </c>
      <c r="D207">
        <v>34797.47</v>
      </c>
      <c r="E207">
        <v>12189</v>
      </c>
      <c r="G207">
        <v>0.181613</v>
      </c>
      <c r="H207">
        <v>0</v>
      </c>
      <c r="I207">
        <v>1164190.02</v>
      </c>
      <c r="J207">
        <v>626942.71</v>
      </c>
      <c r="K207">
        <v>0</v>
      </c>
      <c r="L207">
        <v>1141299.43</v>
      </c>
      <c r="M207">
        <v>0</v>
      </c>
      <c r="N207">
        <v>311977.5</v>
      </c>
      <c r="O207">
        <v>321346.03000000003</v>
      </c>
      <c r="P207">
        <v>346584.44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452388.56</v>
      </c>
      <c r="W207">
        <v>0</v>
      </c>
      <c r="X207">
        <v>0</v>
      </c>
      <c r="Y207">
        <v>0</v>
      </c>
      <c r="Z207">
        <v>43737.51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252627.01</v>
      </c>
      <c r="AH207">
        <v>0</v>
      </c>
      <c r="AI207">
        <v>0</v>
      </c>
      <c r="AJ207">
        <v>1985429853.5288401</v>
      </c>
    </row>
    <row r="208" spans="1:36" x14ac:dyDescent="0.25">
      <c r="A208" t="s">
        <v>489</v>
      </c>
      <c r="B208" t="s">
        <v>16</v>
      </c>
      <c r="D208">
        <v>55419.11</v>
      </c>
      <c r="E208">
        <v>19412.43</v>
      </c>
      <c r="G208">
        <v>0.28924</v>
      </c>
      <c r="H208">
        <v>0</v>
      </c>
      <c r="I208">
        <v>1744621.88</v>
      </c>
      <c r="J208">
        <v>643032.05000000005</v>
      </c>
      <c r="K208">
        <v>0</v>
      </c>
      <c r="L208">
        <v>3553012.2</v>
      </c>
      <c r="M208">
        <v>0</v>
      </c>
      <c r="N208">
        <v>928168.11</v>
      </c>
      <c r="O208">
        <v>301292.02</v>
      </c>
      <c r="P208">
        <v>320530.95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287622.45</v>
      </c>
      <c r="W208">
        <v>0</v>
      </c>
      <c r="X208">
        <v>0</v>
      </c>
      <c r="Y208">
        <v>0</v>
      </c>
      <c r="Z208">
        <v>127428.8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678443.29</v>
      </c>
      <c r="AH208">
        <v>0</v>
      </c>
      <c r="AI208">
        <v>0</v>
      </c>
      <c r="AJ208">
        <v>2796900295.6138301</v>
      </c>
    </row>
    <row r="209" spans="1:36" x14ac:dyDescent="0.25">
      <c r="A209" t="s">
        <v>490</v>
      </c>
      <c r="B209" t="s">
        <v>16</v>
      </c>
      <c r="D209">
        <v>4248.76</v>
      </c>
      <c r="E209">
        <v>1488.27</v>
      </c>
      <c r="G209">
        <v>2.2175E-2</v>
      </c>
      <c r="H209">
        <v>0</v>
      </c>
      <c r="I209">
        <v>168971.06</v>
      </c>
      <c r="J209">
        <v>94437.9</v>
      </c>
      <c r="K209">
        <v>0</v>
      </c>
      <c r="L209">
        <v>258328.15</v>
      </c>
      <c r="M209">
        <v>0</v>
      </c>
      <c r="N209">
        <v>306839.65999999997</v>
      </c>
      <c r="O209">
        <v>22666.11</v>
      </c>
      <c r="P209">
        <v>24099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42881.96</v>
      </c>
      <c r="W209">
        <v>0</v>
      </c>
      <c r="X209">
        <v>0</v>
      </c>
      <c r="Y209">
        <v>0</v>
      </c>
      <c r="Z209">
        <v>64094.3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213482.31</v>
      </c>
      <c r="AH209">
        <v>0</v>
      </c>
      <c r="AI209">
        <v>0</v>
      </c>
      <c r="AJ209">
        <v>425732129.280222</v>
      </c>
    </row>
    <row r="210" spans="1:36" x14ac:dyDescent="0.25">
      <c r="A210" t="s">
        <v>491</v>
      </c>
      <c r="B210" t="s">
        <v>16</v>
      </c>
      <c r="C210">
        <v>1488.27</v>
      </c>
      <c r="D210">
        <v>4248.76</v>
      </c>
      <c r="G210">
        <v>2.2175E-2</v>
      </c>
      <c r="H210">
        <v>0</v>
      </c>
      <c r="I210">
        <v>183324.57</v>
      </c>
      <c r="J210">
        <v>94437.9</v>
      </c>
      <c r="K210">
        <v>0</v>
      </c>
      <c r="L210">
        <v>258328.15</v>
      </c>
      <c r="M210">
        <v>0</v>
      </c>
      <c r="N210">
        <v>307114.58</v>
      </c>
      <c r="O210">
        <v>25688.9</v>
      </c>
      <c r="P210">
        <v>24161.42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42029.22</v>
      </c>
      <c r="W210">
        <v>0</v>
      </c>
      <c r="X210">
        <v>0</v>
      </c>
      <c r="Y210">
        <v>0</v>
      </c>
      <c r="Z210">
        <v>64094.3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213472.92</v>
      </c>
      <c r="AH210">
        <v>0</v>
      </c>
      <c r="AI210">
        <v>0</v>
      </c>
      <c r="AJ210">
        <v>447221207.56706601</v>
      </c>
    </row>
    <row r="211" spans="1:36" x14ac:dyDescent="0.25">
      <c r="A211" t="s">
        <v>492</v>
      </c>
      <c r="B211" t="s">
        <v>16</v>
      </c>
      <c r="C211">
        <v>9317.93</v>
      </c>
      <c r="D211">
        <v>26601.06</v>
      </c>
      <c r="G211">
        <v>0.13883499999999999</v>
      </c>
      <c r="H211">
        <v>0</v>
      </c>
      <c r="I211">
        <v>973926.34</v>
      </c>
      <c r="J211">
        <v>163686.57</v>
      </c>
      <c r="K211">
        <v>0</v>
      </c>
      <c r="L211">
        <v>936314.72</v>
      </c>
      <c r="M211">
        <v>0</v>
      </c>
      <c r="N211">
        <v>254298.5</v>
      </c>
      <c r="O211">
        <v>251151.31</v>
      </c>
      <c r="P211">
        <v>236303.53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109309.77</v>
      </c>
      <c r="W211">
        <v>0</v>
      </c>
      <c r="X211">
        <v>0</v>
      </c>
      <c r="Y211">
        <v>0</v>
      </c>
      <c r="Z211">
        <v>68627.600000000006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446536.23</v>
      </c>
      <c r="AH211">
        <v>0</v>
      </c>
      <c r="AI211">
        <v>0</v>
      </c>
      <c r="AJ211">
        <v>1123673965.29826</v>
      </c>
    </row>
    <row r="212" spans="1:36" x14ac:dyDescent="0.25">
      <c r="A212" t="s">
        <v>493</v>
      </c>
      <c r="B212" t="s">
        <v>16</v>
      </c>
      <c r="C212">
        <v>19412.43</v>
      </c>
      <c r="D212">
        <v>55419.11</v>
      </c>
      <c r="G212">
        <v>0.28924</v>
      </c>
      <c r="H212">
        <v>0</v>
      </c>
      <c r="I212">
        <v>1917511.37</v>
      </c>
      <c r="J212">
        <v>643032.05000000005</v>
      </c>
      <c r="K212">
        <v>0</v>
      </c>
      <c r="L212">
        <v>3553012.2</v>
      </c>
      <c r="M212">
        <v>0</v>
      </c>
      <c r="N212">
        <v>928408.79</v>
      </c>
      <c r="O212">
        <v>341975.25</v>
      </c>
      <c r="P212">
        <v>321422.06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288384.01</v>
      </c>
      <c r="W212">
        <v>0</v>
      </c>
      <c r="X212">
        <v>0</v>
      </c>
      <c r="Y212">
        <v>0</v>
      </c>
      <c r="Z212">
        <v>127428.8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678526.36</v>
      </c>
      <c r="AH212">
        <v>0</v>
      </c>
      <c r="AI212">
        <v>0</v>
      </c>
      <c r="AJ212">
        <v>3032740766.4741302</v>
      </c>
    </row>
    <row r="213" spans="1:36" x14ac:dyDescent="0.25">
      <c r="A213" t="s">
        <v>494</v>
      </c>
      <c r="B213" t="s">
        <v>16</v>
      </c>
      <c r="D213">
        <v>26601.06</v>
      </c>
      <c r="E213">
        <v>9317.93</v>
      </c>
      <c r="G213">
        <v>0.13883499999999999</v>
      </c>
      <c r="H213">
        <v>0</v>
      </c>
      <c r="I213">
        <v>688364.8</v>
      </c>
      <c r="J213">
        <v>163686.57</v>
      </c>
      <c r="K213">
        <v>0</v>
      </c>
      <c r="L213">
        <v>936314.72</v>
      </c>
      <c r="M213">
        <v>0</v>
      </c>
      <c r="N213">
        <v>253822.53</v>
      </c>
      <c r="O213">
        <v>216978.96</v>
      </c>
      <c r="P213">
        <v>234478.81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108965.93</v>
      </c>
      <c r="W213">
        <v>0</v>
      </c>
      <c r="X213">
        <v>0</v>
      </c>
      <c r="Y213">
        <v>0</v>
      </c>
      <c r="Z213">
        <v>68627.600000000006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446533.38</v>
      </c>
      <c r="AH213">
        <v>0</v>
      </c>
      <c r="AI213">
        <v>0</v>
      </c>
      <c r="AJ213">
        <v>1018096766.7634799</v>
      </c>
    </row>
    <row r="214" spans="1:36" x14ac:dyDescent="0.25">
      <c r="A214" t="s">
        <v>595</v>
      </c>
      <c r="B214" t="s">
        <v>16</v>
      </c>
      <c r="C214">
        <v>1408.3</v>
      </c>
      <c r="D214">
        <v>4020.46</v>
      </c>
      <c r="G214">
        <v>2.0983000000000002E-2</v>
      </c>
      <c r="H214">
        <v>0</v>
      </c>
      <c r="I214">
        <v>210983.17</v>
      </c>
      <c r="J214">
        <v>125722.95</v>
      </c>
      <c r="K214">
        <v>0</v>
      </c>
      <c r="L214">
        <v>179632.92</v>
      </c>
      <c r="M214">
        <v>0</v>
      </c>
      <c r="N214">
        <v>59483.27</v>
      </c>
      <c r="O214">
        <v>28529.22</v>
      </c>
      <c r="P214">
        <v>26795.11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26211.74</v>
      </c>
      <c r="W214">
        <v>0</v>
      </c>
      <c r="X214">
        <v>0</v>
      </c>
      <c r="Y214">
        <v>0</v>
      </c>
      <c r="Z214">
        <v>25988.9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11000.94</v>
      </c>
      <c r="AH214">
        <v>0</v>
      </c>
      <c r="AI214">
        <v>0</v>
      </c>
      <c r="AJ214">
        <v>516843729.81154799</v>
      </c>
    </row>
    <row r="215" spans="1:36" x14ac:dyDescent="0.25">
      <c r="A215" t="s">
        <v>596</v>
      </c>
      <c r="B215" t="s">
        <v>16</v>
      </c>
      <c r="D215">
        <v>4020.46</v>
      </c>
      <c r="E215">
        <v>1408.3</v>
      </c>
      <c r="G215">
        <v>2.0983000000000002E-2</v>
      </c>
      <c r="H215">
        <v>0</v>
      </c>
      <c r="I215">
        <v>197292.42</v>
      </c>
      <c r="J215">
        <v>125722.95</v>
      </c>
      <c r="K215">
        <v>0</v>
      </c>
      <c r="L215">
        <v>179632.92</v>
      </c>
      <c r="M215">
        <v>0</v>
      </c>
      <c r="N215">
        <v>59483.54</v>
      </c>
      <c r="O215">
        <v>25211.31</v>
      </c>
      <c r="P215">
        <v>26715.58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25902.26</v>
      </c>
      <c r="W215">
        <v>0</v>
      </c>
      <c r="X215">
        <v>0</v>
      </c>
      <c r="Y215">
        <v>0</v>
      </c>
      <c r="Z215">
        <v>25988.9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10994.82</v>
      </c>
      <c r="AH215">
        <v>0</v>
      </c>
      <c r="AI215">
        <v>0</v>
      </c>
      <c r="AJ215">
        <v>492493199.71034998</v>
      </c>
    </row>
    <row r="216" spans="1:36" x14ac:dyDescent="0.25">
      <c r="A216" t="s">
        <v>627</v>
      </c>
      <c r="B216" t="s">
        <v>16</v>
      </c>
      <c r="D216">
        <v>3508.11</v>
      </c>
      <c r="E216">
        <v>1228.83</v>
      </c>
      <c r="G216">
        <v>1.8308999999999999E-2</v>
      </c>
      <c r="H216">
        <v>0</v>
      </c>
      <c r="I216">
        <v>161701.9</v>
      </c>
      <c r="J216">
        <v>125722.95</v>
      </c>
      <c r="K216">
        <v>0</v>
      </c>
      <c r="L216">
        <v>179632.92</v>
      </c>
      <c r="M216">
        <v>0</v>
      </c>
      <c r="N216">
        <v>49154.93</v>
      </c>
      <c r="O216">
        <v>21924.240000000002</v>
      </c>
      <c r="P216">
        <v>23209.18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27445.06</v>
      </c>
      <c r="W216">
        <v>0</v>
      </c>
      <c r="X216">
        <v>0</v>
      </c>
      <c r="Y216">
        <v>0</v>
      </c>
      <c r="Z216">
        <v>25988.9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10970.72</v>
      </c>
      <c r="AH216">
        <v>0</v>
      </c>
      <c r="AI216">
        <v>0</v>
      </c>
      <c r="AJ216">
        <v>443121999.10603303</v>
      </c>
    </row>
    <row r="217" spans="1:36" x14ac:dyDescent="0.25">
      <c r="A217" t="s">
        <v>629</v>
      </c>
      <c r="B217" t="s">
        <v>16</v>
      </c>
      <c r="C217">
        <v>1228.83</v>
      </c>
      <c r="D217">
        <v>3508.11</v>
      </c>
      <c r="G217">
        <v>1.8308999999999999E-2</v>
      </c>
      <c r="H217">
        <v>0</v>
      </c>
      <c r="I217">
        <v>173183.75</v>
      </c>
      <c r="J217">
        <v>125722.95</v>
      </c>
      <c r="K217">
        <v>0</v>
      </c>
      <c r="L217">
        <v>179632.92</v>
      </c>
      <c r="M217">
        <v>0</v>
      </c>
      <c r="N217">
        <v>49156.69</v>
      </c>
      <c r="O217">
        <v>24801.75</v>
      </c>
      <c r="P217">
        <v>23284.27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27627.14</v>
      </c>
      <c r="W217">
        <v>0</v>
      </c>
      <c r="X217">
        <v>0</v>
      </c>
      <c r="Y217">
        <v>0</v>
      </c>
      <c r="Z217">
        <v>25988.9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10966.54</v>
      </c>
      <c r="AH217">
        <v>0</v>
      </c>
      <c r="AI217">
        <v>0</v>
      </c>
      <c r="AJ217">
        <v>462171163.30797303</v>
      </c>
    </row>
    <row r="218" spans="1:36" x14ac:dyDescent="0.25">
      <c r="A218" t="s">
        <v>204</v>
      </c>
      <c r="B218" t="s">
        <v>17</v>
      </c>
      <c r="D218">
        <v>23521.25</v>
      </c>
      <c r="E218">
        <v>8239.1200000000008</v>
      </c>
      <c r="G218">
        <v>0.122761</v>
      </c>
      <c r="H218">
        <v>0</v>
      </c>
      <c r="I218">
        <v>848652.35</v>
      </c>
      <c r="J218">
        <v>774617.57</v>
      </c>
      <c r="K218">
        <v>0</v>
      </c>
      <c r="L218">
        <v>436518</v>
      </c>
      <c r="M218">
        <v>0</v>
      </c>
      <c r="N218">
        <v>277105.5</v>
      </c>
      <c r="O218">
        <v>131743.54</v>
      </c>
      <c r="P218">
        <v>135418.57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316984.67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160360.87</v>
      </c>
      <c r="AH218">
        <v>0</v>
      </c>
      <c r="AI218">
        <v>0</v>
      </c>
      <c r="AJ218">
        <v>2080774574.10794</v>
      </c>
    </row>
    <row r="219" spans="1:36" x14ac:dyDescent="0.25">
      <c r="A219" t="s">
        <v>206</v>
      </c>
      <c r="B219" t="s">
        <v>17</v>
      </c>
      <c r="C219">
        <v>8239.1200000000008</v>
      </c>
      <c r="D219">
        <v>23521.25</v>
      </c>
      <c r="G219">
        <v>0.122761</v>
      </c>
      <c r="H219">
        <v>0</v>
      </c>
      <c r="I219">
        <v>894199.43</v>
      </c>
      <c r="J219">
        <v>774617.57</v>
      </c>
      <c r="K219">
        <v>0</v>
      </c>
      <c r="L219">
        <v>436518</v>
      </c>
      <c r="M219">
        <v>0</v>
      </c>
      <c r="N219">
        <v>276858.93</v>
      </c>
      <c r="O219">
        <v>149410.89000000001</v>
      </c>
      <c r="P219">
        <v>138637.85999999999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322058.06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160360.91</v>
      </c>
      <c r="AH219">
        <v>0</v>
      </c>
      <c r="AI219">
        <v>0</v>
      </c>
      <c r="AJ219">
        <v>2126943984.66644</v>
      </c>
    </row>
    <row r="220" spans="1:36" x14ac:dyDescent="0.25">
      <c r="A220" t="s">
        <v>209</v>
      </c>
      <c r="B220" t="s">
        <v>17</v>
      </c>
      <c r="D220">
        <v>2325.15</v>
      </c>
      <c r="E220">
        <v>814.46</v>
      </c>
      <c r="G220">
        <v>1.2135E-2</v>
      </c>
      <c r="H220">
        <v>0</v>
      </c>
      <c r="I220">
        <v>37398.94</v>
      </c>
      <c r="J220">
        <v>23792.959999999999</v>
      </c>
      <c r="K220">
        <v>0</v>
      </c>
      <c r="L220">
        <v>29466.65</v>
      </c>
      <c r="M220">
        <v>0</v>
      </c>
      <c r="N220">
        <v>105524.53</v>
      </c>
      <c r="O220">
        <v>8971.5</v>
      </c>
      <c r="P220">
        <v>9897.44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77.739999999999995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4304.7299999999996</v>
      </c>
      <c r="AH220">
        <v>0</v>
      </c>
      <c r="AI220">
        <v>0</v>
      </c>
      <c r="AJ220">
        <v>129485721.042743</v>
      </c>
    </row>
    <row r="221" spans="1:36" x14ac:dyDescent="0.25">
      <c r="A221" t="s">
        <v>210</v>
      </c>
      <c r="B221" t="s">
        <v>17</v>
      </c>
      <c r="C221">
        <v>814.46</v>
      </c>
      <c r="D221">
        <v>2325.15</v>
      </c>
      <c r="G221">
        <v>1.2135E-2</v>
      </c>
      <c r="H221">
        <v>0</v>
      </c>
      <c r="I221">
        <v>55937.57</v>
      </c>
      <c r="J221">
        <v>23792.959999999999</v>
      </c>
      <c r="K221">
        <v>0</v>
      </c>
      <c r="L221">
        <v>29466.65</v>
      </c>
      <c r="M221">
        <v>0</v>
      </c>
      <c r="N221">
        <v>105526.17</v>
      </c>
      <c r="O221">
        <v>14740.9</v>
      </c>
      <c r="P221">
        <v>13068.72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77.73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4304.7299999999996</v>
      </c>
      <c r="AH221">
        <v>0</v>
      </c>
      <c r="AI221">
        <v>0</v>
      </c>
      <c r="AJ221">
        <v>159465511.28853601</v>
      </c>
    </row>
    <row r="222" spans="1:36" x14ac:dyDescent="0.25">
      <c r="A222" t="s">
        <v>211</v>
      </c>
      <c r="B222" t="s">
        <v>17</v>
      </c>
      <c r="C222">
        <v>10779.37</v>
      </c>
      <c r="D222">
        <v>30773.22</v>
      </c>
      <c r="G222">
        <v>0.16061</v>
      </c>
      <c r="H222">
        <v>0</v>
      </c>
      <c r="I222">
        <v>1355737.28</v>
      </c>
      <c r="J222">
        <v>463682.79</v>
      </c>
      <c r="K222">
        <v>0</v>
      </c>
      <c r="L222">
        <v>831153.37</v>
      </c>
      <c r="M222">
        <v>0</v>
      </c>
      <c r="N222">
        <v>279757.88</v>
      </c>
      <c r="O222">
        <v>312452.73</v>
      </c>
      <c r="P222">
        <v>293480.56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491993.8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104968.26</v>
      </c>
      <c r="AH222">
        <v>0</v>
      </c>
      <c r="AI222">
        <v>0</v>
      </c>
      <c r="AJ222">
        <v>1958838226.0883501</v>
      </c>
    </row>
    <row r="223" spans="1:36" x14ac:dyDescent="0.25">
      <c r="A223" t="s">
        <v>212</v>
      </c>
      <c r="B223" t="s">
        <v>17</v>
      </c>
      <c r="D223">
        <v>30773.22</v>
      </c>
      <c r="E223">
        <v>10779.37</v>
      </c>
      <c r="G223">
        <v>0.16061</v>
      </c>
      <c r="H223">
        <v>0</v>
      </c>
      <c r="I223">
        <v>1130811.83</v>
      </c>
      <c r="J223">
        <v>463682.79</v>
      </c>
      <c r="K223">
        <v>0</v>
      </c>
      <c r="L223">
        <v>831153.37</v>
      </c>
      <c r="M223">
        <v>0</v>
      </c>
      <c r="N223">
        <v>278966.89</v>
      </c>
      <c r="O223">
        <v>271826.37</v>
      </c>
      <c r="P223">
        <v>292240.86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498789.47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104973.84</v>
      </c>
      <c r="AH223">
        <v>0</v>
      </c>
      <c r="AI223">
        <v>0</v>
      </c>
      <c r="AJ223">
        <v>1557283199.4506199</v>
      </c>
    </row>
    <row r="224" spans="1:36" x14ac:dyDescent="0.25">
      <c r="A224" t="s">
        <v>213</v>
      </c>
      <c r="B224" t="s">
        <v>17</v>
      </c>
      <c r="D224">
        <v>4929.2700000000004</v>
      </c>
      <c r="E224">
        <v>1726.65</v>
      </c>
      <c r="G224">
        <v>2.5727E-2</v>
      </c>
      <c r="H224">
        <v>0</v>
      </c>
      <c r="I224">
        <v>258365.98</v>
      </c>
      <c r="J224">
        <v>201226.15</v>
      </c>
      <c r="K224">
        <v>0</v>
      </c>
      <c r="L224">
        <v>282049.05</v>
      </c>
      <c r="M224">
        <v>0</v>
      </c>
      <c r="N224">
        <v>111852.9</v>
      </c>
      <c r="O224">
        <v>28647.25</v>
      </c>
      <c r="P224">
        <v>29209.73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88075.68</v>
      </c>
      <c r="W224">
        <v>0</v>
      </c>
      <c r="X224">
        <v>0</v>
      </c>
      <c r="Y224">
        <v>0</v>
      </c>
      <c r="Z224">
        <v>65854.75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114478.96</v>
      </c>
      <c r="AH224">
        <v>0</v>
      </c>
      <c r="AI224">
        <v>0</v>
      </c>
      <c r="AJ224">
        <v>381033678.66586798</v>
      </c>
    </row>
    <row r="225" spans="1:36" x14ac:dyDescent="0.25">
      <c r="A225" t="s">
        <v>214</v>
      </c>
      <c r="B225" t="s">
        <v>17</v>
      </c>
      <c r="C225">
        <v>1726.65</v>
      </c>
      <c r="D225">
        <v>4929.2700000000004</v>
      </c>
      <c r="G225">
        <v>2.5727E-2</v>
      </c>
      <c r="H225">
        <v>0</v>
      </c>
      <c r="I225">
        <v>270774.34999999998</v>
      </c>
      <c r="J225">
        <v>201226.15</v>
      </c>
      <c r="K225">
        <v>0</v>
      </c>
      <c r="L225">
        <v>282049.05</v>
      </c>
      <c r="M225">
        <v>0</v>
      </c>
      <c r="N225">
        <v>111868.52</v>
      </c>
      <c r="O225">
        <v>31190.09</v>
      </c>
      <c r="P225">
        <v>29222.62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88082.43</v>
      </c>
      <c r="W225">
        <v>0</v>
      </c>
      <c r="X225">
        <v>0</v>
      </c>
      <c r="Y225">
        <v>0</v>
      </c>
      <c r="Z225">
        <v>65854.75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114483.69</v>
      </c>
      <c r="AH225">
        <v>0</v>
      </c>
      <c r="AI225">
        <v>0</v>
      </c>
      <c r="AJ225">
        <v>400423417.22647798</v>
      </c>
    </row>
    <row r="226" spans="1:36" x14ac:dyDescent="0.25">
      <c r="A226" t="s">
        <v>215</v>
      </c>
      <c r="B226" t="s">
        <v>17</v>
      </c>
      <c r="D226">
        <v>38730.120000000003</v>
      </c>
      <c r="E226">
        <v>13566.54</v>
      </c>
      <c r="G226">
        <v>0.20213800000000001</v>
      </c>
      <c r="H226">
        <v>0</v>
      </c>
      <c r="I226">
        <v>1439821.78</v>
      </c>
      <c r="J226">
        <v>857863.39</v>
      </c>
      <c r="K226">
        <v>0</v>
      </c>
      <c r="L226">
        <v>1141299.43</v>
      </c>
      <c r="M226">
        <v>0</v>
      </c>
      <c r="N226">
        <v>409183.65</v>
      </c>
      <c r="O226">
        <v>363494.62</v>
      </c>
      <c r="P226">
        <v>391370.61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545747.41</v>
      </c>
      <c r="W226">
        <v>0</v>
      </c>
      <c r="X226">
        <v>0</v>
      </c>
      <c r="Y226">
        <v>0</v>
      </c>
      <c r="Z226">
        <v>43737.51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249459.29</v>
      </c>
      <c r="AH226">
        <v>0</v>
      </c>
      <c r="AI226">
        <v>0</v>
      </c>
      <c r="AJ226">
        <v>2460465906.3173599</v>
      </c>
    </row>
    <row r="227" spans="1:36" x14ac:dyDescent="0.25">
      <c r="A227" t="s">
        <v>216</v>
      </c>
      <c r="B227" t="s">
        <v>17</v>
      </c>
      <c r="C227">
        <v>1918.23</v>
      </c>
      <c r="D227">
        <v>5476.21</v>
      </c>
      <c r="G227">
        <v>2.8580999999999999E-2</v>
      </c>
      <c r="H227">
        <v>0</v>
      </c>
      <c r="I227">
        <v>256932.55</v>
      </c>
      <c r="J227">
        <v>197273.03</v>
      </c>
      <c r="K227">
        <v>0</v>
      </c>
      <c r="L227">
        <v>258328.15</v>
      </c>
      <c r="M227">
        <v>0</v>
      </c>
      <c r="N227">
        <v>332607.19</v>
      </c>
      <c r="O227">
        <v>34975.46</v>
      </c>
      <c r="P227">
        <v>32888.639999999999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45852.67</v>
      </c>
      <c r="W227">
        <v>0</v>
      </c>
      <c r="X227">
        <v>0</v>
      </c>
      <c r="Y227">
        <v>0</v>
      </c>
      <c r="Z227">
        <v>64094.3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210772.48000000001</v>
      </c>
      <c r="AH227">
        <v>0</v>
      </c>
      <c r="AI227">
        <v>0</v>
      </c>
      <c r="AJ227">
        <v>663049648.01214898</v>
      </c>
    </row>
    <row r="228" spans="1:36" x14ac:dyDescent="0.25">
      <c r="A228" t="s">
        <v>217</v>
      </c>
      <c r="B228" t="s">
        <v>17</v>
      </c>
      <c r="C228">
        <v>13566.54</v>
      </c>
      <c r="D228">
        <v>38730.120000000003</v>
      </c>
      <c r="G228">
        <v>0.20213800000000001</v>
      </c>
      <c r="H228">
        <v>0</v>
      </c>
      <c r="I228">
        <v>1701708.7</v>
      </c>
      <c r="J228">
        <v>857863.39</v>
      </c>
      <c r="K228">
        <v>0</v>
      </c>
      <c r="L228">
        <v>1141299.43</v>
      </c>
      <c r="M228">
        <v>0</v>
      </c>
      <c r="N228">
        <v>411413.69</v>
      </c>
      <c r="O228">
        <v>421911.93</v>
      </c>
      <c r="P228">
        <v>395585.27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525400.80000000005</v>
      </c>
      <c r="W228">
        <v>0</v>
      </c>
      <c r="X228">
        <v>0</v>
      </c>
      <c r="Y228">
        <v>0</v>
      </c>
      <c r="Z228">
        <v>43737.51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249462.94</v>
      </c>
      <c r="AH228">
        <v>0</v>
      </c>
      <c r="AI228">
        <v>0</v>
      </c>
      <c r="AJ228">
        <v>2581295111.4147501</v>
      </c>
    </row>
    <row r="229" spans="1:36" x14ac:dyDescent="0.25">
      <c r="A229" t="s">
        <v>218</v>
      </c>
      <c r="B229" t="s">
        <v>17</v>
      </c>
      <c r="D229">
        <v>5476.21</v>
      </c>
      <c r="E229">
        <v>1918.23</v>
      </c>
      <c r="G229">
        <v>2.8580999999999999E-2</v>
      </c>
      <c r="H229">
        <v>0</v>
      </c>
      <c r="I229">
        <v>233009.09</v>
      </c>
      <c r="J229">
        <v>197273.03</v>
      </c>
      <c r="K229">
        <v>0</v>
      </c>
      <c r="L229">
        <v>258328.15</v>
      </c>
      <c r="M229">
        <v>0</v>
      </c>
      <c r="N229">
        <v>332488.65999999997</v>
      </c>
      <c r="O229">
        <v>31065.46</v>
      </c>
      <c r="P229">
        <v>32868.51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47458.48</v>
      </c>
      <c r="W229">
        <v>0</v>
      </c>
      <c r="X229">
        <v>0</v>
      </c>
      <c r="Y229">
        <v>0</v>
      </c>
      <c r="Z229">
        <v>64094.3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210774.78</v>
      </c>
      <c r="AH229">
        <v>0</v>
      </c>
      <c r="AI229">
        <v>0</v>
      </c>
      <c r="AJ229">
        <v>598609974.00428796</v>
      </c>
    </row>
    <row r="230" spans="1:36" x14ac:dyDescent="0.25">
      <c r="A230" t="s">
        <v>219</v>
      </c>
      <c r="B230" t="s">
        <v>17</v>
      </c>
      <c r="D230">
        <v>32761.73</v>
      </c>
      <c r="E230">
        <v>11475.91</v>
      </c>
      <c r="G230">
        <v>0.170988</v>
      </c>
      <c r="H230">
        <v>0</v>
      </c>
      <c r="I230">
        <v>952329.75</v>
      </c>
      <c r="J230">
        <v>350734.07</v>
      </c>
      <c r="K230">
        <v>0</v>
      </c>
      <c r="L230">
        <v>936314.72</v>
      </c>
      <c r="M230">
        <v>0</v>
      </c>
      <c r="N230">
        <v>325690.06</v>
      </c>
      <c r="O230">
        <v>280886.81</v>
      </c>
      <c r="P230">
        <v>302120.61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166418.81</v>
      </c>
      <c r="W230">
        <v>0</v>
      </c>
      <c r="X230">
        <v>0</v>
      </c>
      <c r="Y230">
        <v>0</v>
      </c>
      <c r="Z230">
        <v>68627.600000000006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440567.05</v>
      </c>
      <c r="AH230">
        <v>0</v>
      </c>
      <c r="AI230">
        <v>0</v>
      </c>
      <c r="AJ230">
        <v>1470041628.2316599</v>
      </c>
    </row>
    <row r="231" spans="1:36" x14ac:dyDescent="0.25">
      <c r="A231" t="s">
        <v>220</v>
      </c>
      <c r="B231" t="s">
        <v>17</v>
      </c>
      <c r="C231">
        <v>27498.13</v>
      </c>
      <c r="D231">
        <v>78502.37</v>
      </c>
      <c r="G231">
        <v>0.409715</v>
      </c>
      <c r="H231">
        <v>0</v>
      </c>
      <c r="I231">
        <v>3118809.08</v>
      </c>
      <c r="J231">
        <v>1274541.22</v>
      </c>
      <c r="K231">
        <v>0</v>
      </c>
      <c r="L231">
        <v>3553012.2</v>
      </c>
      <c r="M231">
        <v>0</v>
      </c>
      <c r="N231">
        <v>1200884.32</v>
      </c>
      <c r="O231">
        <v>535168.64</v>
      </c>
      <c r="P231">
        <v>502429.98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856302.67</v>
      </c>
      <c r="W231">
        <v>0</v>
      </c>
      <c r="X231">
        <v>0</v>
      </c>
      <c r="Y231">
        <v>0</v>
      </c>
      <c r="Z231">
        <v>127428.8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669845.18999999994</v>
      </c>
      <c r="AH231">
        <v>0</v>
      </c>
      <c r="AI231">
        <v>0</v>
      </c>
      <c r="AJ231">
        <v>4738543211.6895304</v>
      </c>
    </row>
    <row r="232" spans="1:36" x14ac:dyDescent="0.25">
      <c r="A232" t="s">
        <v>221</v>
      </c>
      <c r="B232" t="s">
        <v>17</v>
      </c>
      <c r="D232">
        <v>78502.37</v>
      </c>
      <c r="E232">
        <v>27498.13</v>
      </c>
      <c r="G232">
        <v>0.409715</v>
      </c>
      <c r="H232">
        <v>0</v>
      </c>
      <c r="I232">
        <v>2757916.95</v>
      </c>
      <c r="J232">
        <v>1274541.22</v>
      </c>
      <c r="K232">
        <v>0</v>
      </c>
      <c r="L232">
        <v>3553012.2</v>
      </c>
      <c r="M232">
        <v>0</v>
      </c>
      <c r="N232">
        <v>1199956.79</v>
      </c>
      <c r="O232">
        <v>475069.55</v>
      </c>
      <c r="P232">
        <v>501295.04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853637.05</v>
      </c>
      <c r="W232">
        <v>0</v>
      </c>
      <c r="X232">
        <v>0</v>
      </c>
      <c r="Y232">
        <v>0</v>
      </c>
      <c r="Z232">
        <v>127428.8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669785.75</v>
      </c>
      <c r="AH232">
        <v>0</v>
      </c>
      <c r="AI232">
        <v>0</v>
      </c>
      <c r="AJ232">
        <v>4285778727.4356899</v>
      </c>
    </row>
    <row r="233" spans="1:36" x14ac:dyDescent="0.25">
      <c r="A233" t="s">
        <v>222</v>
      </c>
      <c r="B233" t="s">
        <v>17</v>
      </c>
      <c r="C233">
        <v>11475.91</v>
      </c>
      <c r="D233">
        <v>32761.73</v>
      </c>
      <c r="G233">
        <v>0.170988</v>
      </c>
      <c r="H233">
        <v>0</v>
      </c>
      <c r="I233">
        <v>1327208.04</v>
      </c>
      <c r="J233">
        <v>350734.07</v>
      </c>
      <c r="K233">
        <v>0</v>
      </c>
      <c r="L233">
        <v>936314.72</v>
      </c>
      <c r="M233">
        <v>0</v>
      </c>
      <c r="N233">
        <v>325814.03000000003</v>
      </c>
      <c r="O233">
        <v>323279.40000000002</v>
      </c>
      <c r="P233">
        <v>304095.23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166102.47</v>
      </c>
      <c r="W233">
        <v>0</v>
      </c>
      <c r="X233">
        <v>0</v>
      </c>
      <c r="Y233">
        <v>0</v>
      </c>
      <c r="Z233">
        <v>68627.600000000006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440535.58</v>
      </c>
      <c r="AH233">
        <v>0</v>
      </c>
      <c r="AI233">
        <v>0</v>
      </c>
      <c r="AJ233">
        <v>1721510964.1675899</v>
      </c>
    </row>
    <row r="234" spans="1:36" x14ac:dyDescent="0.25">
      <c r="A234" t="s">
        <v>463</v>
      </c>
      <c r="B234" t="s">
        <v>17</v>
      </c>
      <c r="D234">
        <v>21422.15</v>
      </c>
      <c r="E234">
        <v>7503.84</v>
      </c>
      <c r="G234">
        <v>0.111805</v>
      </c>
      <c r="H234">
        <v>0</v>
      </c>
      <c r="I234">
        <v>724378.77</v>
      </c>
      <c r="J234">
        <v>394508.4</v>
      </c>
      <c r="K234">
        <v>0</v>
      </c>
      <c r="L234">
        <v>436518</v>
      </c>
      <c r="M234">
        <v>0</v>
      </c>
      <c r="N234">
        <v>214003.76</v>
      </c>
      <c r="O234">
        <v>120686.88</v>
      </c>
      <c r="P234">
        <v>125240.6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394967.68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160367.82</v>
      </c>
      <c r="AH234">
        <v>0</v>
      </c>
      <c r="AI234">
        <v>0</v>
      </c>
      <c r="AJ234">
        <v>1682251937.8376601</v>
      </c>
    </row>
    <row r="235" spans="1:36" x14ac:dyDescent="0.25">
      <c r="A235" t="s">
        <v>464</v>
      </c>
      <c r="B235" t="s">
        <v>17</v>
      </c>
      <c r="C235">
        <v>7503.84</v>
      </c>
      <c r="D235">
        <v>21422.15</v>
      </c>
      <c r="G235">
        <v>0.111805</v>
      </c>
      <c r="H235">
        <v>0</v>
      </c>
      <c r="I235">
        <v>786686.78</v>
      </c>
      <c r="J235">
        <v>394508.4</v>
      </c>
      <c r="K235">
        <v>0</v>
      </c>
      <c r="L235">
        <v>436518</v>
      </c>
      <c r="M235">
        <v>0</v>
      </c>
      <c r="N235">
        <v>213770.3</v>
      </c>
      <c r="O235">
        <v>136999.43</v>
      </c>
      <c r="P235">
        <v>127259.4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399717.78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160369.74</v>
      </c>
      <c r="AH235">
        <v>0</v>
      </c>
      <c r="AI235">
        <v>0</v>
      </c>
      <c r="AJ235">
        <v>1745997460.70474</v>
      </c>
    </row>
    <row r="236" spans="1:36" x14ac:dyDescent="0.25">
      <c r="A236" t="s">
        <v>465</v>
      </c>
      <c r="B236" t="s">
        <v>17</v>
      </c>
      <c r="D236">
        <v>1332.87</v>
      </c>
      <c r="E236">
        <v>466.88</v>
      </c>
      <c r="G236">
        <v>6.9560000000000004E-3</v>
      </c>
      <c r="H236">
        <v>0</v>
      </c>
      <c r="I236">
        <v>18336.849999999999</v>
      </c>
      <c r="J236">
        <v>12134.67</v>
      </c>
      <c r="K236">
        <v>0</v>
      </c>
      <c r="L236">
        <v>29466.65</v>
      </c>
      <c r="M236">
        <v>0</v>
      </c>
      <c r="N236">
        <v>56333.16</v>
      </c>
      <c r="O236">
        <v>4147.59</v>
      </c>
      <c r="P236">
        <v>4556.46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191.09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4304.6000000000004</v>
      </c>
      <c r="AH236">
        <v>0</v>
      </c>
      <c r="AI236">
        <v>0</v>
      </c>
      <c r="AJ236">
        <v>53044986.831570297</v>
      </c>
    </row>
    <row r="237" spans="1:36" x14ac:dyDescent="0.25">
      <c r="A237" t="s">
        <v>466</v>
      </c>
      <c r="B237" t="s">
        <v>17</v>
      </c>
      <c r="C237">
        <v>466.88</v>
      </c>
      <c r="D237">
        <v>1332.87</v>
      </c>
      <c r="G237">
        <v>6.9560000000000004E-3</v>
      </c>
      <c r="H237">
        <v>0</v>
      </c>
      <c r="I237">
        <v>27517.73</v>
      </c>
      <c r="J237">
        <v>12134.67</v>
      </c>
      <c r="K237">
        <v>0</v>
      </c>
      <c r="L237">
        <v>29466.65</v>
      </c>
      <c r="M237">
        <v>0</v>
      </c>
      <c r="N237">
        <v>56333.16</v>
      </c>
      <c r="O237">
        <v>6827.85</v>
      </c>
      <c r="P237">
        <v>5976.41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191.09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4304.6000000000004</v>
      </c>
      <c r="AH237">
        <v>0</v>
      </c>
      <c r="AI237">
        <v>0</v>
      </c>
      <c r="AJ237">
        <v>65666042.445758797</v>
      </c>
    </row>
    <row r="238" spans="1:36" x14ac:dyDescent="0.25">
      <c r="A238" t="s">
        <v>467</v>
      </c>
      <c r="B238" t="s">
        <v>17</v>
      </c>
      <c r="D238">
        <v>3728.7</v>
      </c>
      <c r="E238">
        <v>1306.0999999999999</v>
      </c>
      <c r="G238">
        <v>1.9460999999999999E-2</v>
      </c>
      <c r="H238">
        <v>0</v>
      </c>
      <c r="I238">
        <v>187206.08</v>
      </c>
      <c r="J238">
        <v>103288.37</v>
      </c>
      <c r="K238">
        <v>0</v>
      </c>
      <c r="L238">
        <v>282049.05</v>
      </c>
      <c r="M238">
        <v>0</v>
      </c>
      <c r="N238">
        <v>79218.63</v>
      </c>
      <c r="O238">
        <v>21095.27</v>
      </c>
      <c r="P238">
        <v>21503.68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58336.4</v>
      </c>
      <c r="W238">
        <v>0</v>
      </c>
      <c r="X238">
        <v>0</v>
      </c>
      <c r="Y238">
        <v>0</v>
      </c>
      <c r="Z238">
        <v>65854.75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114470.96</v>
      </c>
      <c r="AH238">
        <v>0</v>
      </c>
      <c r="AI238">
        <v>0</v>
      </c>
      <c r="AJ238">
        <v>295042110.969854</v>
      </c>
    </row>
    <row r="239" spans="1:36" x14ac:dyDescent="0.25">
      <c r="A239" t="s">
        <v>468</v>
      </c>
      <c r="B239" t="s">
        <v>17</v>
      </c>
      <c r="C239">
        <v>7192.46</v>
      </c>
      <c r="D239">
        <v>20533.21</v>
      </c>
      <c r="G239">
        <v>0.107166</v>
      </c>
      <c r="H239">
        <v>0</v>
      </c>
      <c r="I239">
        <v>964139.01</v>
      </c>
      <c r="J239">
        <v>239542.44</v>
      </c>
      <c r="K239">
        <v>0</v>
      </c>
      <c r="L239">
        <v>831153.37</v>
      </c>
      <c r="M239">
        <v>0</v>
      </c>
      <c r="N239">
        <v>236488.32000000001</v>
      </c>
      <c r="O239">
        <v>214087.69</v>
      </c>
      <c r="P239">
        <v>201182.75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225974.71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104964.44</v>
      </c>
      <c r="AH239">
        <v>0</v>
      </c>
      <c r="AI239">
        <v>0</v>
      </c>
      <c r="AJ239">
        <v>1337403005.43839</v>
      </c>
    </row>
    <row r="240" spans="1:36" x14ac:dyDescent="0.25">
      <c r="A240" t="s">
        <v>469</v>
      </c>
      <c r="B240" t="s">
        <v>17</v>
      </c>
      <c r="D240">
        <v>20533.21</v>
      </c>
      <c r="E240">
        <v>7192.46</v>
      </c>
      <c r="G240">
        <v>0.107166</v>
      </c>
      <c r="H240">
        <v>0</v>
      </c>
      <c r="I240">
        <v>797539.49</v>
      </c>
      <c r="J240">
        <v>239542.44</v>
      </c>
      <c r="K240">
        <v>0</v>
      </c>
      <c r="L240">
        <v>831153.37</v>
      </c>
      <c r="M240">
        <v>0</v>
      </c>
      <c r="N240">
        <v>236208.15</v>
      </c>
      <c r="O240">
        <v>184803.5</v>
      </c>
      <c r="P240">
        <v>197142.42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229133.46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104963.47</v>
      </c>
      <c r="AH240">
        <v>0</v>
      </c>
      <c r="AI240">
        <v>0</v>
      </c>
      <c r="AJ240">
        <v>1131366333.3879399</v>
      </c>
    </row>
    <row r="241" spans="1:36" x14ac:dyDescent="0.25">
      <c r="A241" t="s">
        <v>470</v>
      </c>
      <c r="B241" t="s">
        <v>17</v>
      </c>
      <c r="C241">
        <v>1306.0999999999999</v>
      </c>
      <c r="D241">
        <v>3728.7</v>
      </c>
      <c r="G241">
        <v>1.9460999999999999E-2</v>
      </c>
      <c r="H241">
        <v>0</v>
      </c>
      <c r="I241">
        <v>195658.16</v>
      </c>
      <c r="J241">
        <v>103288.37</v>
      </c>
      <c r="K241">
        <v>0</v>
      </c>
      <c r="L241">
        <v>282049.05</v>
      </c>
      <c r="M241">
        <v>0</v>
      </c>
      <c r="N241">
        <v>79227.73</v>
      </c>
      <c r="O241">
        <v>22953.599999999999</v>
      </c>
      <c r="P241">
        <v>21518.240000000002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58342.87</v>
      </c>
      <c r="W241">
        <v>0</v>
      </c>
      <c r="X241">
        <v>0</v>
      </c>
      <c r="Y241">
        <v>0</v>
      </c>
      <c r="Z241">
        <v>65854.75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114471.79</v>
      </c>
      <c r="AH241">
        <v>0</v>
      </c>
      <c r="AI241">
        <v>0</v>
      </c>
      <c r="AJ241">
        <v>300612924.95854998</v>
      </c>
    </row>
    <row r="242" spans="1:36" x14ac:dyDescent="0.25">
      <c r="A242" t="s">
        <v>471</v>
      </c>
      <c r="B242" t="s">
        <v>17</v>
      </c>
      <c r="C242">
        <v>12406.5</v>
      </c>
      <c r="D242">
        <v>35418.39</v>
      </c>
      <c r="G242">
        <v>0.18485299999999999</v>
      </c>
      <c r="H242">
        <v>0</v>
      </c>
      <c r="I242">
        <v>1542167.84</v>
      </c>
      <c r="J242">
        <v>626942.71</v>
      </c>
      <c r="K242">
        <v>0</v>
      </c>
      <c r="L242">
        <v>1141299.43</v>
      </c>
      <c r="M242">
        <v>0</v>
      </c>
      <c r="N242">
        <v>361007.18</v>
      </c>
      <c r="O242">
        <v>385299.94</v>
      </c>
      <c r="P242">
        <v>361102.34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567215.03</v>
      </c>
      <c r="W242">
        <v>0</v>
      </c>
      <c r="X242">
        <v>0</v>
      </c>
      <c r="Y242">
        <v>0</v>
      </c>
      <c r="Z242">
        <v>43737.51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249473.52</v>
      </c>
      <c r="AH242">
        <v>0</v>
      </c>
      <c r="AI242">
        <v>0</v>
      </c>
      <c r="AJ242">
        <v>2306904644.3975601</v>
      </c>
    </row>
    <row r="243" spans="1:36" x14ac:dyDescent="0.25">
      <c r="A243" t="s">
        <v>472</v>
      </c>
      <c r="B243" t="s">
        <v>17</v>
      </c>
      <c r="D243">
        <v>57273.67</v>
      </c>
      <c r="E243">
        <v>20062.05</v>
      </c>
      <c r="G243">
        <v>0.29891899999999999</v>
      </c>
      <c r="H243">
        <v>0</v>
      </c>
      <c r="I243">
        <v>1981540.39</v>
      </c>
      <c r="J243">
        <v>643032.05000000005</v>
      </c>
      <c r="K243">
        <v>0</v>
      </c>
      <c r="L243">
        <v>3553012.2</v>
      </c>
      <c r="M243">
        <v>0</v>
      </c>
      <c r="N243">
        <v>1004120.41</v>
      </c>
      <c r="O243">
        <v>324655.98</v>
      </c>
      <c r="P243">
        <v>342064.3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510070.27</v>
      </c>
      <c r="W243">
        <v>0</v>
      </c>
      <c r="X243">
        <v>0</v>
      </c>
      <c r="Y243">
        <v>0</v>
      </c>
      <c r="Z243">
        <v>127428.8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669525.21</v>
      </c>
      <c r="AH243">
        <v>0</v>
      </c>
      <c r="AI243">
        <v>0</v>
      </c>
      <c r="AJ243">
        <v>3248399075.0756798</v>
      </c>
    </row>
    <row r="244" spans="1:36" x14ac:dyDescent="0.25">
      <c r="A244" t="s">
        <v>473</v>
      </c>
      <c r="B244" t="s">
        <v>17</v>
      </c>
      <c r="D244">
        <v>4371.3599999999997</v>
      </c>
      <c r="E244">
        <v>1531.22</v>
      </c>
      <c r="G244">
        <v>2.2814999999999998E-2</v>
      </c>
      <c r="H244">
        <v>0</v>
      </c>
      <c r="I244">
        <v>187896.88</v>
      </c>
      <c r="J244">
        <v>94437.9</v>
      </c>
      <c r="K244">
        <v>0</v>
      </c>
      <c r="L244">
        <v>258328.15</v>
      </c>
      <c r="M244">
        <v>0</v>
      </c>
      <c r="N244">
        <v>305397.01</v>
      </c>
      <c r="O244">
        <v>24095.78</v>
      </c>
      <c r="P244">
        <v>25591.93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58244.32</v>
      </c>
      <c r="W244">
        <v>0</v>
      </c>
      <c r="X244">
        <v>0</v>
      </c>
      <c r="Y244">
        <v>0</v>
      </c>
      <c r="Z244">
        <v>64094.3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210773.37</v>
      </c>
      <c r="AH244">
        <v>0</v>
      </c>
      <c r="AI244">
        <v>0</v>
      </c>
      <c r="AJ244">
        <v>501071666.728818</v>
      </c>
    </row>
    <row r="245" spans="1:36" x14ac:dyDescent="0.25">
      <c r="A245" t="s">
        <v>474</v>
      </c>
      <c r="B245" t="s">
        <v>17</v>
      </c>
      <c r="D245">
        <v>35418.39</v>
      </c>
      <c r="E245">
        <v>12406.5</v>
      </c>
      <c r="G245">
        <v>0.18485299999999999</v>
      </c>
      <c r="H245">
        <v>0</v>
      </c>
      <c r="I245">
        <v>1293210.1499999999</v>
      </c>
      <c r="J245">
        <v>626942.71</v>
      </c>
      <c r="K245">
        <v>0</v>
      </c>
      <c r="L245">
        <v>1141299.43</v>
      </c>
      <c r="M245">
        <v>0</v>
      </c>
      <c r="N245">
        <v>357875.83</v>
      </c>
      <c r="O245">
        <v>331783.2</v>
      </c>
      <c r="P245">
        <v>357002.19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595727.02</v>
      </c>
      <c r="W245">
        <v>0</v>
      </c>
      <c r="X245">
        <v>0</v>
      </c>
      <c r="Y245">
        <v>0</v>
      </c>
      <c r="Z245">
        <v>43737.51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249462.94</v>
      </c>
      <c r="AH245">
        <v>0</v>
      </c>
      <c r="AI245">
        <v>0</v>
      </c>
      <c r="AJ245">
        <v>2223522566.7562799</v>
      </c>
    </row>
    <row r="246" spans="1:36" x14ac:dyDescent="0.25">
      <c r="A246" t="s">
        <v>475</v>
      </c>
      <c r="B246" t="s">
        <v>17</v>
      </c>
      <c r="C246">
        <v>1531.22</v>
      </c>
      <c r="D246">
        <v>4371.3599999999997</v>
      </c>
      <c r="G246">
        <v>2.2814999999999998E-2</v>
      </c>
      <c r="H246">
        <v>0</v>
      </c>
      <c r="I246">
        <v>209455.82</v>
      </c>
      <c r="J246">
        <v>94437.9</v>
      </c>
      <c r="K246">
        <v>0</v>
      </c>
      <c r="L246">
        <v>258328.15</v>
      </c>
      <c r="M246">
        <v>0</v>
      </c>
      <c r="N246">
        <v>305246.07</v>
      </c>
      <c r="O246">
        <v>27256.86</v>
      </c>
      <c r="P246">
        <v>25640.05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58197.38</v>
      </c>
      <c r="W246">
        <v>0</v>
      </c>
      <c r="X246">
        <v>0</v>
      </c>
      <c r="Y246">
        <v>0</v>
      </c>
      <c r="Z246">
        <v>64094.3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210769.31</v>
      </c>
      <c r="AH246">
        <v>0</v>
      </c>
      <c r="AI246">
        <v>0</v>
      </c>
      <c r="AJ246">
        <v>536238591.95448297</v>
      </c>
    </row>
    <row r="247" spans="1:36" x14ac:dyDescent="0.25">
      <c r="A247" t="s">
        <v>476</v>
      </c>
      <c r="B247" t="s">
        <v>17</v>
      </c>
      <c r="D247">
        <v>27356.78</v>
      </c>
      <c r="E247">
        <v>9582.65</v>
      </c>
      <c r="G247">
        <v>0.14277899999999999</v>
      </c>
      <c r="H247">
        <v>0</v>
      </c>
      <c r="I247">
        <v>730394.82</v>
      </c>
      <c r="J247">
        <v>163686.57</v>
      </c>
      <c r="K247">
        <v>0</v>
      </c>
      <c r="L247">
        <v>936314.72</v>
      </c>
      <c r="M247">
        <v>0</v>
      </c>
      <c r="N247">
        <v>271733.01</v>
      </c>
      <c r="O247">
        <v>224004.4</v>
      </c>
      <c r="P247">
        <v>242531.68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162962.51999999999</v>
      </c>
      <c r="W247">
        <v>0</v>
      </c>
      <c r="X247">
        <v>0</v>
      </c>
      <c r="Y247">
        <v>0</v>
      </c>
      <c r="Z247">
        <v>68627.600000000006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440539.81</v>
      </c>
      <c r="AH247">
        <v>0</v>
      </c>
      <c r="AI247">
        <v>0</v>
      </c>
      <c r="AJ247">
        <v>1167848554.5411899</v>
      </c>
    </row>
    <row r="248" spans="1:36" x14ac:dyDescent="0.25">
      <c r="A248" t="s">
        <v>477</v>
      </c>
      <c r="B248" t="s">
        <v>17</v>
      </c>
      <c r="C248">
        <v>20062.05</v>
      </c>
      <c r="D248">
        <v>57273.67</v>
      </c>
      <c r="G248">
        <v>0.29891899999999999</v>
      </c>
      <c r="H248">
        <v>0</v>
      </c>
      <c r="I248">
        <v>2226358.7599999998</v>
      </c>
      <c r="J248">
        <v>643032.05000000005</v>
      </c>
      <c r="K248">
        <v>0</v>
      </c>
      <c r="L248">
        <v>3553012.2</v>
      </c>
      <c r="M248">
        <v>0</v>
      </c>
      <c r="N248">
        <v>1004204.8</v>
      </c>
      <c r="O248">
        <v>364255.55</v>
      </c>
      <c r="P248">
        <v>342529.22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508044.46</v>
      </c>
      <c r="W248">
        <v>0</v>
      </c>
      <c r="X248">
        <v>0</v>
      </c>
      <c r="Y248">
        <v>0</v>
      </c>
      <c r="Z248">
        <v>127428.8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669658.78</v>
      </c>
      <c r="AH248">
        <v>0</v>
      </c>
      <c r="AI248">
        <v>0</v>
      </c>
      <c r="AJ248">
        <v>3465629335.0835299</v>
      </c>
    </row>
    <row r="249" spans="1:36" x14ac:dyDescent="0.25">
      <c r="A249" t="s">
        <v>478</v>
      </c>
      <c r="B249" t="s">
        <v>17</v>
      </c>
      <c r="C249">
        <v>9582.65</v>
      </c>
      <c r="D249">
        <v>27356.78</v>
      </c>
      <c r="G249">
        <v>0.14277899999999999</v>
      </c>
      <c r="H249">
        <v>0</v>
      </c>
      <c r="I249">
        <v>1083953.67</v>
      </c>
      <c r="J249">
        <v>163686.57</v>
      </c>
      <c r="K249">
        <v>0</v>
      </c>
      <c r="L249">
        <v>936314.72</v>
      </c>
      <c r="M249">
        <v>0</v>
      </c>
      <c r="N249">
        <v>272087.90000000002</v>
      </c>
      <c r="O249">
        <v>259320.24</v>
      </c>
      <c r="P249">
        <v>243962.08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165879.35</v>
      </c>
      <c r="W249">
        <v>0</v>
      </c>
      <c r="X249">
        <v>0</v>
      </c>
      <c r="Y249">
        <v>0</v>
      </c>
      <c r="Z249">
        <v>68627.600000000006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440524.82</v>
      </c>
      <c r="AH249">
        <v>0</v>
      </c>
      <c r="AI249">
        <v>0</v>
      </c>
      <c r="AJ249">
        <v>1369224805.4675801</v>
      </c>
    </row>
    <row r="250" spans="1:36" x14ac:dyDescent="0.25">
      <c r="A250" t="s">
        <v>592</v>
      </c>
      <c r="B250" t="s">
        <v>17</v>
      </c>
      <c r="D250">
        <v>4099.97</v>
      </c>
      <c r="E250">
        <v>1436.16</v>
      </c>
      <c r="G250">
        <v>2.1398E-2</v>
      </c>
      <c r="H250">
        <v>0</v>
      </c>
      <c r="I250">
        <v>222306.07</v>
      </c>
      <c r="J250">
        <v>125722.95</v>
      </c>
      <c r="K250">
        <v>0</v>
      </c>
      <c r="L250">
        <v>179632.92</v>
      </c>
      <c r="M250">
        <v>0</v>
      </c>
      <c r="N250">
        <v>69676.28</v>
      </c>
      <c r="O250">
        <v>27155.73</v>
      </c>
      <c r="P250">
        <v>28349.66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46536.7</v>
      </c>
      <c r="W250">
        <v>0</v>
      </c>
      <c r="X250">
        <v>0</v>
      </c>
      <c r="Y250">
        <v>0</v>
      </c>
      <c r="Z250">
        <v>25988.9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10842.76</v>
      </c>
      <c r="AH250">
        <v>0</v>
      </c>
      <c r="AI250">
        <v>0</v>
      </c>
      <c r="AJ250">
        <v>588197497.18910396</v>
      </c>
    </row>
    <row r="251" spans="1:36" x14ac:dyDescent="0.25">
      <c r="A251" t="s">
        <v>593</v>
      </c>
      <c r="B251" t="s">
        <v>17</v>
      </c>
      <c r="C251">
        <v>1436.16</v>
      </c>
      <c r="D251">
        <v>4099.97</v>
      </c>
      <c r="G251">
        <v>2.1398E-2</v>
      </c>
      <c r="H251">
        <v>0</v>
      </c>
      <c r="I251">
        <v>238147.61</v>
      </c>
      <c r="J251">
        <v>125722.95</v>
      </c>
      <c r="K251">
        <v>0</v>
      </c>
      <c r="L251">
        <v>179632.92</v>
      </c>
      <c r="M251">
        <v>0</v>
      </c>
      <c r="N251">
        <v>69666.73</v>
      </c>
      <c r="O251">
        <v>30266.560000000001</v>
      </c>
      <c r="P251">
        <v>28431.94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46965.01</v>
      </c>
      <c r="W251">
        <v>0</v>
      </c>
      <c r="X251">
        <v>0</v>
      </c>
      <c r="Y251">
        <v>0</v>
      </c>
      <c r="Z251">
        <v>25988.9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10849.82</v>
      </c>
      <c r="AH251">
        <v>0</v>
      </c>
      <c r="AI251">
        <v>0</v>
      </c>
      <c r="AJ251">
        <v>592590655.75157905</v>
      </c>
    </row>
    <row r="252" spans="1:36" x14ac:dyDescent="0.25">
      <c r="A252" t="s">
        <v>625</v>
      </c>
      <c r="B252" t="s">
        <v>17</v>
      </c>
      <c r="D252">
        <v>3686.5</v>
      </c>
      <c r="E252">
        <v>1291.32</v>
      </c>
      <c r="G252">
        <v>1.924E-2</v>
      </c>
      <c r="H252">
        <v>0</v>
      </c>
      <c r="I252">
        <v>187715.78</v>
      </c>
      <c r="J252">
        <v>125722.95</v>
      </c>
      <c r="K252">
        <v>0</v>
      </c>
      <c r="L252">
        <v>179632.92</v>
      </c>
      <c r="M252">
        <v>0</v>
      </c>
      <c r="N252">
        <v>59379.11</v>
      </c>
      <c r="O252">
        <v>24385.93</v>
      </c>
      <c r="P252">
        <v>25449.14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49679.86</v>
      </c>
      <c r="W252">
        <v>0</v>
      </c>
      <c r="X252">
        <v>0</v>
      </c>
      <c r="Y252">
        <v>0</v>
      </c>
      <c r="Z252">
        <v>25988.9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10925.34</v>
      </c>
      <c r="AH252">
        <v>0</v>
      </c>
      <c r="AI252">
        <v>0</v>
      </c>
      <c r="AJ252">
        <v>537187993.65304506</v>
      </c>
    </row>
    <row r="253" spans="1:36" x14ac:dyDescent="0.25">
      <c r="A253" t="s">
        <v>626</v>
      </c>
      <c r="B253" t="s">
        <v>17</v>
      </c>
      <c r="C253">
        <v>1291.32</v>
      </c>
      <c r="D253">
        <v>3686.5</v>
      </c>
      <c r="G253">
        <v>1.924E-2</v>
      </c>
      <c r="H253">
        <v>0</v>
      </c>
      <c r="I253">
        <v>201694.49</v>
      </c>
      <c r="J253">
        <v>125722.95</v>
      </c>
      <c r="K253">
        <v>0</v>
      </c>
      <c r="L253">
        <v>179632.92</v>
      </c>
      <c r="M253">
        <v>0</v>
      </c>
      <c r="N253">
        <v>59367.33</v>
      </c>
      <c r="O253">
        <v>27188.35</v>
      </c>
      <c r="P253">
        <v>25533.75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50064.89</v>
      </c>
      <c r="W253">
        <v>0</v>
      </c>
      <c r="X253">
        <v>0</v>
      </c>
      <c r="Y253">
        <v>0</v>
      </c>
      <c r="Z253">
        <v>25988.9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10840.41</v>
      </c>
      <c r="AH253">
        <v>0</v>
      </c>
      <c r="AI253">
        <v>0</v>
      </c>
      <c r="AJ253">
        <v>538471669.48312902</v>
      </c>
    </row>
    <row r="254" spans="1:36" x14ac:dyDescent="0.25">
      <c r="A254" t="s">
        <v>190</v>
      </c>
      <c r="B254" t="s">
        <v>18</v>
      </c>
      <c r="D254">
        <v>24616.61</v>
      </c>
      <c r="E254">
        <v>8622.81</v>
      </c>
      <c r="G254">
        <v>0.12847700000000001</v>
      </c>
      <c r="H254">
        <v>0</v>
      </c>
      <c r="I254">
        <v>896638.43</v>
      </c>
      <c r="J254">
        <v>774617.57</v>
      </c>
      <c r="K254">
        <v>0</v>
      </c>
      <c r="L254">
        <v>436518</v>
      </c>
      <c r="M254">
        <v>0</v>
      </c>
      <c r="N254">
        <v>273756.88</v>
      </c>
      <c r="O254">
        <v>133795.10999999999</v>
      </c>
      <c r="P254">
        <v>137796.23000000001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386693.48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160078.79</v>
      </c>
      <c r="AH254">
        <v>0</v>
      </c>
      <c r="AI254">
        <v>0</v>
      </c>
      <c r="AJ254">
        <v>1922744189.4756701</v>
      </c>
    </row>
    <row r="255" spans="1:36" x14ac:dyDescent="0.25">
      <c r="A255" t="s">
        <v>191</v>
      </c>
      <c r="B255" t="s">
        <v>18</v>
      </c>
      <c r="D255">
        <v>2505.4899999999998</v>
      </c>
      <c r="E255">
        <v>877.63</v>
      </c>
      <c r="G255">
        <v>1.3076000000000001E-2</v>
      </c>
      <c r="H255">
        <v>0</v>
      </c>
      <c r="I255">
        <v>41312.22</v>
      </c>
      <c r="J255">
        <v>23792.959999999999</v>
      </c>
      <c r="K255">
        <v>0</v>
      </c>
      <c r="L255">
        <v>29466.65</v>
      </c>
      <c r="M255">
        <v>0</v>
      </c>
      <c r="N255">
        <v>113792.72</v>
      </c>
      <c r="O255">
        <v>10126.56</v>
      </c>
      <c r="P255">
        <v>11094.87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215.89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4298.3500000000004</v>
      </c>
      <c r="AH255">
        <v>0</v>
      </c>
      <c r="AI255">
        <v>0</v>
      </c>
      <c r="AJ255">
        <v>141578039.60859099</v>
      </c>
    </row>
    <row r="256" spans="1:36" x14ac:dyDescent="0.25">
      <c r="A256" t="s">
        <v>193</v>
      </c>
      <c r="B256" t="s">
        <v>18</v>
      </c>
      <c r="C256">
        <v>877.63</v>
      </c>
      <c r="D256">
        <v>2505.4899999999998</v>
      </c>
      <c r="G256">
        <v>1.3076000000000001E-2</v>
      </c>
      <c r="H256">
        <v>0</v>
      </c>
      <c r="I256">
        <v>65263.4</v>
      </c>
      <c r="J256">
        <v>23792.959999999999</v>
      </c>
      <c r="K256">
        <v>0</v>
      </c>
      <c r="L256">
        <v>29466.65</v>
      </c>
      <c r="M256">
        <v>0</v>
      </c>
      <c r="N256">
        <v>113791.57</v>
      </c>
      <c r="O256">
        <v>15684</v>
      </c>
      <c r="P256">
        <v>13684.48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215.89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4298.3500000000004</v>
      </c>
      <c r="AH256">
        <v>0</v>
      </c>
      <c r="AI256">
        <v>0</v>
      </c>
      <c r="AJ256">
        <v>176384523.23069301</v>
      </c>
    </row>
    <row r="257" spans="1:36" x14ac:dyDescent="0.25">
      <c r="A257" t="s">
        <v>194</v>
      </c>
      <c r="B257" t="s">
        <v>18</v>
      </c>
      <c r="C257">
        <v>8622.81</v>
      </c>
      <c r="D257">
        <v>24616.61</v>
      </c>
      <c r="G257">
        <v>0.12847700000000001</v>
      </c>
      <c r="H257">
        <v>0</v>
      </c>
      <c r="I257">
        <v>939176.56</v>
      </c>
      <c r="J257">
        <v>774617.57</v>
      </c>
      <c r="K257">
        <v>0</v>
      </c>
      <c r="L257">
        <v>436518</v>
      </c>
      <c r="M257">
        <v>0</v>
      </c>
      <c r="N257">
        <v>273613.98</v>
      </c>
      <c r="O257">
        <v>153249.06</v>
      </c>
      <c r="P257">
        <v>141332.60999999999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388801.4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160082.06</v>
      </c>
      <c r="AH257">
        <v>0</v>
      </c>
      <c r="AI257">
        <v>0</v>
      </c>
      <c r="AJ257">
        <v>2017842890.6709001</v>
      </c>
    </row>
    <row r="258" spans="1:36" x14ac:dyDescent="0.25">
      <c r="A258" t="s">
        <v>195</v>
      </c>
      <c r="B258" t="s">
        <v>18</v>
      </c>
      <c r="C258">
        <v>11597.22</v>
      </c>
      <c r="D258">
        <v>33108.050000000003</v>
      </c>
      <c r="G258">
        <v>0.172795</v>
      </c>
      <c r="H258">
        <v>0</v>
      </c>
      <c r="I258">
        <v>1433074.95</v>
      </c>
      <c r="J258">
        <v>463682.79</v>
      </c>
      <c r="K258">
        <v>0</v>
      </c>
      <c r="L258">
        <v>831153.37</v>
      </c>
      <c r="M258">
        <v>0</v>
      </c>
      <c r="N258">
        <v>280777.57</v>
      </c>
      <c r="O258">
        <v>320499.63</v>
      </c>
      <c r="P258">
        <v>300312.61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556089.93000000005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104787.08</v>
      </c>
      <c r="AH258">
        <v>0</v>
      </c>
      <c r="AI258">
        <v>0</v>
      </c>
      <c r="AJ258">
        <v>1990275185.1292801</v>
      </c>
    </row>
    <row r="259" spans="1:36" x14ac:dyDescent="0.25">
      <c r="A259" t="s">
        <v>196</v>
      </c>
      <c r="B259" t="s">
        <v>18</v>
      </c>
      <c r="D259">
        <v>5304.23</v>
      </c>
      <c r="E259">
        <v>1857.99</v>
      </c>
      <c r="G259">
        <v>2.7682999999999999E-2</v>
      </c>
      <c r="H259">
        <v>0</v>
      </c>
      <c r="I259">
        <v>256420.95</v>
      </c>
      <c r="J259">
        <v>201226.15</v>
      </c>
      <c r="K259">
        <v>0</v>
      </c>
      <c r="L259">
        <v>282049.05</v>
      </c>
      <c r="M259">
        <v>0</v>
      </c>
      <c r="N259">
        <v>123101.59</v>
      </c>
      <c r="O259">
        <v>28799.91</v>
      </c>
      <c r="P259">
        <v>29765.9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105576.79</v>
      </c>
      <c r="W259">
        <v>0</v>
      </c>
      <c r="X259">
        <v>0</v>
      </c>
      <c r="Y259">
        <v>0</v>
      </c>
      <c r="Z259">
        <v>65854.75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114283.02</v>
      </c>
      <c r="AH259">
        <v>0</v>
      </c>
      <c r="AI259">
        <v>0</v>
      </c>
      <c r="AJ259">
        <v>364407059.45249599</v>
      </c>
    </row>
    <row r="260" spans="1:36" x14ac:dyDescent="0.25">
      <c r="A260" t="s">
        <v>197</v>
      </c>
      <c r="B260" t="s">
        <v>18</v>
      </c>
      <c r="D260">
        <v>33108.050000000003</v>
      </c>
      <c r="E260">
        <v>11597.22</v>
      </c>
      <c r="G260">
        <v>0.172795</v>
      </c>
      <c r="H260">
        <v>0</v>
      </c>
      <c r="I260">
        <v>1153669.7</v>
      </c>
      <c r="J260">
        <v>463682.79</v>
      </c>
      <c r="K260">
        <v>0</v>
      </c>
      <c r="L260">
        <v>831153.37</v>
      </c>
      <c r="M260">
        <v>0</v>
      </c>
      <c r="N260">
        <v>278976.19</v>
      </c>
      <c r="O260">
        <v>277528.7</v>
      </c>
      <c r="P260">
        <v>297676.21999999997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557799.43000000005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104785.89</v>
      </c>
      <c r="AH260">
        <v>0</v>
      </c>
      <c r="AI260">
        <v>0</v>
      </c>
      <c r="AJ260">
        <v>1527407985.83145</v>
      </c>
    </row>
    <row r="261" spans="1:36" x14ac:dyDescent="0.25">
      <c r="A261" t="s">
        <v>198</v>
      </c>
      <c r="B261" t="s">
        <v>18</v>
      </c>
      <c r="C261">
        <v>1857.99</v>
      </c>
      <c r="D261">
        <v>5304.23</v>
      </c>
      <c r="G261">
        <v>2.7682999999999999E-2</v>
      </c>
      <c r="H261">
        <v>0</v>
      </c>
      <c r="I261">
        <v>284369.14</v>
      </c>
      <c r="J261">
        <v>201226.15</v>
      </c>
      <c r="K261">
        <v>0</v>
      </c>
      <c r="L261">
        <v>282049.05</v>
      </c>
      <c r="M261">
        <v>0</v>
      </c>
      <c r="N261">
        <v>123117.58</v>
      </c>
      <c r="O261">
        <v>31849.59</v>
      </c>
      <c r="P261">
        <v>29798.560000000001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105550.53</v>
      </c>
      <c r="W261">
        <v>0</v>
      </c>
      <c r="X261">
        <v>0</v>
      </c>
      <c r="Y261">
        <v>0</v>
      </c>
      <c r="Z261">
        <v>65854.75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114281.87</v>
      </c>
      <c r="AH261">
        <v>0</v>
      </c>
      <c r="AI261">
        <v>0</v>
      </c>
      <c r="AJ261">
        <v>413310361.46036297</v>
      </c>
    </row>
    <row r="262" spans="1:36" x14ac:dyDescent="0.25">
      <c r="A262" t="s">
        <v>199</v>
      </c>
      <c r="B262" t="s">
        <v>18</v>
      </c>
      <c r="D262">
        <v>40699.46</v>
      </c>
      <c r="E262">
        <v>14256.37</v>
      </c>
      <c r="G262">
        <v>0.21241599999999999</v>
      </c>
      <c r="H262">
        <v>0</v>
      </c>
      <c r="I262">
        <v>1551909.58</v>
      </c>
      <c r="J262">
        <v>857863.39</v>
      </c>
      <c r="K262">
        <v>0</v>
      </c>
      <c r="L262">
        <v>1141299.43</v>
      </c>
      <c r="M262">
        <v>0</v>
      </c>
      <c r="N262">
        <v>471875.77</v>
      </c>
      <c r="O262">
        <v>375078.28</v>
      </c>
      <c r="P262">
        <v>395652.1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739596.22</v>
      </c>
      <c r="W262">
        <v>0</v>
      </c>
      <c r="X262">
        <v>0</v>
      </c>
      <c r="Y262">
        <v>0</v>
      </c>
      <c r="Z262">
        <v>43737.51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249023.41</v>
      </c>
      <c r="AH262">
        <v>0</v>
      </c>
      <c r="AI262">
        <v>0</v>
      </c>
      <c r="AJ262">
        <v>2246766593.0402298</v>
      </c>
    </row>
    <row r="263" spans="1:36" x14ac:dyDescent="0.25">
      <c r="A263" t="s">
        <v>200</v>
      </c>
      <c r="B263" t="s">
        <v>18</v>
      </c>
      <c r="C263">
        <v>14256.37</v>
      </c>
      <c r="D263">
        <v>40699.46</v>
      </c>
      <c r="G263">
        <v>0.21241599999999999</v>
      </c>
      <c r="H263">
        <v>0</v>
      </c>
      <c r="I263">
        <v>1824135.7</v>
      </c>
      <c r="J263">
        <v>857863.39</v>
      </c>
      <c r="K263">
        <v>0</v>
      </c>
      <c r="L263">
        <v>1141299.43</v>
      </c>
      <c r="M263">
        <v>0</v>
      </c>
      <c r="N263">
        <v>472077.41</v>
      </c>
      <c r="O263">
        <v>435106.53</v>
      </c>
      <c r="P263">
        <v>403975.13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730856.31</v>
      </c>
      <c r="W263">
        <v>0</v>
      </c>
      <c r="X263">
        <v>0</v>
      </c>
      <c r="Y263">
        <v>0</v>
      </c>
      <c r="Z263">
        <v>43737.51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249031.9</v>
      </c>
      <c r="AH263">
        <v>0</v>
      </c>
      <c r="AI263">
        <v>0</v>
      </c>
      <c r="AJ263">
        <v>2474954366.0676198</v>
      </c>
    </row>
    <row r="264" spans="1:36" x14ac:dyDescent="0.25">
      <c r="A264" t="s">
        <v>201</v>
      </c>
      <c r="B264" t="s">
        <v>18</v>
      </c>
      <c r="D264">
        <v>5855.28</v>
      </c>
      <c r="E264">
        <v>2051.0100000000002</v>
      </c>
      <c r="G264">
        <v>3.056E-2</v>
      </c>
      <c r="H264">
        <v>0</v>
      </c>
      <c r="I264">
        <v>260619.36</v>
      </c>
      <c r="J264">
        <v>197273.03</v>
      </c>
      <c r="K264">
        <v>0</v>
      </c>
      <c r="L264">
        <v>258328.15</v>
      </c>
      <c r="M264">
        <v>0</v>
      </c>
      <c r="N264">
        <v>334658.03999999998</v>
      </c>
      <c r="O264">
        <v>31951.74</v>
      </c>
      <c r="P264">
        <v>34160.980000000003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66094.880000000005</v>
      </c>
      <c r="W264">
        <v>0</v>
      </c>
      <c r="X264">
        <v>0</v>
      </c>
      <c r="Y264">
        <v>0</v>
      </c>
      <c r="Z264">
        <v>64094.3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210399.61</v>
      </c>
      <c r="AH264">
        <v>0</v>
      </c>
      <c r="AI264">
        <v>0</v>
      </c>
      <c r="AJ264">
        <v>621844273.00874496</v>
      </c>
    </row>
    <row r="265" spans="1:36" x14ac:dyDescent="0.25">
      <c r="A265" t="s">
        <v>202</v>
      </c>
      <c r="B265" t="s">
        <v>18</v>
      </c>
      <c r="C265">
        <v>2051.0100000000002</v>
      </c>
      <c r="D265">
        <v>5855.28</v>
      </c>
      <c r="G265">
        <v>3.056E-2</v>
      </c>
      <c r="H265">
        <v>0</v>
      </c>
      <c r="I265">
        <v>300041.8</v>
      </c>
      <c r="J265">
        <v>197273.03</v>
      </c>
      <c r="K265">
        <v>0</v>
      </c>
      <c r="L265">
        <v>258328.15</v>
      </c>
      <c r="M265">
        <v>0</v>
      </c>
      <c r="N265">
        <v>334829.65000000002</v>
      </c>
      <c r="O265">
        <v>36460.99</v>
      </c>
      <c r="P265">
        <v>34206.660000000003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65832.149999999994</v>
      </c>
      <c r="W265">
        <v>0</v>
      </c>
      <c r="X265">
        <v>0</v>
      </c>
      <c r="Y265">
        <v>0</v>
      </c>
      <c r="Z265">
        <v>64094.3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210398.35</v>
      </c>
      <c r="AH265">
        <v>0</v>
      </c>
      <c r="AI265">
        <v>0</v>
      </c>
      <c r="AJ265">
        <v>711321520.96908402</v>
      </c>
    </row>
    <row r="266" spans="1:36" x14ac:dyDescent="0.25">
      <c r="A266" t="s">
        <v>203</v>
      </c>
      <c r="B266" t="s">
        <v>18</v>
      </c>
      <c r="D266">
        <v>82729.37</v>
      </c>
      <c r="E266">
        <v>28978.78</v>
      </c>
      <c r="G266">
        <v>0.43177599999999999</v>
      </c>
      <c r="H266">
        <v>0</v>
      </c>
      <c r="I266">
        <v>2846421.33</v>
      </c>
      <c r="J266">
        <v>1274541.22</v>
      </c>
      <c r="K266">
        <v>0</v>
      </c>
      <c r="L266">
        <v>3553012.2</v>
      </c>
      <c r="M266">
        <v>0</v>
      </c>
      <c r="N266">
        <v>1223243.28</v>
      </c>
      <c r="O266">
        <v>480392.2</v>
      </c>
      <c r="P266">
        <v>509303.44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940257.93</v>
      </c>
      <c r="W266">
        <v>0</v>
      </c>
      <c r="X266">
        <v>0</v>
      </c>
      <c r="Y266">
        <v>0</v>
      </c>
      <c r="Z266">
        <v>127428.8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668519.11</v>
      </c>
      <c r="AH266">
        <v>0</v>
      </c>
      <c r="AI266">
        <v>0</v>
      </c>
      <c r="AJ266">
        <v>4081664503.5794802</v>
      </c>
    </row>
    <row r="267" spans="1:36" x14ac:dyDescent="0.25">
      <c r="A267" t="s">
        <v>205</v>
      </c>
      <c r="B267" t="s">
        <v>18</v>
      </c>
      <c r="D267">
        <v>35165.43</v>
      </c>
      <c r="E267">
        <v>12317.89</v>
      </c>
      <c r="G267">
        <v>0.183533</v>
      </c>
      <c r="H267">
        <v>0</v>
      </c>
      <c r="I267">
        <v>982157.24</v>
      </c>
      <c r="J267">
        <v>350734.07</v>
      </c>
      <c r="K267">
        <v>0</v>
      </c>
      <c r="L267">
        <v>936314.72</v>
      </c>
      <c r="M267">
        <v>0</v>
      </c>
      <c r="N267">
        <v>325090.01</v>
      </c>
      <c r="O267">
        <v>293306.18</v>
      </c>
      <c r="P267">
        <v>315030.58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204240.78</v>
      </c>
      <c r="W267">
        <v>0</v>
      </c>
      <c r="X267">
        <v>0</v>
      </c>
      <c r="Y267">
        <v>0</v>
      </c>
      <c r="Z267">
        <v>68627.600000000006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439685.55</v>
      </c>
      <c r="AH267">
        <v>0</v>
      </c>
      <c r="AI267">
        <v>0</v>
      </c>
      <c r="AJ267">
        <v>1443389453.5013101</v>
      </c>
    </row>
    <row r="268" spans="1:36" x14ac:dyDescent="0.25">
      <c r="A268" t="s">
        <v>207</v>
      </c>
      <c r="B268" t="s">
        <v>18</v>
      </c>
      <c r="C268">
        <v>28978.78</v>
      </c>
      <c r="D268">
        <v>82729.37</v>
      </c>
      <c r="G268">
        <v>0.43177599999999999</v>
      </c>
      <c r="H268">
        <v>0</v>
      </c>
      <c r="I268">
        <v>3306539.81</v>
      </c>
      <c r="J268">
        <v>1274541.22</v>
      </c>
      <c r="K268">
        <v>0</v>
      </c>
      <c r="L268">
        <v>3553012.2</v>
      </c>
      <c r="M268">
        <v>0</v>
      </c>
      <c r="N268">
        <v>1223412.8400000001</v>
      </c>
      <c r="O268">
        <v>546512.82999999996</v>
      </c>
      <c r="P268">
        <v>511290.61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944485.08</v>
      </c>
      <c r="W268">
        <v>0</v>
      </c>
      <c r="X268">
        <v>0</v>
      </c>
      <c r="Y268">
        <v>0</v>
      </c>
      <c r="Z268">
        <v>127428.8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668760.93000000005</v>
      </c>
      <c r="AH268">
        <v>0</v>
      </c>
      <c r="AI268">
        <v>0</v>
      </c>
      <c r="AJ268">
        <v>4947875351.1533499</v>
      </c>
    </row>
    <row r="269" spans="1:36" x14ac:dyDescent="0.25">
      <c r="A269" t="s">
        <v>208</v>
      </c>
      <c r="B269" t="s">
        <v>18</v>
      </c>
      <c r="C269">
        <v>12317.89</v>
      </c>
      <c r="D269">
        <v>35165.43</v>
      </c>
      <c r="G269">
        <v>0.183533</v>
      </c>
      <c r="H269">
        <v>0</v>
      </c>
      <c r="I269">
        <v>1429957.29</v>
      </c>
      <c r="J269">
        <v>350734.07</v>
      </c>
      <c r="K269">
        <v>0</v>
      </c>
      <c r="L269">
        <v>936314.72</v>
      </c>
      <c r="M269">
        <v>0</v>
      </c>
      <c r="N269">
        <v>324844.38</v>
      </c>
      <c r="O269">
        <v>341239.51</v>
      </c>
      <c r="P269">
        <v>319990.17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207737.42</v>
      </c>
      <c r="W269">
        <v>0</v>
      </c>
      <c r="X269">
        <v>0</v>
      </c>
      <c r="Y269">
        <v>0</v>
      </c>
      <c r="Z269">
        <v>68627.600000000006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439720.13</v>
      </c>
      <c r="AH269">
        <v>0</v>
      </c>
      <c r="AI269">
        <v>0</v>
      </c>
      <c r="AJ269">
        <v>1716578056.1805799</v>
      </c>
    </row>
    <row r="270" spans="1:36" x14ac:dyDescent="0.25">
      <c r="A270" t="s">
        <v>447</v>
      </c>
      <c r="B270" t="s">
        <v>18</v>
      </c>
      <c r="C270">
        <v>8200.5</v>
      </c>
      <c r="D270">
        <v>23411.01</v>
      </c>
      <c r="G270">
        <v>0.122185</v>
      </c>
      <c r="H270">
        <v>0</v>
      </c>
      <c r="I270">
        <v>870223.53</v>
      </c>
      <c r="J270">
        <v>394508.4</v>
      </c>
      <c r="K270">
        <v>0</v>
      </c>
      <c r="L270">
        <v>436518</v>
      </c>
      <c r="M270">
        <v>0</v>
      </c>
      <c r="N270">
        <v>220785.68</v>
      </c>
      <c r="O270">
        <v>147339.23000000001</v>
      </c>
      <c r="P270">
        <v>135893.29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502454.6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160090.39000000001</v>
      </c>
      <c r="AH270">
        <v>0</v>
      </c>
      <c r="AI270">
        <v>0</v>
      </c>
      <c r="AJ270">
        <v>1717590854.0967801</v>
      </c>
    </row>
    <row r="271" spans="1:36" x14ac:dyDescent="0.25">
      <c r="A271" t="s">
        <v>448</v>
      </c>
      <c r="B271" t="s">
        <v>18</v>
      </c>
      <c r="D271">
        <v>23411.01</v>
      </c>
      <c r="E271">
        <v>8200.5</v>
      </c>
      <c r="G271">
        <v>0.122185</v>
      </c>
      <c r="H271">
        <v>0</v>
      </c>
      <c r="I271">
        <v>768121.66</v>
      </c>
      <c r="J271">
        <v>394508.4</v>
      </c>
      <c r="K271">
        <v>0</v>
      </c>
      <c r="L271">
        <v>436518</v>
      </c>
      <c r="M271">
        <v>0</v>
      </c>
      <c r="N271">
        <v>220727.13</v>
      </c>
      <c r="O271">
        <v>128431.73</v>
      </c>
      <c r="P271">
        <v>133281.60000000001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500333.23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160089.34</v>
      </c>
      <c r="AH271">
        <v>0</v>
      </c>
      <c r="AI271">
        <v>0</v>
      </c>
      <c r="AJ271">
        <v>1534556216.0129199</v>
      </c>
    </row>
    <row r="272" spans="1:36" x14ac:dyDescent="0.25">
      <c r="A272" t="s">
        <v>449</v>
      </c>
      <c r="B272" t="s">
        <v>18</v>
      </c>
      <c r="D272">
        <v>1425.57</v>
      </c>
      <c r="E272">
        <v>499.35</v>
      </c>
      <c r="G272">
        <v>7.4400000000000004E-3</v>
      </c>
      <c r="H272">
        <v>0</v>
      </c>
      <c r="I272">
        <v>19871.55</v>
      </c>
      <c r="J272">
        <v>12134.67</v>
      </c>
      <c r="K272">
        <v>0</v>
      </c>
      <c r="L272">
        <v>29466.65</v>
      </c>
      <c r="M272">
        <v>0</v>
      </c>
      <c r="N272">
        <v>59636.04</v>
      </c>
      <c r="O272">
        <v>4723.1400000000003</v>
      </c>
      <c r="P272">
        <v>5163.54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486.05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4298.1099999999997</v>
      </c>
      <c r="AH272">
        <v>0</v>
      </c>
      <c r="AI272">
        <v>0</v>
      </c>
      <c r="AJ272">
        <v>61563157.146646701</v>
      </c>
    </row>
    <row r="273" spans="1:36" x14ac:dyDescent="0.25">
      <c r="A273" t="s">
        <v>450</v>
      </c>
      <c r="B273" t="s">
        <v>18</v>
      </c>
      <c r="C273">
        <v>499.35</v>
      </c>
      <c r="D273">
        <v>1425.57</v>
      </c>
      <c r="G273">
        <v>7.4400000000000004E-3</v>
      </c>
      <c r="H273">
        <v>0</v>
      </c>
      <c r="I273">
        <v>32165</v>
      </c>
      <c r="J273">
        <v>12134.67</v>
      </c>
      <c r="K273">
        <v>0</v>
      </c>
      <c r="L273">
        <v>29466.65</v>
      </c>
      <c r="M273">
        <v>0</v>
      </c>
      <c r="N273">
        <v>59636.800000000003</v>
      </c>
      <c r="O273">
        <v>7226.56</v>
      </c>
      <c r="P273">
        <v>6227.71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486.04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4298.1099999999997</v>
      </c>
      <c r="AH273">
        <v>0</v>
      </c>
      <c r="AI273">
        <v>0</v>
      </c>
      <c r="AJ273">
        <v>76382130.120700195</v>
      </c>
    </row>
    <row r="274" spans="1:36" x14ac:dyDescent="0.25">
      <c r="A274" t="s">
        <v>451</v>
      </c>
      <c r="B274" t="s">
        <v>18</v>
      </c>
      <c r="D274">
        <v>21813.13</v>
      </c>
      <c r="E274">
        <v>7640.79</v>
      </c>
      <c r="G274">
        <v>0.113846</v>
      </c>
      <c r="H274">
        <v>0</v>
      </c>
      <c r="I274">
        <v>803816.53</v>
      </c>
      <c r="J274">
        <v>239542.44</v>
      </c>
      <c r="K274">
        <v>0</v>
      </c>
      <c r="L274">
        <v>831153.37</v>
      </c>
      <c r="M274">
        <v>0</v>
      </c>
      <c r="N274">
        <v>227531.48</v>
      </c>
      <c r="O274">
        <v>187053</v>
      </c>
      <c r="P274">
        <v>199397.65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262995.18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104776.02</v>
      </c>
      <c r="AH274">
        <v>0</v>
      </c>
      <c r="AI274">
        <v>0</v>
      </c>
      <c r="AJ274">
        <v>1056772157.74359</v>
      </c>
    </row>
    <row r="275" spans="1:36" x14ac:dyDescent="0.25">
      <c r="A275" t="s">
        <v>452</v>
      </c>
      <c r="B275" t="s">
        <v>18</v>
      </c>
      <c r="C275">
        <v>7640.79</v>
      </c>
      <c r="D275">
        <v>21813.13</v>
      </c>
      <c r="G275">
        <v>0.113846</v>
      </c>
      <c r="H275">
        <v>0</v>
      </c>
      <c r="I275">
        <v>980906.43</v>
      </c>
      <c r="J275">
        <v>239542.44</v>
      </c>
      <c r="K275">
        <v>0</v>
      </c>
      <c r="L275">
        <v>831153.37</v>
      </c>
      <c r="M275">
        <v>0</v>
      </c>
      <c r="N275">
        <v>227793.4</v>
      </c>
      <c r="O275">
        <v>217872.89</v>
      </c>
      <c r="P275">
        <v>204035.51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260355.94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104777.96</v>
      </c>
      <c r="AH275">
        <v>0</v>
      </c>
      <c r="AI275">
        <v>0</v>
      </c>
      <c r="AJ275">
        <v>1301586438.2641599</v>
      </c>
    </row>
    <row r="276" spans="1:36" x14ac:dyDescent="0.25">
      <c r="A276" t="s">
        <v>453</v>
      </c>
      <c r="B276" t="s">
        <v>18</v>
      </c>
      <c r="D276">
        <v>3988.28</v>
      </c>
      <c r="E276">
        <v>1397.03</v>
      </c>
      <c r="G276">
        <v>2.0815E-2</v>
      </c>
      <c r="H276">
        <v>0</v>
      </c>
      <c r="I276">
        <v>188877.16</v>
      </c>
      <c r="J276">
        <v>103288.37</v>
      </c>
      <c r="K276">
        <v>0</v>
      </c>
      <c r="L276">
        <v>282049.05</v>
      </c>
      <c r="M276">
        <v>0</v>
      </c>
      <c r="N276">
        <v>86864.18</v>
      </c>
      <c r="O276">
        <v>21034.880000000001</v>
      </c>
      <c r="P276">
        <v>21720.05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72433.69</v>
      </c>
      <c r="W276">
        <v>0</v>
      </c>
      <c r="X276">
        <v>0</v>
      </c>
      <c r="Y276">
        <v>0</v>
      </c>
      <c r="Z276">
        <v>65854.75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114266.38</v>
      </c>
      <c r="AH276">
        <v>0</v>
      </c>
      <c r="AI276">
        <v>0</v>
      </c>
      <c r="AJ276">
        <v>267050282.956229</v>
      </c>
    </row>
    <row r="277" spans="1:36" x14ac:dyDescent="0.25">
      <c r="A277" t="s">
        <v>454</v>
      </c>
      <c r="B277" t="s">
        <v>18</v>
      </c>
      <c r="C277">
        <v>1397.03</v>
      </c>
      <c r="D277">
        <v>3988.28</v>
      </c>
      <c r="G277">
        <v>2.0815E-2</v>
      </c>
      <c r="H277">
        <v>0</v>
      </c>
      <c r="I277">
        <v>206841.31</v>
      </c>
      <c r="J277">
        <v>103288.37</v>
      </c>
      <c r="K277">
        <v>0</v>
      </c>
      <c r="L277">
        <v>282049.05</v>
      </c>
      <c r="M277">
        <v>0</v>
      </c>
      <c r="N277">
        <v>86864.4</v>
      </c>
      <c r="O277">
        <v>23255.49</v>
      </c>
      <c r="P277">
        <v>21736.94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72415.62</v>
      </c>
      <c r="W277">
        <v>0</v>
      </c>
      <c r="X277">
        <v>0</v>
      </c>
      <c r="Y277">
        <v>0</v>
      </c>
      <c r="Z277">
        <v>65854.75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114272.45</v>
      </c>
      <c r="AH277">
        <v>0</v>
      </c>
      <c r="AI277">
        <v>0</v>
      </c>
      <c r="AJ277">
        <v>303037177.17788798</v>
      </c>
    </row>
    <row r="278" spans="1:36" x14ac:dyDescent="0.25">
      <c r="A278" t="s">
        <v>455</v>
      </c>
      <c r="B278" t="s">
        <v>18</v>
      </c>
      <c r="C278">
        <v>13290.28</v>
      </c>
      <c r="D278">
        <v>37941.440000000002</v>
      </c>
      <c r="G278">
        <v>0.198022</v>
      </c>
      <c r="H278">
        <v>0</v>
      </c>
      <c r="I278">
        <v>1681621.13</v>
      </c>
      <c r="J278">
        <v>626942.71</v>
      </c>
      <c r="K278">
        <v>0</v>
      </c>
      <c r="L278">
        <v>1141299.43</v>
      </c>
      <c r="M278">
        <v>0</v>
      </c>
      <c r="N278">
        <v>413776.06</v>
      </c>
      <c r="O278">
        <v>404106.91</v>
      </c>
      <c r="P278">
        <v>374929.01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808606.12</v>
      </c>
      <c r="W278">
        <v>0</v>
      </c>
      <c r="X278">
        <v>0</v>
      </c>
      <c r="Y278">
        <v>0</v>
      </c>
      <c r="Z278">
        <v>43737.51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249012.19</v>
      </c>
      <c r="AH278">
        <v>0</v>
      </c>
      <c r="AI278">
        <v>0</v>
      </c>
      <c r="AJ278">
        <v>2284622569.8924098</v>
      </c>
    </row>
    <row r="279" spans="1:36" x14ac:dyDescent="0.25">
      <c r="A279" t="s">
        <v>456</v>
      </c>
      <c r="B279" t="s">
        <v>18</v>
      </c>
      <c r="D279">
        <v>4745.6499999999996</v>
      </c>
      <c r="E279">
        <v>1662.33</v>
      </c>
      <c r="G279">
        <v>2.4767999999999998E-2</v>
      </c>
      <c r="H279">
        <v>0</v>
      </c>
      <c r="I279">
        <v>216152.36</v>
      </c>
      <c r="J279">
        <v>94437.9</v>
      </c>
      <c r="K279">
        <v>0</v>
      </c>
      <c r="L279">
        <v>258328.15</v>
      </c>
      <c r="M279">
        <v>0</v>
      </c>
      <c r="N279">
        <v>316149.59000000003</v>
      </c>
      <c r="O279">
        <v>25186.5</v>
      </c>
      <c r="P279">
        <v>26928.37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72274.81</v>
      </c>
      <c r="W279">
        <v>0</v>
      </c>
      <c r="X279">
        <v>0</v>
      </c>
      <c r="Y279">
        <v>0</v>
      </c>
      <c r="Z279">
        <v>64094.3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210397.44</v>
      </c>
      <c r="AH279">
        <v>0</v>
      </c>
      <c r="AI279">
        <v>0</v>
      </c>
      <c r="AJ279">
        <v>524316504.17180902</v>
      </c>
    </row>
    <row r="280" spans="1:36" x14ac:dyDescent="0.25">
      <c r="A280" t="s">
        <v>457</v>
      </c>
      <c r="B280" t="s">
        <v>18</v>
      </c>
      <c r="D280">
        <v>37941.440000000002</v>
      </c>
      <c r="E280">
        <v>13290.28</v>
      </c>
      <c r="G280">
        <v>0.198022</v>
      </c>
      <c r="H280">
        <v>0</v>
      </c>
      <c r="I280">
        <v>1428624.84</v>
      </c>
      <c r="J280">
        <v>626942.71</v>
      </c>
      <c r="K280">
        <v>0</v>
      </c>
      <c r="L280">
        <v>1141299.43</v>
      </c>
      <c r="M280">
        <v>0</v>
      </c>
      <c r="N280">
        <v>413441.62</v>
      </c>
      <c r="O280">
        <v>348137.51</v>
      </c>
      <c r="P280">
        <v>366993.71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822066.73</v>
      </c>
      <c r="W280">
        <v>0</v>
      </c>
      <c r="X280">
        <v>0</v>
      </c>
      <c r="Y280">
        <v>0</v>
      </c>
      <c r="Z280">
        <v>43737.51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249023.56</v>
      </c>
      <c r="AH280">
        <v>0</v>
      </c>
      <c r="AI280">
        <v>0</v>
      </c>
      <c r="AJ280">
        <v>2090878178.2072501</v>
      </c>
    </row>
    <row r="281" spans="1:36" x14ac:dyDescent="0.25">
      <c r="A281" t="s">
        <v>458</v>
      </c>
      <c r="B281" t="s">
        <v>18</v>
      </c>
      <c r="C281">
        <v>1662.33</v>
      </c>
      <c r="D281">
        <v>4745.6499999999996</v>
      </c>
      <c r="G281">
        <v>2.4767999999999998E-2</v>
      </c>
      <c r="H281">
        <v>0</v>
      </c>
      <c r="I281">
        <v>247163.44</v>
      </c>
      <c r="J281">
        <v>94437.9</v>
      </c>
      <c r="K281">
        <v>0</v>
      </c>
      <c r="L281">
        <v>258328.15</v>
      </c>
      <c r="M281">
        <v>0</v>
      </c>
      <c r="N281">
        <v>316097.57</v>
      </c>
      <c r="O281">
        <v>28767.439999999999</v>
      </c>
      <c r="P281">
        <v>27015.57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72213.7</v>
      </c>
      <c r="W281">
        <v>0</v>
      </c>
      <c r="X281">
        <v>0</v>
      </c>
      <c r="Y281">
        <v>0</v>
      </c>
      <c r="Z281">
        <v>64094.3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210398.24</v>
      </c>
      <c r="AH281">
        <v>0</v>
      </c>
      <c r="AI281">
        <v>0</v>
      </c>
      <c r="AJ281">
        <v>595194772.78014302</v>
      </c>
    </row>
    <row r="282" spans="1:36" x14ac:dyDescent="0.25">
      <c r="A282" t="s">
        <v>459</v>
      </c>
      <c r="B282" t="s">
        <v>18</v>
      </c>
      <c r="D282">
        <v>59840.78</v>
      </c>
      <c r="E282">
        <v>20961.27</v>
      </c>
      <c r="G282">
        <v>0.31231700000000001</v>
      </c>
      <c r="H282">
        <v>0</v>
      </c>
      <c r="I282">
        <v>2016662.7</v>
      </c>
      <c r="J282">
        <v>643032.05000000005</v>
      </c>
      <c r="K282">
        <v>0</v>
      </c>
      <c r="L282">
        <v>3553012.2</v>
      </c>
      <c r="M282">
        <v>0</v>
      </c>
      <c r="N282">
        <v>1014960.64</v>
      </c>
      <c r="O282">
        <v>324325.71999999997</v>
      </c>
      <c r="P282">
        <v>345377.18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578174.23</v>
      </c>
      <c r="W282">
        <v>0</v>
      </c>
      <c r="X282">
        <v>0</v>
      </c>
      <c r="Y282">
        <v>0</v>
      </c>
      <c r="Z282">
        <v>127428.8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668397.75</v>
      </c>
      <c r="AH282">
        <v>0</v>
      </c>
      <c r="AI282">
        <v>0</v>
      </c>
      <c r="AJ282">
        <v>3044324785.1233301</v>
      </c>
    </row>
    <row r="283" spans="1:36" x14ac:dyDescent="0.25">
      <c r="A283" t="s">
        <v>460</v>
      </c>
      <c r="B283" t="s">
        <v>18</v>
      </c>
      <c r="C283">
        <v>20961.27</v>
      </c>
      <c r="D283">
        <v>59840.78</v>
      </c>
      <c r="G283">
        <v>0.31231700000000001</v>
      </c>
      <c r="H283">
        <v>0</v>
      </c>
      <c r="I283">
        <v>2344277.5</v>
      </c>
      <c r="J283">
        <v>643032.05000000005</v>
      </c>
      <c r="K283">
        <v>0</v>
      </c>
      <c r="L283">
        <v>3553012.2</v>
      </c>
      <c r="M283">
        <v>0</v>
      </c>
      <c r="N283">
        <v>1014804.48</v>
      </c>
      <c r="O283">
        <v>369697.77</v>
      </c>
      <c r="P283">
        <v>346490.74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584045.68000000005</v>
      </c>
      <c r="W283">
        <v>0</v>
      </c>
      <c r="X283">
        <v>0</v>
      </c>
      <c r="Y283">
        <v>0</v>
      </c>
      <c r="Z283">
        <v>127428.8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668491.43000000005</v>
      </c>
      <c r="AH283">
        <v>0</v>
      </c>
      <c r="AI283">
        <v>0</v>
      </c>
      <c r="AJ283">
        <v>3555540453.40622</v>
      </c>
    </row>
    <row r="284" spans="1:36" x14ac:dyDescent="0.25">
      <c r="A284" t="s">
        <v>461</v>
      </c>
      <c r="B284" t="s">
        <v>18</v>
      </c>
      <c r="C284">
        <v>10434.56</v>
      </c>
      <c r="D284">
        <v>29788.84</v>
      </c>
      <c r="G284">
        <v>0.155472</v>
      </c>
      <c r="H284">
        <v>0</v>
      </c>
      <c r="I284">
        <v>1161357.02</v>
      </c>
      <c r="J284">
        <v>163686.57</v>
      </c>
      <c r="K284">
        <v>0</v>
      </c>
      <c r="L284">
        <v>936314.72</v>
      </c>
      <c r="M284">
        <v>0</v>
      </c>
      <c r="N284">
        <v>277363.27</v>
      </c>
      <c r="O284">
        <v>274298.32</v>
      </c>
      <c r="P284">
        <v>257410.78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206739.63</v>
      </c>
      <c r="W284">
        <v>0</v>
      </c>
      <c r="X284">
        <v>0</v>
      </c>
      <c r="Y284">
        <v>0</v>
      </c>
      <c r="Z284">
        <v>68627.600000000006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439665.87</v>
      </c>
      <c r="AH284">
        <v>0</v>
      </c>
      <c r="AI284">
        <v>0</v>
      </c>
      <c r="AJ284">
        <v>1367762679.2242501</v>
      </c>
    </row>
    <row r="285" spans="1:36" x14ac:dyDescent="0.25">
      <c r="A285" t="s">
        <v>462</v>
      </c>
      <c r="B285" t="s">
        <v>18</v>
      </c>
      <c r="D285">
        <v>29788.84</v>
      </c>
      <c r="E285">
        <v>10434.56</v>
      </c>
      <c r="G285">
        <v>0.155472</v>
      </c>
      <c r="H285">
        <v>0</v>
      </c>
      <c r="I285">
        <v>693286.09</v>
      </c>
      <c r="J285">
        <v>163686.57</v>
      </c>
      <c r="K285">
        <v>0</v>
      </c>
      <c r="L285">
        <v>936314.72</v>
      </c>
      <c r="M285">
        <v>0</v>
      </c>
      <c r="N285">
        <v>277304.86</v>
      </c>
      <c r="O285">
        <v>232870.68</v>
      </c>
      <c r="P285">
        <v>253550.17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206740.7</v>
      </c>
      <c r="W285">
        <v>0</v>
      </c>
      <c r="X285">
        <v>0</v>
      </c>
      <c r="Y285">
        <v>0</v>
      </c>
      <c r="Z285">
        <v>68627.600000000006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439672.51</v>
      </c>
      <c r="AH285">
        <v>0</v>
      </c>
      <c r="AI285">
        <v>0</v>
      </c>
      <c r="AJ285">
        <v>1122785786.4907501</v>
      </c>
    </row>
    <row r="286" spans="1:36" x14ac:dyDescent="0.25">
      <c r="A286" t="s">
        <v>591</v>
      </c>
      <c r="B286" t="s">
        <v>18</v>
      </c>
      <c r="D286">
        <v>4498.1400000000003</v>
      </c>
      <c r="E286">
        <v>1575.63</v>
      </c>
      <c r="G286">
        <v>2.3476E-2</v>
      </c>
      <c r="H286">
        <v>0</v>
      </c>
      <c r="I286">
        <v>198907.4</v>
      </c>
      <c r="J286">
        <v>125722.95</v>
      </c>
      <c r="K286">
        <v>0</v>
      </c>
      <c r="L286">
        <v>179632.92</v>
      </c>
      <c r="M286">
        <v>0</v>
      </c>
      <c r="N286">
        <v>71448.89</v>
      </c>
      <c r="O286">
        <v>27360.7</v>
      </c>
      <c r="P286">
        <v>29705.89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60055.3</v>
      </c>
      <c r="W286">
        <v>0</v>
      </c>
      <c r="X286">
        <v>0</v>
      </c>
      <c r="Y286">
        <v>0</v>
      </c>
      <c r="Z286">
        <v>25988.9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10836.58</v>
      </c>
      <c r="AH286">
        <v>0</v>
      </c>
      <c r="AI286">
        <v>0</v>
      </c>
      <c r="AJ286">
        <v>499455111.43771797</v>
      </c>
    </row>
    <row r="287" spans="1:36" x14ac:dyDescent="0.25">
      <c r="A287" t="s">
        <v>594</v>
      </c>
      <c r="B287" t="s">
        <v>18</v>
      </c>
      <c r="C287">
        <v>1575.63</v>
      </c>
      <c r="D287">
        <v>4498.1400000000003</v>
      </c>
      <c r="G287">
        <v>2.3476E-2</v>
      </c>
      <c r="H287">
        <v>0</v>
      </c>
      <c r="I287">
        <v>258576.06</v>
      </c>
      <c r="J287">
        <v>125722.95</v>
      </c>
      <c r="K287">
        <v>0</v>
      </c>
      <c r="L287">
        <v>179632.92</v>
      </c>
      <c r="M287">
        <v>0</v>
      </c>
      <c r="N287">
        <v>71389.61</v>
      </c>
      <c r="O287">
        <v>31853.08</v>
      </c>
      <c r="P287">
        <v>29827.67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59860.47</v>
      </c>
      <c r="W287">
        <v>0</v>
      </c>
      <c r="X287">
        <v>0</v>
      </c>
      <c r="Y287">
        <v>0</v>
      </c>
      <c r="Z287">
        <v>25988.9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10790.14</v>
      </c>
      <c r="AH287">
        <v>0</v>
      </c>
      <c r="AI287">
        <v>0</v>
      </c>
      <c r="AJ287">
        <v>594888085.65891802</v>
      </c>
    </row>
    <row r="288" spans="1:36" x14ac:dyDescent="0.25">
      <c r="A288" t="s">
        <v>623</v>
      </c>
      <c r="B288" t="s">
        <v>18</v>
      </c>
      <c r="D288">
        <v>3901.66</v>
      </c>
      <c r="E288">
        <v>1366.69</v>
      </c>
      <c r="G288">
        <v>2.0362999999999999E-2</v>
      </c>
      <c r="H288">
        <v>0</v>
      </c>
      <c r="I288">
        <v>160500.51999999999</v>
      </c>
      <c r="J288">
        <v>125722.95</v>
      </c>
      <c r="K288">
        <v>0</v>
      </c>
      <c r="L288">
        <v>179632.92</v>
      </c>
      <c r="M288">
        <v>0</v>
      </c>
      <c r="N288">
        <v>58715.74</v>
      </c>
      <c r="O288">
        <v>23654.22</v>
      </c>
      <c r="P288">
        <v>25693.51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58945.85</v>
      </c>
      <c r="W288">
        <v>0</v>
      </c>
      <c r="X288">
        <v>0</v>
      </c>
      <c r="Y288">
        <v>0</v>
      </c>
      <c r="Z288">
        <v>25988.9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10835.57</v>
      </c>
      <c r="AH288">
        <v>0</v>
      </c>
      <c r="AI288">
        <v>0</v>
      </c>
      <c r="AJ288">
        <v>438847636.80552202</v>
      </c>
    </row>
    <row r="289" spans="1:36" x14ac:dyDescent="0.25">
      <c r="A289" t="s">
        <v>624</v>
      </c>
      <c r="B289" t="s">
        <v>18</v>
      </c>
      <c r="C289">
        <v>1366.69</v>
      </c>
      <c r="D289">
        <v>3901.66</v>
      </c>
      <c r="G289">
        <v>2.0362999999999999E-2</v>
      </c>
      <c r="H289">
        <v>0</v>
      </c>
      <c r="I289">
        <v>211188.9</v>
      </c>
      <c r="J289">
        <v>125722.95</v>
      </c>
      <c r="K289">
        <v>0</v>
      </c>
      <c r="L289">
        <v>179632.92</v>
      </c>
      <c r="M289">
        <v>0</v>
      </c>
      <c r="N289">
        <v>58675.46</v>
      </c>
      <c r="O289">
        <v>27571.17</v>
      </c>
      <c r="P289">
        <v>25808.42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58901.65</v>
      </c>
      <c r="W289">
        <v>0</v>
      </c>
      <c r="X289">
        <v>0</v>
      </c>
      <c r="Y289">
        <v>0</v>
      </c>
      <c r="Z289">
        <v>25988.9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10794.59</v>
      </c>
      <c r="AH289">
        <v>0</v>
      </c>
      <c r="AI289">
        <v>0</v>
      </c>
      <c r="AJ289">
        <v>521502247.82627898</v>
      </c>
    </row>
    <row r="290" spans="1:36" x14ac:dyDescent="0.25">
      <c r="A290" t="s">
        <v>172</v>
      </c>
      <c r="B290" t="s">
        <v>19</v>
      </c>
      <c r="D290">
        <v>25715.64</v>
      </c>
      <c r="E290">
        <v>9007.7800000000007</v>
      </c>
      <c r="G290">
        <v>0.134213</v>
      </c>
      <c r="H290">
        <v>0</v>
      </c>
      <c r="I290">
        <v>987148.63</v>
      </c>
      <c r="J290">
        <v>774617.57</v>
      </c>
      <c r="K290">
        <v>0</v>
      </c>
      <c r="L290">
        <v>436518</v>
      </c>
      <c r="M290">
        <v>0</v>
      </c>
      <c r="N290">
        <v>290045.14</v>
      </c>
      <c r="O290">
        <v>142484.5</v>
      </c>
      <c r="P290">
        <v>146746.32999999999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449659.05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157890.81</v>
      </c>
      <c r="AH290">
        <v>0</v>
      </c>
      <c r="AI290">
        <v>0</v>
      </c>
      <c r="AJ290">
        <v>1981791158.2892799</v>
      </c>
    </row>
    <row r="291" spans="1:36" x14ac:dyDescent="0.25">
      <c r="A291" t="s">
        <v>176</v>
      </c>
      <c r="B291" t="s">
        <v>19</v>
      </c>
      <c r="C291">
        <v>9007.7800000000007</v>
      </c>
      <c r="D291">
        <v>25715.64</v>
      </c>
      <c r="G291">
        <v>0.134213</v>
      </c>
      <c r="H291">
        <v>0</v>
      </c>
      <c r="I291">
        <v>1048250.4</v>
      </c>
      <c r="J291">
        <v>774617.57</v>
      </c>
      <c r="K291">
        <v>0</v>
      </c>
      <c r="L291">
        <v>436518</v>
      </c>
      <c r="M291">
        <v>0</v>
      </c>
      <c r="N291">
        <v>289952.68</v>
      </c>
      <c r="O291">
        <v>163339.20000000001</v>
      </c>
      <c r="P291">
        <v>151098.69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451636.03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157893.14000000001</v>
      </c>
      <c r="AH291">
        <v>0</v>
      </c>
      <c r="AI291">
        <v>0</v>
      </c>
      <c r="AJ291">
        <v>2154112241.6129599</v>
      </c>
    </row>
    <row r="292" spans="1:36" x14ac:dyDescent="0.25">
      <c r="A292" t="s">
        <v>177</v>
      </c>
      <c r="B292" t="s">
        <v>19</v>
      </c>
      <c r="D292">
        <v>33835.660000000003</v>
      </c>
      <c r="E292">
        <v>11852.09</v>
      </c>
      <c r="G292">
        <v>0.176593</v>
      </c>
      <c r="H292">
        <v>0</v>
      </c>
      <c r="I292">
        <v>1236774.72</v>
      </c>
      <c r="J292">
        <v>463682.79</v>
      </c>
      <c r="K292">
        <v>0</v>
      </c>
      <c r="L292">
        <v>831153.37</v>
      </c>
      <c r="M292">
        <v>0</v>
      </c>
      <c r="N292">
        <v>291330.69</v>
      </c>
      <c r="O292">
        <v>287639.90999999997</v>
      </c>
      <c r="P292">
        <v>309836.52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615093.87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103351.38</v>
      </c>
      <c r="AH292">
        <v>0</v>
      </c>
      <c r="AI292">
        <v>0</v>
      </c>
      <c r="AJ292">
        <v>1645705791.0074501</v>
      </c>
    </row>
    <row r="293" spans="1:36" x14ac:dyDescent="0.25">
      <c r="A293" t="s">
        <v>178</v>
      </c>
      <c r="B293" t="s">
        <v>19</v>
      </c>
      <c r="D293">
        <v>2621.1</v>
      </c>
      <c r="E293">
        <v>918.13</v>
      </c>
      <c r="G293">
        <v>1.3679999999999999E-2</v>
      </c>
      <c r="H293">
        <v>0</v>
      </c>
      <c r="I293">
        <v>47928.639999999999</v>
      </c>
      <c r="J293">
        <v>23792.959999999999</v>
      </c>
      <c r="K293">
        <v>0</v>
      </c>
      <c r="L293">
        <v>29466.65</v>
      </c>
      <c r="M293">
        <v>0</v>
      </c>
      <c r="N293">
        <v>121625.56</v>
      </c>
      <c r="O293">
        <v>11288.01</v>
      </c>
      <c r="P293">
        <v>12487.01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172.39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4247.5200000000004</v>
      </c>
      <c r="AH293">
        <v>0</v>
      </c>
      <c r="AI293">
        <v>0</v>
      </c>
      <c r="AJ293">
        <v>152720900.686488</v>
      </c>
    </row>
    <row r="294" spans="1:36" x14ac:dyDescent="0.25">
      <c r="A294" t="s">
        <v>179</v>
      </c>
      <c r="B294" t="s">
        <v>19</v>
      </c>
      <c r="C294">
        <v>918.13</v>
      </c>
      <c r="D294">
        <v>2621.1</v>
      </c>
      <c r="G294">
        <v>1.3679999999999999E-2</v>
      </c>
      <c r="H294">
        <v>0</v>
      </c>
      <c r="I294">
        <v>76541.16</v>
      </c>
      <c r="J294">
        <v>23792.959999999999</v>
      </c>
      <c r="K294">
        <v>0</v>
      </c>
      <c r="L294">
        <v>29466.65</v>
      </c>
      <c r="M294">
        <v>0</v>
      </c>
      <c r="N294">
        <v>121626.98</v>
      </c>
      <c r="O294">
        <v>17391.169999999998</v>
      </c>
      <c r="P294">
        <v>15378.73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172.38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4247.5200000000004</v>
      </c>
      <c r="AH294">
        <v>0</v>
      </c>
      <c r="AI294">
        <v>0</v>
      </c>
      <c r="AJ294">
        <v>195367775.80270401</v>
      </c>
    </row>
    <row r="295" spans="1:36" x14ac:dyDescent="0.25">
      <c r="A295" t="s">
        <v>180</v>
      </c>
      <c r="B295" t="s">
        <v>19</v>
      </c>
      <c r="C295">
        <v>11852.09</v>
      </c>
      <c r="D295">
        <v>33835.660000000003</v>
      </c>
      <c r="G295">
        <v>0.176593</v>
      </c>
      <c r="H295">
        <v>0</v>
      </c>
      <c r="I295">
        <v>1554097.25</v>
      </c>
      <c r="J295">
        <v>463682.79</v>
      </c>
      <c r="K295">
        <v>0</v>
      </c>
      <c r="L295">
        <v>831153.37</v>
      </c>
      <c r="M295">
        <v>0</v>
      </c>
      <c r="N295">
        <v>293444.90000000002</v>
      </c>
      <c r="O295">
        <v>331645.63</v>
      </c>
      <c r="P295">
        <v>311332.12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612322.9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103352.53</v>
      </c>
      <c r="AH295">
        <v>0</v>
      </c>
      <c r="AI295">
        <v>0</v>
      </c>
      <c r="AJ295">
        <v>2160527166.9786801</v>
      </c>
    </row>
    <row r="296" spans="1:36" x14ac:dyDescent="0.25">
      <c r="A296" t="s">
        <v>181</v>
      </c>
      <c r="B296" t="s">
        <v>19</v>
      </c>
      <c r="D296">
        <v>41548.28</v>
      </c>
      <c r="E296">
        <v>14553.7</v>
      </c>
      <c r="G296">
        <v>0.21684600000000001</v>
      </c>
      <c r="H296">
        <v>0</v>
      </c>
      <c r="I296">
        <v>1737389.15</v>
      </c>
      <c r="J296">
        <v>857863.39</v>
      </c>
      <c r="K296">
        <v>0</v>
      </c>
      <c r="L296">
        <v>1141299.43</v>
      </c>
      <c r="M296">
        <v>0</v>
      </c>
      <c r="N296">
        <v>546739.07999999996</v>
      </c>
      <c r="O296">
        <v>387328.1</v>
      </c>
      <c r="P296">
        <v>409486.97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909218.58</v>
      </c>
      <c r="W296">
        <v>0</v>
      </c>
      <c r="X296">
        <v>0</v>
      </c>
      <c r="Y296">
        <v>0</v>
      </c>
      <c r="Z296">
        <v>43737.51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245617.74</v>
      </c>
      <c r="AH296">
        <v>0</v>
      </c>
      <c r="AI296">
        <v>0</v>
      </c>
      <c r="AJ296">
        <v>2344297006.86133</v>
      </c>
    </row>
    <row r="297" spans="1:36" x14ac:dyDescent="0.25">
      <c r="A297" t="s">
        <v>182</v>
      </c>
      <c r="B297" t="s">
        <v>19</v>
      </c>
      <c r="D297">
        <v>5341.97</v>
      </c>
      <c r="E297">
        <v>1871.21</v>
      </c>
      <c r="G297">
        <v>2.7879999999999999E-2</v>
      </c>
      <c r="H297">
        <v>0</v>
      </c>
      <c r="I297">
        <v>282959.34000000003</v>
      </c>
      <c r="J297">
        <v>201226.15</v>
      </c>
      <c r="K297">
        <v>0</v>
      </c>
      <c r="L297">
        <v>282049.05</v>
      </c>
      <c r="M297">
        <v>0</v>
      </c>
      <c r="N297">
        <v>138589.15</v>
      </c>
      <c r="O297">
        <v>29757.39</v>
      </c>
      <c r="P297">
        <v>30820.16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130739.93</v>
      </c>
      <c r="W297">
        <v>0</v>
      </c>
      <c r="X297">
        <v>0</v>
      </c>
      <c r="Y297">
        <v>0</v>
      </c>
      <c r="Z297">
        <v>65854.75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112723.47</v>
      </c>
      <c r="AH297">
        <v>0</v>
      </c>
      <c r="AI297">
        <v>0</v>
      </c>
      <c r="AJ297">
        <v>375847849.230721</v>
      </c>
    </row>
    <row r="298" spans="1:36" x14ac:dyDescent="0.25">
      <c r="A298" t="s">
        <v>183</v>
      </c>
      <c r="B298" t="s">
        <v>19</v>
      </c>
      <c r="C298">
        <v>1871.21</v>
      </c>
      <c r="D298">
        <v>5341.97</v>
      </c>
      <c r="G298">
        <v>2.7879999999999999E-2</v>
      </c>
      <c r="H298">
        <v>0</v>
      </c>
      <c r="I298">
        <v>313885.81</v>
      </c>
      <c r="J298">
        <v>201226.15</v>
      </c>
      <c r="K298">
        <v>0</v>
      </c>
      <c r="L298">
        <v>282049.05</v>
      </c>
      <c r="M298">
        <v>0</v>
      </c>
      <c r="N298">
        <v>138596.95000000001</v>
      </c>
      <c r="O298">
        <v>32925.730000000003</v>
      </c>
      <c r="P298">
        <v>30842.05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130686.94</v>
      </c>
      <c r="W298">
        <v>0</v>
      </c>
      <c r="X298">
        <v>0</v>
      </c>
      <c r="Y298">
        <v>0</v>
      </c>
      <c r="Z298">
        <v>65854.75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112721.09</v>
      </c>
      <c r="AH298">
        <v>0</v>
      </c>
      <c r="AI298">
        <v>0</v>
      </c>
      <c r="AJ298">
        <v>431599725.355928</v>
      </c>
    </row>
    <row r="299" spans="1:36" x14ac:dyDescent="0.25">
      <c r="A299" t="s">
        <v>184</v>
      </c>
      <c r="B299" t="s">
        <v>19</v>
      </c>
      <c r="C299">
        <v>14553.7</v>
      </c>
      <c r="D299">
        <v>41548.28</v>
      </c>
      <c r="G299">
        <v>0.21684600000000001</v>
      </c>
      <c r="H299">
        <v>0</v>
      </c>
      <c r="I299">
        <v>2006825.36</v>
      </c>
      <c r="J299">
        <v>857863.39</v>
      </c>
      <c r="K299">
        <v>0</v>
      </c>
      <c r="L299">
        <v>1141299.43</v>
      </c>
      <c r="M299">
        <v>0</v>
      </c>
      <c r="N299">
        <v>546499.79</v>
      </c>
      <c r="O299">
        <v>446188.21</v>
      </c>
      <c r="P299">
        <v>415995.96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901610.23</v>
      </c>
      <c r="W299">
        <v>0</v>
      </c>
      <c r="X299">
        <v>0</v>
      </c>
      <c r="Y299">
        <v>0</v>
      </c>
      <c r="Z299">
        <v>43737.51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245614.97</v>
      </c>
      <c r="AH299">
        <v>0</v>
      </c>
      <c r="AI299">
        <v>0</v>
      </c>
      <c r="AJ299">
        <v>2626843715.77985</v>
      </c>
    </row>
    <row r="300" spans="1:36" x14ac:dyDescent="0.25">
      <c r="A300" t="s">
        <v>185</v>
      </c>
      <c r="B300" t="s">
        <v>19</v>
      </c>
      <c r="D300">
        <v>84058.97</v>
      </c>
      <c r="E300">
        <v>29444.52</v>
      </c>
      <c r="G300">
        <v>0.43871500000000002</v>
      </c>
      <c r="H300">
        <v>0</v>
      </c>
      <c r="I300">
        <v>3120892.26</v>
      </c>
      <c r="J300">
        <v>1274541.22</v>
      </c>
      <c r="K300">
        <v>0</v>
      </c>
      <c r="L300">
        <v>3553012.2</v>
      </c>
      <c r="M300">
        <v>0</v>
      </c>
      <c r="N300">
        <v>1301551.46</v>
      </c>
      <c r="O300">
        <v>502979.07</v>
      </c>
      <c r="P300">
        <v>533087.80000000005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1101480.07</v>
      </c>
      <c r="W300">
        <v>0</v>
      </c>
      <c r="X300">
        <v>0</v>
      </c>
      <c r="Y300">
        <v>0</v>
      </c>
      <c r="Z300">
        <v>127428.8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659369.1</v>
      </c>
      <c r="AH300">
        <v>0</v>
      </c>
      <c r="AI300">
        <v>0</v>
      </c>
      <c r="AJ300">
        <v>4328772099.7628698</v>
      </c>
    </row>
    <row r="301" spans="1:36" x14ac:dyDescent="0.25">
      <c r="A301" t="s">
        <v>186</v>
      </c>
      <c r="B301" t="s">
        <v>19</v>
      </c>
      <c r="D301">
        <v>6012.55</v>
      </c>
      <c r="E301">
        <v>2106.1</v>
      </c>
      <c r="G301">
        <v>3.1379999999999998E-2</v>
      </c>
      <c r="H301">
        <v>0</v>
      </c>
      <c r="I301">
        <v>315264.05</v>
      </c>
      <c r="J301">
        <v>197273.03</v>
      </c>
      <c r="K301">
        <v>0</v>
      </c>
      <c r="L301">
        <v>258328.15</v>
      </c>
      <c r="M301">
        <v>0</v>
      </c>
      <c r="N301">
        <v>351959.84</v>
      </c>
      <c r="O301">
        <v>34052.33</v>
      </c>
      <c r="P301">
        <v>35861.68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84433.64</v>
      </c>
      <c r="W301">
        <v>0</v>
      </c>
      <c r="X301">
        <v>0</v>
      </c>
      <c r="Y301">
        <v>0</v>
      </c>
      <c r="Z301">
        <v>64094.3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207497.9</v>
      </c>
      <c r="AH301">
        <v>0</v>
      </c>
      <c r="AI301">
        <v>0</v>
      </c>
      <c r="AJ301">
        <v>701135680.06549597</v>
      </c>
    </row>
    <row r="302" spans="1:36" x14ac:dyDescent="0.25">
      <c r="A302" t="s">
        <v>187</v>
      </c>
      <c r="B302" t="s">
        <v>19</v>
      </c>
      <c r="C302">
        <v>2106.1</v>
      </c>
      <c r="D302">
        <v>6012.55</v>
      </c>
      <c r="G302">
        <v>3.1379999999999998E-2</v>
      </c>
      <c r="H302">
        <v>0</v>
      </c>
      <c r="I302">
        <v>339963.35</v>
      </c>
      <c r="J302">
        <v>197273.03</v>
      </c>
      <c r="K302">
        <v>0</v>
      </c>
      <c r="L302">
        <v>258328.15</v>
      </c>
      <c r="M302">
        <v>0</v>
      </c>
      <c r="N302">
        <v>352221.7</v>
      </c>
      <c r="O302">
        <v>38189.42</v>
      </c>
      <c r="P302">
        <v>35869.870000000003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82959.81</v>
      </c>
      <c r="W302">
        <v>0</v>
      </c>
      <c r="X302">
        <v>0</v>
      </c>
      <c r="Y302">
        <v>0</v>
      </c>
      <c r="Z302">
        <v>64094.3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207493.44</v>
      </c>
      <c r="AH302">
        <v>0</v>
      </c>
      <c r="AI302">
        <v>0</v>
      </c>
      <c r="AJ302">
        <v>773439744.44062996</v>
      </c>
    </row>
    <row r="303" spans="1:36" x14ac:dyDescent="0.25">
      <c r="A303" t="s">
        <v>188</v>
      </c>
      <c r="B303" t="s">
        <v>19</v>
      </c>
      <c r="C303">
        <v>29444.52</v>
      </c>
      <c r="D303">
        <v>84058.97</v>
      </c>
      <c r="G303">
        <v>0.43871500000000002</v>
      </c>
      <c r="H303">
        <v>0</v>
      </c>
      <c r="I303">
        <v>3626131.11</v>
      </c>
      <c r="J303">
        <v>1274541.22</v>
      </c>
      <c r="K303">
        <v>0</v>
      </c>
      <c r="L303">
        <v>3553012.2</v>
      </c>
      <c r="M303">
        <v>0</v>
      </c>
      <c r="N303">
        <v>1301504.6299999999</v>
      </c>
      <c r="O303">
        <v>570216.21</v>
      </c>
      <c r="P303">
        <v>534893.54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1106258.8</v>
      </c>
      <c r="W303">
        <v>0</v>
      </c>
      <c r="X303">
        <v>0</v>
      </c>
      <c r="Y303">
        <v>0</v>
      </c>
      <c r="Z303">
        <v>127428.8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659431.07999999996</v>
      </c>
      <c r="AH303">
        <v>0</v>
      </c>
      <c r="AI303">
        <v>0</v>
      </c>
      <c r="AJ303">
        <v>5306186420.3983402</v>
      </c>
    </row>
    <row r="304" spans="1:36" x14ac:dyDescent="0.25">
      <c r="A304" t="s">
        <v>189</v>
      </c>
      <c r="B304" t="s">
        <v>19</v>
      </c>
      <c r="D304">
        <v>35648.49</v>
      </c>
      <c r="E304">
        <v>12487.1</v>
      </c>
      <c r="G304">
        <v>0.186054</v>
      </c>
      <c r="H304">
        <v>0</v>
      </c>
      <c r="I304">
        <v>1238916.08</v>
      </c>
      <c r="J304">
        <v>350734.07</v>
      </c>
      <c r="K304">
        <v>0</v>
      </c>
      <c r="L304">
        <v>936314.72</v>
      </c>
      <c r="M304">
        <v>0</v>
      </c>
      <c r="N304">
        <v>404672.05</v>
      </c>
      <c r="O304">
        <v>305357.28000000003</v>
      </c>
      <c r="P304">
        <v>324102.92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380325.41</v>
      </c>
      <c r="W304">
        <v>0</v>
      </c>
      <c r="X304">
        <v>0</v>
      </c>
      <c r="Y304">
        <v>0</v>
      </c>
      <c r="Z304">
        <v>68627.600000000006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433598.94</v>
      </c>
      <c r="AH304">
        <v>0</v>
      </c>
      <c r="AI304">
        <v>0</v>
      </c>
      <c r="AJ304">
        <v>1819947901.9790399</v>
      </c>
    </row>
    <row r="305" spans="1:36" x14ac:dyDescent="0.25">
      <c r="A305" t="s">
        <v>192</v>
      </c>
      <c r="B305" t="s">
        <v>19</v>
      </c>
      <c r="C305">
        <v>12487.1</v>
      </c>
      <c r="D305">
        <v>35648.49</v>
      </c>
      <c r="G305">
        <v>0.186054</v>
      </c>
      <c r="H305">
        <v>0</v>
      </c>
      <c r="I305">
        <v>1568611.96</v>
      </c>
      <c r="J305">
        <v>350734.07</v>
      </c>
      <c r="K305">
        <v>0</v>
      </c>
      <c r="L305">
        <v>936314.72</v>
      </c>
      <c r="M305">
        <v>0</v>
      </c>
      <c r="N305">
        <v>404628.98</v>
      </c>
      <c r="O305">
        <v>349495.39</v>
      </c>
      <c r="P305">
        <v>327971.84000000003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381193.14</v>
      </c>
      <c r="W305">
        <v>0</v>
      </c>
      <c r="X305">
        <v>0</v>
      </c>
      <c r="Y305">
        <v>0</v>
      </c>
      <c r="Z305">
        <v>68627.600000000006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433643.07</v>
      </c>
      <c r="AH305">
        <v>0</v>
      </c>
      <c r="AI305">
        <v>0</v>
      </c>
      <c r="AJ305">
        <v>1910288323.4442201</v>
      </c>
    </row>
    <row r="306" spans="1:36" x14ac:dyDescent="0.25">
      <c r="A306" t="s">
        <v>431</v>
      </c>
      <c r="B306" t="s">
        <v>19</v>
      </c>
      <c r="D306">
        <v>24939.87</v>
      </c>
      <c r="E306">
        <v>8736.0400000000009</v>
      </c>
      <c r="G306">
        <v>0.130165</v>
      </c>
      <c r="H306">
        <v>0</v>
      </c>
      <c r="I306">
        <v>837291.43</v>
      </c>
      <c r="J306">
        <v>394508.4</v>
      </c>
      <c r="K306">
        <v>0</v>
      </c>
      <c r="L306">
        <v>436518</v>
      </c>
      <c r="M306">
        <v>0</v>
      </c>
      <c r="N306">
        <v>239220.68</v>
      </c>
      <c r="O306">
        <v>140574.34</v>
      </c>
      <c r="P306">
        <v>146933.65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554575.30000000005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157900.81</v>
      </c>
      <c r="AH306">
        <v>0</v>
      </c>
      <c r="AI306">
        <v>0</v>
      </c>
      <c r="AJ306">
        <v>1659604541.8837099</v>
      </c>
    </row>
    <row r="307" spans="1:36" x14ac:dyDescent="0.25">
      <c r="A307" t="s">
        <v>432</v>
      </c>
      <c r="B307" t="s">
        <v>19</v>
      </c>
      <c r="C307">
        <v>8736.0400000000009</v>
      </c>
      <c r="D307">
        <v>24939.87</v>
      </c>
      <c r="G307">
        <v>0.130165</v>
      </c>
      <c r="H307">
        <v>0</v>
      </c>
      <c r="I307">
        <v>988549.22</v>
      </c>
      <c r="J307">
        <v>394508.4</v>
      </c>
      <c r="K307">
        <v>0</v>
      </c>
      <c r="L307">
        <v>436518</v>
      </c>
      <c r="M307">
        <v>0</v>
      </c>
      <c r="N307">
        <v>239095.53</v>
      </c>
      <c r="O307">
        <v>161425.47</v>
      </c>
      <c r="P307">
        <v>149575.43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556021.02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157894.62</v>
      </c>
      <c r="AH307">
        <v>0</v>
      </c>
      <c r="AI307">
        <v>0</v>
      </c>
      <c r="AJ307">
        <v>1897744963.52616</v>
      </c>
    </row>
    <row r="308" spans="1:36" x14ac:dyDescent="0.25">
      <c r="A308" t="s">
        <v>433</v>
      </c>
      <c r="B308" t="s">
        <v>19</v>
      </c>
      <c r="D308">
        <v>1340.64</v>
      </c>
      <c r="E308">
        <v>469.61</v>
      </c>
      <c r="G308">
        <v>6.9969999999999997E-3</v>
      </c>
      <c r="H308">
        <v>0</v>
      </c>
      <c r="I308">
        <v>20773.27</v>
      </c>
      <c r="J308">
        <v>12134.67</v>
      </c>
      <c r="K308">
        <v>0</v>
      </c>
      <c r="L308">
        <v>29466.65</v>
      </c>
      <c r="M308">
        <v>0</v>
      </c>
      <c r="N308">
        <v>56591.06</v>
      </c>
      <c r="O308">
        <v>4557.96</v>
      </c>
      <c r="P308">
        <v>5007.28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293.44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4247.3</v>
      </c>
      <c r="AH308">
        <v>0</v>
      </c>
      <c r="AI308">
        <v>0</v>
      </c>
      <c r="AJ308">
        <v>57037013.939207397</v>
      </c>
    </row>
    <row r="309" spans="1:36" x14ac:dyDescent="0.25">
      <c r="A309" t="s">
        <v>434</v>
      </c>
      <c r="B309" t="s">
        <v>19</v>
      </c>
      <c r="C309">
        <v>469.61</v>
      </c>
      <c r="D309">
        <v>1340.64</v>
      </c>
      <c r="G309">
        <v>6.9969999999999997E-3</v>
      </c>
      <c r="H309">
        <v>0</v>
      </c>
      <c r="I309">
        <v>33893.39</v>
      </c>
      <c r="J309">
        <v>12134.67</v>
      </c>
      <c r="K309">
        <v>0</v>
      </c>
      <c r="L309">
        <v>29466.65</v>
      </c>
      <c r="M309">
        <v>0</v>
      </c>
      <c r="N309">
        <v>56591.06</v>
      </c>
      <c r="O309">
        <v>7002.89</v>
      </c>
      <c r="P309">
        <v>6047.53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293.43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4247.3</v>
      </c>
      <c r="AH309">
        <v>0</v>
      </c>
      <c r="AI309">
        <v>0</v>
      </c>
      <c r="AJ309">
        <v>72374617.1878874</v>
      </c>
    </row>
    <row r="310" spans="1:36" x14ac:dyDescent="0.25">
      <c r="A310" t="s">
        <v>435</v>
      </c>
      <c r="B310" t="s">
        <v>19</v>
      </c>
      <c r="D310">
        <v>21424.240000000002</v>
      </c>
      <c r="E310">
        <v>7504.57</v>
      </c>
      <c r="G310">
        <v>0.111816</v>
      </c>
      <c r="H310">
        <v>0</v>
      </c>
      <c r="I310">
        <v>847459.92</v>
      </c>
      <c r="J310">
        <v>239542.44</v>
      </c>
      <c r="K310">
        <v>0</v>
      </c>
      <c r="L310">
        <v>831153.37</v>
      </c>
      <c r="M310">
        <v>0</v>
      </c>
      <c r="N310">
        <v>243436.27</v>
      </c>
      <c r="O310">
        <v>186951.83</v>
      </c>
      <c r="P310">
        <v>199239.33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298745.69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103343.44</v>
      </c>
      <c r="AH310">
        <v>0</v>
      </c>
      <c r="AI310">
        <v>0</v>
      </c>
      <c r="AJ310">
        <v>1064059650.60614</v>
      </c>
    </row>
    <row r="311" spans="1:36" x14ac:dyDescent="0.25">
      <c r="A311" t="s">
        <v>436</v>
      </c>
      <c r="B311" t="s">
        <v>19</v>
      </c>
      <c r="C311">
        <v>7504.57</v>
      </c>
      <c r="D311">
        <v>21424.240000000002</v>
      </c>
      <c r="G311">
        <v>0.111816</v>
      </c>
      <c r="H311">
        <v>0</v>
      </c>
      <c r="I311">
        <v>1023789.26</v>
      </c>
      <c r="J311">
        <v>239542.44</v>
      </c>
      <c r="K311">
        <v>0</v>
      </c>
      <c r="L311">
        <v>831153.37</v>
      </c>
      <c r="M311">
        <v>0</v>
      </c>
      <c r="N311">
        <v>243508.33</v>
      </c>
      <c r="O311">
        <v>217026.52</v>
      </c>
      <c r="P311">
        <v>203602.75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295427.44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103344.63</v>
      </c>
      <c r="AH311">
        <v>0</v>
      </c>
      <c r="AI311">
        <v>0</v>
      </c>
      <c r="AJ311">
        <v>1334160494.39009</v>
      </c>
    </row>
    <row r="312" spans="1:36" x14ac:dyDescent="0.25">
      <c r="A312" t="s">
        <v>437</v>
      </c>
      <c r="B312" t="s">
        <v>19</v>
      </c>
      <c r="D312">
        <v>3836.13</v>
      </c>
      <c r="E312">
        <v>1343.73</v>
      </c>
      <c r="G312">
        <v>2.0021000000000001E-2</v>
      </c>
      <c r="H312">
        <v>0</v>
      </c>
      <c r="I312">
        <v>199048.33</v>
      </c>
      <c r="J312">
        <v>103288.37</v>
      </c>
      <c r="K312">
        <v>0</v>
      </c>
      <c r="L312">
        <v>282049.05</v>
      </c>
      <c r="M312">
        <v>0</v>
      </c>
      <c r="N312">
        <v>89626.26</v>
      </c>
      <c r="O312">
        <v>20899.73</v>
      </c>
      <c r="P312">
        <v>21573.5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68976.800000000003</v>
      </c>
      <c r="W312">
        <v>0</v>
      </c>
      <c r="X312">
        <v>0</v>
      </c>
      <c r="Y312">
        <v>0</v>
      </c>
      <c r="Z312">
        <v>65854.75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112700.01</v>
      </c>
      <c r="AH312">
        <v>0</v>
      </c>
      <c r="AI312">
        <v>0</v>
      </c>
      <c r="AJ312">
        <v>260692793.84207901</v>
      </c>
    </row>
    <row r="313" spans="1:36" x14ac:dyDescent="0.25">
      <c r="A313" t="s">
        <v>438</v>
      </c>
      <c r="B313" t="s">
        <v>19</v>
      </c>
      <c r="C313">
        <v>1343.73</v>
      </c>
      <c r="D313">
        <v>3836.13</v>
      </c>
      <c r="G313">
        <v>2.0021000000000001E-2</v>
      </c>
      <c r="H313">
        <v>0</v>
      </c>
      <c r="I313">
        <v>216247.25</v>
      </c>
      <c r="J313">
        <v>103288.37</v>
      </c>
      <c r="K313">
        <v>0</v>
      </c>
      <c r="L313">
        <v>282049.05</v>
      </c>
      <c r="M313">
        <v>0</v>
      </c>
      <c r="N313">
        <v>89624.97</v>
      </c>
      <c r="O313">
        <v>23061.07</v>
      </c>
      <c r="P313">
        <v>21587.759999999998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68959.289999999994</v>
      </c>
      <c r="W313">
        <v>0</v>
      </c>
      <c r="X313">
        <v>0</v>
      </c>
      <c r="Y313">
        <v>0</v>
      </c>
      <c r="Z313">
        <v>65854.75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112702.09</v>
      </c>
      <c r="AH313">
        <v>0</v>
      </c>
      <c r="AI313">
        <v>0</v>
      </c>
      <c r="AJ313">
        <v>295971892.69981599</v>
      </c>
    </row>
    <row r="314" spans="1:36" x14ac:dyDescent="0.25">
      <c r="A314" t="s">
        <v>439</v>
      </c>
      <c r="B314" t="s">
        <v>19</v>
      </c>
      <c r="C314">
        <v>13604.45</v>
      </c>
      <c r="D314">
        <v>38838.339999999997</v>
      </c>
      <c r="G314">
        <v>0.20270299999999999</v>
      </c>
      <c r="H314">
        <v>0</v>
      </c>
      <c r="I314">
        <v>1852783.05</v>
      </c>
      <c r="J314">
        <v>626942.71</v>
      </c>
      <c r="K314">
        <v>0</v>
      </c>
      <c r="L314">
        <v>1141299.43</v>
      </c>
      <c r="M314">
        <v>0</v>
      </c>
      <c r="N314">
        <v>458076.56</v>
      </c>
      <c r="O314">
        <v>416361.27</v>
      </c>
      <c r="P314">
        <v>388109.13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936450.21</v>
      </c>
      <c r="W314">
        <v>0</v>
      </c>
      <c r="X314">
        <v>0</v>
      </c>
      <c r="Y314">
        <v>0</v>
      </c>
      <c r="Z314">
        <v>43737.51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245610.2</v>
      </c>
      <c r="AH314">
        <v>0</v>
      </c>
      <c r="AI314">
        <v>0</v>
      </c>
      <c r="AJ314">
        <v>2420741575.40452</v>
      </c>
    </row>
    <row r="315" spans="1:36" x14ac:dyDescent="0.25">
      <c r="A315" t="s">
        <v>440</v>
      </c>
      <c r="B315" t="s">
        <v>19</v>
      </c>
      <c r="D315">
        <v>38838.339999999997</v>
      </c>
      <c r="E315">
        <v>13604.45</v>
      </c>
      <c r="G315">
        <v>0.20270299999999999</v>
      </c>
      <c r="H315">
        <v>0</v>
      </c>
      <c r="I315">
        <v>1599119.21</v>
      </c>
      <c r="J315">
        <v>626942.71</v>
      </c>
      <c r="K315">
        <v>0</v>
      </c>
      <c r="L315">
        <v>1141299.43</v>
      </c>
      <c r="M315">
        <v>0</v>
      </c>
      <c r="N315">
        <v>457907.92</v>
      </c>
      <c r="O315">
        <v>360838.13</v>
      </c>
      <c r="P315">
        <v>381872.77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945496.96</v>
      </c>
      <c r="W315">
        <v>0</v>
      </c>
      <c r="X315">
        <v>0</v>
      </c>
      <c r="Y315">
        <v>0</v>
      </c>
      <c r="Z315">
        <v>43737.51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245612.32</v>
      </c>
      <c r="AH315">
        <v>0</v>
      </c>
      <c r="AI315">
        <v>0</v>
      </c>
      <c r="AJ315">
        <v>2130779752.15271</v>
      </c>
    </row>
    <row r="316" spans="1:36" x14ac:dyDescent="0.25">
      <c r="A316" t="s">
        <v>441</v>
      </c>
      <c r="B316" t="s">
        <v>19</v>
      </c>
      <c r="C316">
        <v>1675.01</v>
      </c>
      <c r="D316">
        <v>4781.87</v>
      </c>
      <c r="G316">
        <v>2.4957E-2</v>
      </c>
      <c r="H316">
        <v>0</v>
      </c>
      <c r="I316">
        <v>278084.81</v>
      </c>
      <c r="J316">
        <v>94437.9</v>
      </c>
      <c r="K316">
        <v>0</v>
      </c>
      <c r="L316">
        <v>258328.15</v>
      </c>
      <c r="M316">
        <v>0</v>
      </c>
      <c r="N316">
        <v>327340.58</v>
      </c>
      <c r="O316">
        <v>29614.63</v>
      </c>
      <c r="P316">
        <v>27824.080000000002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86372.27</v>
      </c>
      <c r="W316">
        <v>0</v>
      </c>
      <c r="X316">
        <v>0</v>
      </c>
      <c r="Y316">
        <v>0</v>
      </c>
      <c r="Z316">
        <v>64094.3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207506.52</v>
      </c>
      <c r="AH316">
        <v>0</v>
      </c>
      <c r="AI316">
        <v>0</v>
      </c>
      <c r="AJ316">
        <v>626843089.78300595</v>
      </c>
    </row>
    <row r="317" spans="1:36" x14ac:dyDescent="0.25">
      <c r="A317" t="s">
        <v>442</v>
      </c>
      <c r="B317" t="s">
        <v>19</v>
      </c>
      <c r="D317">
        <v>4781.87</v>
      </c>
      <c r="E317">
        <v>1675.01</v>
      </c>
      <c r="G317">
        <v>2.4957E-2</v>
      </c>
      <c r="H317">
        <v>0</v>
      </c>
      <c r="I317">
        <v>254791.2</v>
      </c>
      <c r="J317">
        <v>94437.9</v>
      </c>
      <c r="K317">
        <v>0</v>
      </c>
      <c r="L317">
        <v>258328.15</v>
      </c>
      <c r="M317">
        <v>0</v>
      </c>
      <c r="N317">
        <v>327332.34000000003</v>
      </c>
      <c r="O317">
        <v>26214.65</v>
      </c>
      <c r="P317">
        <v>27776.49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86099.67</v>
      </c>
      <c r="W317">
        <v>0</v>
      </c>
      <c r="X317">
        <v>0</v>
      </c>
      <c r="Y317">
        <v>0</v>
      </c>
      <c r="Z317">
        <v>64094.3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207496.43</v>
      </c>
      <c r="AH317">
        <v>0</v>
      </c>
      <c r="AI317">
        <v>0</v>
      </c>
      <c r="AJ317">
        <v>569049862.00498295</v>
      </c>
    </row>
    <row r="318" spans="1:36" x14ac:dyDescent="0.25">
      <c r="A318" t="s">
        <v>443</v>
      </c>
      <c r="B318" t="s">
        <v>19</v>
      </c>
      <c r="D318">
        <v>58969.81</v>
      </c>
      <c r="E318">
        <v>20656.189999999999</v>
      </c>
      <c r="G318">
        <v>0.30777100000000002</v>
      </c>
      <c r="H318">
        <v>0</v>
      </c>
      <c r="I318">
        <v>2255503.31</v>
      </c>
      <c r="J318">
        <v>643032.05000000005</v>
      </c>
      <c r="K318">
        <v>0</v>
      </c>
      <c r="L318">
        <v>3553012.2</v>
      </c>
      <c r="M318">
        <v>0</v>
      </c>
      <c r="N318">
        <v>1074345.07</v>
      </c>
      <c r="O318">
        <v>330742.15000000002</v>
      </c>
      <c r="P318">
        <v>347647.4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671628.29</v>
      </c>
      <c r="W318">
        <v>0</v>
      </c>
      <c r="X318">
        <v>0</v>
      </c>
      <c r="Y318">
        <v>0</v>
      </c>
      <c r="Z318">
        <v>127428.8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659138.44999999995</v>
      </c>
      <c r="AH318">
        <v>0</v>
      </c>
      <c r="AI318">
        <v>0</v>
      </c>
      <c r="AJ318">
        <v>3309070789.5602498</v>
      </c>
    </row>
    <row r="319" spans="1:36" x14ac:dyDescent="0.25">
      <c r="A319" t="s">
        <v>444</v>
      </c>
      <c r="B319" t="s">
        <v>19</v>
      </c>
      <c r="C319">
        <v>20656.189999999999</v>
      </c>
      <c r="D319">
        <v>58969.81</v>
      </c>
      <c r="G319">
        <v>0.30777100000000002</v>
      </c>
      <c r="H319">
        <v>0</v>
      </c>
      <c r="I319">
        <v>2496166.7200000002</v>
      </c>
      <c r="J319">
        <v>643032.05000000005</v>
      </c>
      <c r="K319">
        <v>0</v>
      </c>
      <c r="L319">
        <v>3553012.2</v>
      </c>
      <c r="M319">
        <v>0</v>
      </c>
      <c r="N319">
        <v>1074202.1599999999</v>
      </c>
      <c r="O319">
        <v>370950.87</v>
      </c>
      <c r="P319">
        <v>348336.3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676142.77</v>
      </c>
      <c r="W319">
        <v>0</v>
      </c>
      <c r="X319">
        <v>0</v>
      </c>
      <c r="Y319">
        <v>0</v>
      </c>
      <c r="Z319">
        <v>127428.8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659241.31000000006</v>
      </c>
      <c r="AH319">
        <v>0</v>
      </c>
      <c r="AI319">
        <v>0</v>
      </c>
      <c r="AJ319">
        <v>3657400929.2098899</v>
      </c>
    </row>
    <row r="320" spans="1:36" x14ac:dyDescent="0.25">
      <c r="A320" t="s">
        <v>445</v>
      </c>
      <c r="B320" t="s">
        <v>19</v>
      </c>
      <c r="D320">
        <v>30067.9</v>
      </c>
      <c r="E320">
        <v>10532.31</v>
      </c>
      <c r="G320">
        <v>0.15692800000000001</v>
      </c>
      <c r="H320">
        <v>0</v>
      </c>
      <c r="I320">
        <v>926000.09</v>
      </c>
      <c r="J320">
        <v>163686.57</v>
      </c>
      <c r="K320">
        <v>0</v>
      </c>
      <c r="L320">
        <v>936314.72</v>
      </c>
      <c r="M320">
        <v>0</v>
      </c>
      <c r="N320">
        <v>351789.81</v>
      </c>
      <c r="O320">
        <v>242721.21</v>
      </c>
      <c r="P320">
        <v>260181.22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349075.05</v>
      </c>
      <c r="W320">
        <v>0</v>
      </c>
      <c r="X320">
        <v>0</v>
      </c>
      <c r="Y320">
        <v>0</v>
      </c>
      <c r="Z320">
        <v>68627.600000000006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433610.18</v>
      </c>
      <c r="AH320">
        <v>0</v>
      </c>
      <c r="AI320">
        <v>0</v>
      </c>
      <c r="AJ320">
        <v>1356697949.3385999</v>
      </c>
    </row>
    <row r="321" spans="1:36" x14ac:dyDescent="0.25">
      <c r="A321" t="s">
        <v>446</v>
      </c>
      <c r="B321" t="s">
        <v>19</v>
      </c>
      <c r="C321">
        <v>10532.31</v>
      </c>
      <c r="D321">
        <v>30067.9</v>
      </c>
      <c r="G321">
        <v>0.15692800000000001</v>
      </c>
      <c r="H321">
        <v>0</v>
      </c>
      <c r="I321">
        <v>1282412.97</v>
      </c>
      <c r="J321">
        <v>163686.57</v>
      </c>
      <c r="K321">
        <v>0</v>
      </c>
      <c r="L321">
        <v>936314.72</v>
      </c>
      <c r="M321">
        <v>0</v>
      </c>
      <c r="N321">
        <v>351639.06</v>
      </c>
      <c r="O321">
        <v>280190.89</v>
      </c>
      <c r="P321">
        <v>263197.93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356997.43</v>
      </c>
      <c r="W321">
        <v>0</v>
      </c>
      <c r="X321">
        <v>0</v>
      </c>
      <c r="Y321">
        <v>0</v>
      </c>
      <c r="Z321">
        <v>68627.600000000006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433592.58</v>
      </c>
      <c r="AH321">
        <v>0</v>
      </c>
      <c r="AI321">
        <v>0</v>
      </c>
      <c r="AJ321">
        <v>1545162103.65798</v>
      </c>
    </row>
    <row r="322" spans="1:36" x14ac:dyDescent="0.25">
      <c r="A322" t="s">
        <v>588</v>
      </c>
      <c r="B322" t="s">
        <v>19</v>
      </c>
      <c r="D322">
        <v>4507.54</v>
      </c>
      <c r="E322">
        <v>1578.92</v>
      </c>
      <c r="G322">
        <v>2.3525000000000001E-2</v>
      </c>
      <c r="H322">
        <v>0</v>
      </c>
      <c r="I322">
        <v>260926.97</v>
      </c>
      <c r="J322">
        <v>125722.95</v>
      </c>
      <c r="K322">
        <v>0</v>
      </c>
      <c r="L322">
        <v>179632.92</v>
      </c>
      <c r="M322">
        <v>0</v>
      </c>
      <c r="N322">
        <v>78313.98</v>
      </c>
      <c r="O322">
        <v>29134.82</v>
      </c>
      <c r="P322">
        <v>30435.93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64643.95</v>
      </c>
      <c r="W322">
        <v>0</v>
      </c>
      <c r="X322">
        <v>0</v>
      </c>
      <c r="Y322">
        <v>0</v>
      </c>
      <c r="Z322">
        <v>25988.9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10727.66</v>
      </c>
      <c r="AH322">
        <v>0</v>
      </c>
      <c r="AI322">
        <v>0</v>
      </c>
      <c r="AJ322">
        <v>585631595.65516305</v>
      </c>
    </row>
    <row r="323" spans="1:36" x14ac:dyDescent="0.25">
      <c r="A323" t="s">
        <v>590</v>
      </c>
      <c r="B323" t="s">
        <v>19</v>
      </c>
      <c r="C323">
        <v>1578.92</v>
      </c>
      <c r="D323">
        <v>4507.54</v>
      </c>
      <c r="G323">
        <v>2.3525000000000001E-2</v>
      </c>
      <c r="H323">
        <v>0</v>
      </c>
      <c r="I323">
        <v>276899.93</v>
      </c>
      <c r="J323">
        <v>125722.95</v>
      </c>
      <c r="K323">
        <v>0</v>
      </c>
      <c r="L323">
        <v>179632.92</v>
      </c>
      <c r="M323">
        <v>0</v>
      </c>
      <c r="N323">
        <v>78307.3</v>
      </c>
      <c r="O323">
        <v>32544.58</v>
      </c>
      <c r="P323">
        <v>30543.32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65004.959999999999</v>
      </c>
      <c r="W323">
        <v>0</v>
      </c>
      <c r="X323">
        <v>0</v>
      </c>
      <c r="Y323">
        <v>0</v>
      </c>
      <c r="Z323">
        <v>25988.9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10793.7</v>
      </c>
      <c r="AH323">
        <v>0</v>
      </c>
      <c r="AI323">
        <v>0</v>
      </c>
      <c r="AJ323">
        <v>615974957.18231797</v>
      </c>
    </row>
    <row r="324" spans="1:36" x14ac:dyDescent="0.25">
      <c r="A324" t="s">
        <v>621</v>
      </c>
      <c r="B324" t="s">
        <v>19</v>
      </c>
      <c r="D324">
        <v>3872.42</v>
      </c>
      <c r="E324">
        <v>1356.45</v>
      </c>
      <c r="G324">
        <v>2.0211E-2</v>
      </c>
      <c r="H324">
        <v>0</v>
      </c>
      <c r="I324">
        <v>171983.59</v>
      </c>
      <c r="J324">
        <v>125722.95</v>
      </c>
      <c r="K324">
        <v>0</v>
      </c>
      <c r="L324">
        <v>179632.92</v>
      </c>
      <c r="M324">
        <v>0</v>
      </c>
      <c r="N324">
        <v>63567.32</v>
      </c>
      <c r="O324">
        <v>24019.24</v>
      </c>
      <c r="P324">
        <v>26095.18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65582.649999999994</v>
      </c>
      <c r="W324">
        <v>0</v>
      </c>
      <c r="X324">
        <v>0</v>
      </c>
      <c r="Y324">
        <v>0</v>
      </c>
      <c r="Z324">
        <v>25988.9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10690.75</v>
      </c>
      <c r="AH324">
        <v>0</v>
      </c>
      <c r="AI324">
        <v>0</v>
      </c>
      <c r="AJ324">
        <v>449551053.58283901</v>
      </c>
    </row>
    <row r="325" spans="1:36" x14ac:dyDescent="0.25">
      <c r="A325" t="s">
        <v>622</v>
      </c>
      <c r="B325" t="s">
        <v>19</v>
      </c>
      <c r="C325">
        <v>1356.45</v>
      </c>
      <c r="D325">
        <v>3872.42</v>
      </c>
      <c r="G325">
        <v>2.0211E-2</v>
      </c>
      <c r="H325">
        <v>0</v>
      </c>
      <c r="I325">
        <v>225211.53</v>
      </c>
      <c r="J325">
        <v>125722.95</v>
      </c>
      <c r="K325">
        <v>0</v>
      </c>
      <c r="L325">
        <v>179632.92</v>
      </c>
      <c r="M325">
        <v>0</v>
      </c>
      <c r="N325">
        <v>63533.01</v>
      </c>
      <c r="O325">
        <v>27920.73</v>
      </c>
      <c r="P325">
        <v>26194.51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65489.85</v>
      </c>
      <c r="W325">
        <v>0</v>
      </c>
      <c r="X325">
        <v>0</v>
      </c>
      <c r="Y325">
        <v>0</v>
      </c>
      <c r="Z325">
        <v>25988.9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10687.59</v>
      </c>
      <c r="AH325">
        <v>0</v>
      </c>
      <c r="AI325">
        <v>0</v>
      </c>
      <c r="AJ325">
        <v>535089192.52543998</v>
      </c>
    </row>
    <row r="326" spans="1:36" x14ac:dyDescent="0.25">
      <c r="A326" t="s">
        <v>158</v>
      </c>
      <c r="B326" t="s">
        <v>20</v>
      </c>
      <c r="C326">
        <v>9697.85</v>
      </c>
      <c r="D326">
        <v>27685.68</v>
      </c>
      <c r="G326">
        <v>0.14449500000000001</v>
      </c>
      <c r="H326">
        <v>0</v>
      </c>
      <c r="I326">
        <v>1124942.3899999999</v>
      </c>
      <c r="J326">
        <v>774617.57</v>
      </c>
      <c r="K326">
        <v>0</v>
      </c>
      <c r="L326">
        <v>436518</v>
      </c>
      <c r="M326">
        <v>0</v>
      </c>
      <c r="N326">
        <v>321636.73</v>
      </c>
      <c r="O326">
        <v>172538.59</v>
      </c>
      <c r="P326">
        <v>154347.92000000001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678917.41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156630.51</v>
      </c>
      <c r="AH326">
        <v>0</v>
      </c>
      <c r="AI326">
        <v>0</v>
      </c>
      <c r="AJ326">
        <v>2805044324.4605598</v>
      </c>
    </row>
    <row r="327" spans="1:36" x14ac:dyDescent="0.25">
      <c r="A327" t="s">
        <v>160</v>
      </c>
      <c r="B327" t="s">
        <v>20</v>
      </c>
      <c r="D327">
        <v>27685.68</v>
      </c>
      <c r="E327">
        <v>9697.85</v>
      </c>
      <c r="G327">
        <v>0.14449500000000001</v>
      </c>
      <c r="H327">
        <v>0</v>
      </c>
      <c r="I327">
        <v>964300.21</v>
      </c>
      <c r="J327">
        <v>774617.57</v>
      </c>
      <c r="K327">
        <v>0</v>
      </c>
      <c r="L327">
        <v>436518</v>
      </c>
      <c r="M327">
        <v>0</v>
      </c>
      <c r="N327">
        <v>321661.37</v>
      </c>
      <c r="O327">
        <v>149482.10999999999</v>
      </c>
      <c r="P327">
        <v>150205.42000000001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677930.11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156627.68</v>
      </c>
      <c r="AH327">
        <v>0</v>
      </c>
      <c r="AI327">
        <v>0</v>
      </c>
      <c r="AJ327">
        <v>2772497368.2497101</v>
      </c>
    </row>
    <row r="328" spans="1:36" x14ac:dyDescent="0.25">
      <c r="A328" t="s">
        <v>161</v>
      </c>
      <c r="B328" t="s">
        <v>20</v>
      </c>
      <c r="D328">
        <v>33861.050000000003</v>
      </c>
      <c r="E328">
        <v>11860.99</v>
      </c>
      <c r="G328">
        <v>0.17672499999999999</v>
      </c>
      <c r="H328">
        <v>0</v>
      </c>
      <c r="I328">
        <v>1107039.19</v>
      </c>
      <c r="J328">
        <v>463682.79</v>
      </c>
      <c r="K328">
        <v>0</v>
      </c>
      <c r="L328">
        <v>831153.37</v>
      </c>
      <c r="M328">
        <v>0</v>
      </c>
      <c r="N328">
        <v>293760.55</v>
      </c>
      <c r="O328">
        <v>266816.77</v>
      </c>
      <c r="P328">
        <v>279539.23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687865.48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102507.42</v>
      </c>
      <c r="AH328">
        <v>0</v>
      </c>
      <c r="AI328">
        <v>0</v>
      </c>
      <c r="AJ328">
        <v>2091366838.83289</v>
      </c>
    </row>
    <row r="329" spans="1:36" x14ac:dyDescent="0.25">
      <c r="A329" t="s">
        <v>162</v>
      </c>
      <c r="B329" t="s">
        <v>20</v>
      </c>
      <c r="D329">
        <v>2457.65</v>
      </c>
      <c r="E329">
        <v>860.87</v>
      </c>
      <c r="G329">
        <v>1.2827E-2</v>
      </c>
      <c r="H329">
        <v>0</v>
      </c>
      <c r="I329">
        <v>51492.04</v>
      </c>
      <c r="J329">
        <v>23792.959999999999</v>
      </c>
      <c r="K329">
        <v>0</v>
      </c>
      <c r="L329">
        <v>29466.65</v>
      </c>
      <c r="M329">
        <v>0</v>
      </c>
      <c r="N329">
        <v>112092.37</v>
      </c>
      <c r="O329">
        <v>11026.8</v>
      </c>
      <c r="P329">
        <v>11807.31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882.82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4217.4799999999996</v>
      </c>
      <c r="AH329">
        <v>0</v>
      </c>
      <c r="AI329">
        <v>0</v>
      </c>
      <c r="AJ329">
        <v>168912003.01189101</v>
      </c>
    </row>
    <row r="330" spans="1:36" x14ac:dyDescent="0.25">
      <c r="A330" t="s">
        <v>163</v>
      </c>
      <c r="B330" t="s">
        <v>20</v>
      </c>
      <c r="C330">
        <v>11860.99</v>
      </c>
      <c r="D330">
        <v>33861.050000000003</v>
      </c>
      <c r="G330">
        <v>0.17672499999999999</v>
      </c>
      <c r="H330">
        <v>0</v>
      </c>
      <c r="I330">
        <v>1537486.32</v>
      </c>
      <c r="J330">
        <v>463682.79</v>
      </c>
      <c r="K330">
        <v>0</v>
      </c>
      <c r="L330">
        <v>831153.37</v>
      </c>
      <c r="M330">
        <v>0</v>
      </c>
      <c r="N330">
        <v>293924.5</v>
      </c>
      <c r="O330">
        <v>309061.40999999997</v>
      </c>
      <c r="P330">
        <v>282829.58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686074.56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102505.1</v>
      </c>
      <c r="AH330">
        <v>0</v>
      </c>
      <c r="AI330">
        <v>0</v>
      </c>
      <c r="AJ330">
        <v>2791655686.9377398</v>
      </c>
    </row>
    <row r="331" spans="1:36" x14ac:dyDescent="0.25">
      <c r="A331" t="s">
        <v>164</v>
      </c>
      <c r="B331" t="s">
        <v>20</v>
      </c>
      <c r="C331">
        <v>860.87</v>
      </c>
      <c r="D331">
        <v>2457.65</v>
      </c>
      <c r="G331">
        <v>1.2827E-2</v>
      </c>
      <c r="H331">
        <v>0</v>
      </c>
      <c r="I331">
        <v>82181.23</v>
      </c>
      <c r="J331">
        <v>23792.959999999999</v>
      </c>
      <c r="K331">
        <v>0</v>
      </c>
      <c r="L331">
        <v>29466.65</v>
      </c>
      <c r="M331">
        <v>0</v>
      </c>
      <c r="N331">
        <v>112092.37</v>
      </c>
      <c r="O331">
        <v>15685.26</v>
      </c>
      <c r="P331">
        <v>13286.56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882.82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4217.4799999999996</v>
      </c>
      <c r="AH331">
        <v>0</v>
      </c>
      <c r="AI331">
        <v>0</v>
      </c>
      <c r="AJ331">
        <v>223650732.720844</v>
      </c>
    </row>
    <row r="332" spans="1:36" x14ac:dyDescent="0.25">
      <c r="A332" t="s">
        <v>165</v>
      </c>
      <c r="B332" t="s">
        <v>20</v>
      </c>
      <c r="D332">
        <v>5630.96</v>
      </c>
      <c r="E332">
        <v>1972.43</v>
      </c>
      <c r="G332">
        <v>2.9388999999999998E-2</v>
      </c>
      <c r="H332">
        <v>0</v>
      </c>
      <c r="I332">
        <v>276773.23</v>
      </c>
      <c r="J332">
        <v>201226.15</v>
      </c>
      <c r="K332">
        <v>0</v>
      </c>
      <c r="L332">
        <v>282049.05</v>
      </c>
      <c r="M332">
        <v>0</v>
      </c>
      <c r="N332">
        <v>144675.97</v>
      </c>
      <c r="O332">
        <v>28393.55</v>
      </c>
      <c r="P332">
        <v>29508.17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177982.45</v>
      </c>
      <c r="W332">
        <v>0</v>
      </c>
      <c r="X332">
        <v>0</v>
      </c>
      <c r="Y332">
        <v>0</v>
      </c>
      <c r="Z332">
        <v>65854.75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111784.7</v>
      </c>
      <c r="AH332">
        <v>0</v>
      </c>
      <c r="AI332">
        <v>0</v>
      </c>
      <c r="AJ332">
        <v>580774357.04543996</v>
      </c>
    </row>
    <row r="333" spans="1:36" x14ac:dyDescent="0.25">
      <c r="A333" t="s">
        <v>166</v>
      </c>
      <c r="B333" t="s">
        <v>20</v>
      </c>
      <c r="C333">
        <v>1972.43</v>
      </c>
      <c r="D333">
        <v>5630.96</v>
      </c>
      <c r="G333">
        <v>2.9388999999999998E-2</v>
      </c>
      <c r="H333">
        <v>0</v>
      </c>
      <c r="I333">
        <v>335484.39</v>
      </c>
      <c r="J333">
        <v>201226.15</v>
      </c>
      <c r="K333">
        <v>0</v>
      </c>
      <c r="L333">
        <v>282049.05</v>
      </c>
      <c r="M333">
        <v>0</v>
      </c>
      <c r="N333">
        <v>144678.09</v>
      </c>
      <c r="O333">
        <v>32042</v>
      </c>
      <c r="P333">
        <v>29562.05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177736.19</v>
      </c>
      <c r="W333">
        <v>0</v>
      </c>
      <c r="X333">
        <v>0</v>
      </c>
      <c r="Y333">
        <v>0</v>
      </c>
      <c r="Z333">
        <v>65854.75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111792.34</v>
      </c>
      <c r="AH333">
        <v>0</v>
      </c>
      <c r="AI333">
        <v>0</v>
      </c>
      <c r="AJ333">
        <v>662741255.09346902</v>
      </c>
    </row>
    <row r="334" spans="1:36" x14ac:dyDescent="0.25">
      <c r="A334" t="s">
        <v>167</v>
      </c>
      <c r="B334" t="s">
        <v>20</v>
      </c>
      <c r="C334">
        <v>15483.29</v>
      </c>
      <c r="D334">
        <v>44202.1</v>
      </c>
      <c r="G334">
        <v>0.23069700000000001</v>
      </c>
      <c r="H334">
        <v>0</v>
      </c>
      <c r="I334">
        <v>2148299.02</v>
      </c>
      <c r="J334">
        <v>857863.39</v>
      </c>
      <c r="K334">
        <v>0</v>
      </c>
      <c r="L334">
        <v>1141299.43</v>
      </c>
      <c r="M334">
        <v>0</v>
      </c>
      <c r="N334">
        <v>627837.62</v>
      </c>
      <c r="O334">
        <v>471928.1</v>
      </c>
      <c r="P334">
        <v>423924.31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1358412.55</v>
      </c>
      <c r="W334">
        <v>0</v>
      </c>
      <c r="X334">
        <v>0</v>
      </c>
      <c r="Y334">
        <v>0</v>
      </c>
      <c r="Z334">
        <v>43737.51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243580.3</v>
      </c>
      <c r="AH334">
        <v>0</v>
      </c>
      <c r="AI334">
        <v>0</v>
      </c>
      <c r="AJ334">
        <v>3621996474.0362601</v>
      </c>
    </row>
    <row r="335" spans="1:36" x14ac:dyDescent="0.25">
      <c r="A335" t="s">
        <v>168</v>
      </c>
      <c r="B335" t="s">
        <v>20</v>
      </c>
      <c r="D335">
        <v>44202.1</v>
      </c>
      <c r="E335">
        <v>15483.29</v>
      </c>
      <c r="G335">
        <v>0.23069700000000001</v>
      </c>
      <c r="H335">
        <v>0</v>
      </c>
      <c r="I335">
        <v>1804830.54</v>
      </c>
      <c r="J335">
        <v>857863.39</v>
      </c>
      <c r="K335">
        <v>0</v>
      </c>
      <c r="L335">
        <v>1141299.43</v>
      </c>
      <c r="M335">
        <v>0</v>
      </c>
      <c r="N335">
        <v>627222.98</v>
      </c>
      <c r="O335">
        <v>407317.53</v>
      </c>
      <c r="P335">
        <v>410976.95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1362452.22</v>
      </c>
      <c r="W335">
        <v>0</v>
      </c>
      <c r="X335">
        <v>0</v>
      </c>
      <c r="Y335">
        <v>0</v>
      </c>
      <c r="Z335">
        <v>43737.51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243571.32</v>
      </c>
      <c r="AH335">
        <v>0</v>
      </c>
      <c r="AI335">
        <v>0</v>
      </c>
      <c r="AJ335">
        <v>3468217838.8204999</v>
      </c>
    </row>
    <row r="336" spans="1:36" x14ac:dyDescent="0.25">
      <c r="A336" t="s">
        <v>169</v>
      </c>
      <c r="B336" t="s">
        <v>20</v>
      </c>
      <c r="D336">
        <v>6228.78</v>
      </c>
      <c r="E336">
        <v>2181.84</v>
      </c>
      <c r="G336">
        <v>3.2509000000000003E-2</v>
      </c>
      <c r="H336">
        <v>0</v>
      </c>
      <c r="I336">
        <v>322219.81</v>
      </c>
      <c r="J336">
        <v>197273.03</v>
      </c>
      <c r="K336">
        <v>0</v>
      </c>
      <c r="L336">
        <v>258328.15</v>
      </c>
      <c r="M336">
        <v>0</v>
      </c>
      <c r="N336">
        <v>357130.11</v>
      </c>
      <c r="O336">
        <v>31947.599999999999</v>
      </c>
      <c r="P336">
        <v>34054.81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102631.9</v>
      </c>
      <c r="W336">
        <v>0</v>
      </c>
      <c r="X336">
        <v>0</v>
      </c>
      <c r="Y336">
        <v>0</v>
      </c>
      <c r="Z336">
        <v>64094.3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205705.88</v>
      </c>
      <c r="AH336">
        <v>0</v>
      </c>
      <c r="AI336">
        <v>0</v>
      </c>
      <c r="AJ336">
        <v>957860757.81790197</v>
      </c>
    </row>
    <row r="337" spans="1:36" x14ac:dyDescent="0.25">
      <c r="A337" t="s">
        <v>170</v>
      </c>
      <c r="B337" t="s">
        <v>20</v>
      </c>
      <c r="C337">
        <v>2181.84</v>
      </c>
      <c r="D337">
        <v>6228.78</v>
      </c>
      <c r="G337">
        <v>3.2509000000000003E-2</v>
      </c>
      <c r="H337">
        <v>0</v>
      </c>
      <c r="I337">
        <v>388461.74</v>
      </c>
      <c r="J337">
        <v>197273.03</v>
      </c>
      <c r="K337">
        <v>0</v>
      </c>
      <c r="L337">
        <v>258328.15</v>
      </c>
      <c r="M337">
        <v>0</v>
      </c>
      <c r="N337">
        <v>357059.81</v>
      </c>
      <c r="O337">
        <v>36857.629999999997</v>
      </c>
      <c r="P337">
        <v>34268.620000000003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102532.44</v>
      </c>
      <c r="W337">
        <v>0</v>
      </c>
      <c r="X337">
        <v>0</v>
      </c>
      <c r="Y337">
        <v>0</v>
      </c>
      <c r="Z337">
        <v>64094.3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205703.65</v>
      </c>
      <c r="AH337">
        <v>0</v>
      </c>
      <c r="AI337">
        <v>0</v>
      </c>
      <c r="AJ337">
        <v>1090532780.85833</v>
      </c>
    </row>
    <row r="338" spans="1:36" x14ac:dyDescent="0.25">
      <c r="A338" t="s">
        <v>171</v>
      </c>
      <c r="B338" t="s">
        <v>20</v>
      </c>
      <c r="C338">
        <v>29886.5</v>
      </c>
      <c r="D338">
        <v>85320.76</v>
      </c>
      <c r="G338">
        <v>0.445301</v>
      </c>
      <c r="H338">
        <v>0</v>
      </c>
      <c r="I338">
        <v>3741520.9</v>
      </c>
      <c r="J338">
        <v>1274541.22</v>
      </c>
      <c r="K338">
        <v>0</v>
      </c>
      <c r="L338">
        <v>3553012.2</v>
      </c>
      <c r="M338">
        <v>0</v>
      </c>
      <c r="N338">
        <v>1392428.15</v>
      </c>
      <c r="O338">
        <v>538718.41</v>
      </c>
      <c r="P338">
        <v>497505.33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1475714.4</v>
      </c>
      <c r="W338">
        <v>0</v>
      </c>
      <c r="X338">
        <v>0</v>
      </c>
      <c r="Y338">
        <v>0</v>
      </c>
      <c r="Z338">
        <v>127428.8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652997.67000000004</v>
      </c>
      <c r="AH338">
        <v>0</v>
      </c>
      <c r="AI338">
        <v>0</v>
      </c>
      <c r="AJ338">
        <v>7964265377.5064001</v>
      </c>
    </row>
    <row r="339" spans="1:36" x14ac:dyDescent="0.25">
      <c r="A339" t="s">
        <v>173</v>
      </c>
      <c r="B339" t="s">
        <v>20</v>
      </c>
      <c r="D339">
        <v>38243.21</v>
      </c>
      <c r="E339">
        <v>13395.99</v>
      </c>
      <c r="G339">
        <v>0.199597</v>
      </c>
      <c r="H339">
        <v>0</v>
      </c>
      <c r="I339">
        <v>1058650.73</v>
      </c>
      <c r="J339">
        <v>350734.07</v>
      </c>
      <c r="K339">
        <v>0</v>
      </c>
      <c r="L339">
        <v>936314.72</v>
      </c>
      <c r="M339">
        <v>0</v>
      </c>
      <c r="N339">
        <v>376587.26</v>
      </c>
      <c r="O339">
        <v>303779.40999999997</v>
      </c>
      <c r="P339">
        <v>321293.68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340678.11</v>
      </c>
      <c r="W339">
        <v>0</v>
      </c>
      <c r="X339">
        <v>0</v>
      </c>
      <c r="Y339">
        <v>0</v>
      </c>
      <c r="Z339">
        <v>68627.600000000006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428567.2</v>
      </c>
      <c r="AH339">
        <v>0</v>
      </c>
      <c r="AI339">
        <v>0</v>
      </c>
      <c r="AJ339">
        <v>2352883194.4458499</v>
      </c>
    </row>
    <row r="340" spans="1:36" x14ac:dyDescent="0.25">
      <c r="A340" t="s">
        <v>174</v>
      </c>
      <c r="B340" t="s">
        <v>20</v>
      </c>
      <c r="D340">
        <v>85320.76</v>
      </c>
      <c r="E340">
        <v>29886.5</v>
      </c>
      <c r="G340">
        <v>0.445301</v>
      </c>
      <c r="H340">
        <v>0</v>
      </c>
      <c r="I340">
        <v>2983613.96</v>
      </c>
      <c r="J340">
        <v>1274541.22</v>
      </c>
      <c r="K340">
        <v>0</v>
      </c>
      <c r="L340">
        <v>3553012.2</v>
      </c>
      <c r="M340">
        <v>0</v>
      </c>
      <c r="N340">
        <v>1391836.19</v>
      </c>
      <c r="O340">
        <v>471259.97</v>
      </c>
      <c r="P340">
        <v>494517.83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1479672.64</v>
      </c>
      <c r="W340">
        <v>0</v>
      </c>
      <c r="X340">
        <v>0</v>
      </c>
      <c r="Y340">
        <v>0</v>
      </c>
      <c r="Z340">
        <v>127428.8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653042.16</v>
      </c>
      <c r="AH340">
        <v>0</v>
      </c>
      <c r="AI340">
        <v>0</v>
      </c>
      <c r="AJ340">
        <v>7034431102.7249203</v>
      </c>
    </row>
    <row r="341" spans="1:36" x14ac:dyDescent="0.25">
      <c r="A341" t="s">
        <v>175</v>
      </c>
      <c r="B341" t="s">
        <v>20</v>
      </c>
      <c r="C341">
        <v>13395.99</v>
      </c>
      <c r="D341">
        <v>38243.21</v>
      </c>
      <c r="G341">
        <v>0.199597</v>
      </c>
      <c r="H341">
        <v>0</v>
      </c>
      <c r="I341">
        <v>1566176.55</v>
      </c>
      <c r="J341">
        <v>350734.07</v>
      </c>
      <c r="K341">
        <v>0</v>
      </c>
      <c r="L341">
        <v>936314.72</v>
      </c>
      <c r="M341">
        <v>0</v>
      </c>
      <c r="N341">
        <v>376309.04</v>
      </c>
      <c r="O341">
        <v>355847.71</v>
      </c>
      <c r="P341">
        <v>328670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340961.11</v>
      </c>
      <c r="W341">
        <v>0</v>
      </c>
      <c r="X341">
        <v>0</v>
      </c>
      <c r="Y341">
        <v>0</v>
      </c>
      <c r="Z341">
        <v>68627.600000000006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428588.69</v>
      </c>
      <c r="AH341">
        <v>0</v>
      </c>
      <c r="AI341">
        <v>0</v>
      </c>
      <c r="AJ341">
        <v>2853248834.88305</v>
      </c>
    </row>
    <row r="342" spans="1:36" x14ac:dyDescent="0.25">
      <c r="A342" t="s">
        <v>415</v>
      </c>
      <c r="B342" t="s">
        <v>20</v>
      </c>
      <c r="C342">
        <v>8897.51</v>
      </c>
      <c r="D342">
        <v>25400.85</v>
      </c>
      <c r="G342">
        <v>0.13257099999999999</v>
      </c>
      <c r="H342">
        <v>0</v>
      </c>
      <c r="I342">
        <v>1018690.31</v>
      </c>
      <c r="J342">
        <v>394508.4</v>
      </c>
      <c r="K342">
        <v>0</v>
      </c>
      <c r="L342">
        <v>436518</v>
      </c>
      <c r="M342">
        <v>0</v>
      </c>
      <c r="N342">
        <v>283971.84999999998</v>
      </c>
      <c r="O342">
        <v>156884.07999999999</v>
      </c>
      <c r="P342">
        <v>141531.25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734798.35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156629.82</v>
      </c>
      <c r="AH342">
        <v>0</v>
      </c>
      <c r="AI342">
        <v>0</v>
      </c>
      <c r="AJ342">
        <v>2404487709.1708698</v>
      </c>
    </row>
    <row r="343" spans="1:36" x14ac:dyDescent="0.25">
      <c r="A343" t="s">
        <v>416</v>
      </c>
      <c r="B343" t="s">
        <v>20</v>
      </c>
      <c r="D343">
        <v>1487.55</v>
      </c>
      <c r="E343">
        <v>521.05999999999995</v>
      </c>
      <c r="G343">
        <v>7.7640000000000001E-3</v>
      </c>
      <c r="H343">
        <v>0</v>
      </c>
      <c r="I343">
        <v>27839.65</v>
      </c>
      <c r="J343">
        <v>12134.67</v>
      </c>
      <c r="K343">
        <v>0</v>
      </c>
      <c r="L343">
        <v>29466.65</v>
      </c>
      <c r="M343">
        <v>0</v>
      </c>
      <c r="N343">
        <v>61779.839999999997</v>
      </c>
      <c r="O343">
        <v>5754.62</v>
      </c>
      <c r="P343">
        <v>6220.24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1384.63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4217.2700000000004</v>
      </c>
      <c r="AH343">
        <v>0</v>
      </c>
      <c r="AI343">
        <v>0</v>
      </c>
      <c r="AJ343">
        <v>92902082.222069293</v>
      </c>
    </row>
    <row r="344" spans="1:36" x14ac:dyDescent="0.25">
      <c r="A344" t="s">
        <v>417</v>
      </c>
      <c r="B344" t="s">
        <v>20</v>
      </c>
      <c r="C344">
        <v>521.05999999999995</v>
      </c>
      <c r="D344">
        <v>1487.55</v>
      </c>
      <c r="G344">
        <v>7.7640000000000001E-3</v>
      </c>
      <c r="H344">
        <v>0</v>
      </c>
      <c r="I344">
        <v>44969.8</v>
      </c>
      <c r="J344">
        <v>12134.67</v>
      </c>
      <c r="K344">
        <v>0</v>
      </c>
      <c r="L344">
        <v>29466.65</v>
      </c>
      <c r="M344">
        <v>0</v>
      </c>
      <c r="N344">
        <v>61779.839999999997</v>
      </c>
      <c r="O344">
        <v>8029.51</v>
      </c>
      <c r="P344">
        <v>6813.95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1384.64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4217.2700000000004</v>
      </c>
      <c r="AH344">
        <v>0</v>
      </c>
      <c r="AI344">
        <v>0</v>
      </c>
      <c r="AJ344">
        <v>121240601.070049</v>
      </c>
    </row>
    <row r="345" spans="1:36" x14ac:dyDescent="0.25">
      <c r="A345" t="s">
        <v>418</v>
      </c>
      <c r="B345" t="s">
        <v>20</v>
      </c>
      <c r="D345">
        <v>25400.85</v>
      </c>
      <c r="E345">
        <v>8897.51</v>
      </c>
      <c r="G345">
        <v>0.13257099999999999</v>
      </c>
      <c r="H345">
        <v>0</v>
      </c>
      <c r="I345">
        <v>839547.59</v>
      </c>
      <c r="J345">
        <v>394508.4</v>
      </c>
      <c r="K345">
        <v>0</v>
      </c>
      <c r="L345">
        <v>436518</v>
      </c>
      <c r="M345">
        <v>0</v>
      </c>
      <c r="N345">
        <v>283941.03000000003</v>
      </c>
      <c r="O345">
        <v>136955.97</v>
      </c>
      <c r="P345">
        <v>138666.37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733476.87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156631.41</v>
      </c>
      <c r="AH345">
        <v>0</v>
      </c>
      <c r="AI345">
        <v>0</v>
      </c>
      <c r="AJ345">
        <v>2278355241.9052</v>
      </c>
    </row>
    <row r="346" spans="1:36" x14ac:dyDescent="0.25">
      <c r="A346" t="s">
        <v>419</v>
      </c>
      <c r="B346" t="s">
        <v>20</v>
      </c>
      <c r="D346">
        <v>23819.1</v>
      </c>
      <c r="E346">
        <v>8343.4500000000007</v>
      </c>
      <c r="G346">
        <v>0.12431499999999999</v>
      </c>
      <c r="H346">
        <v>0</v>
      </c>
      <c r="I346">
        <v>862705.61</v>
      </c>
      <c r="J346">
        <v>239542.44</v>
      </c>
      <c r="K346">
        <v>0</v>
      </c>
      <c r="L346">
        <v>831153.37</v>
      </c>
      <c r="M346">
        <v>0</v>
      </c>
      <c r="N346">
        <v>252016.45</v>
      </c>
      <c r="O346">
        <v>192084.05</v>
      </c>
      <c r="P346">
        <v>199332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426267.66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102498.03</v>
      </c>
      <c r="AH346">
        <v>0</v>
      </c>
      <c r="AI346">
        <v>0</v>
      </c>
      <c r="AJ346">
        <v>1593711570.53564</v>
      </c>
    </row>
    <row r="347" spans="1:36" x14ac:dyDescent="0.25">
      <c r="A347" t="s">
        <v>420</v>
      </c>
      <c r="B347" t="s">
        <v>20</v>
      </c>
      <c r="C347">
        <v>8343.4500000000007</v>
      </c>
      <c r="D347">
        <v>23819.1</v>
      </c>
      <c r="G347">
        <v>0.12431499999999999</v>
      </c>
      <c r="H347">
        <v>0</v>
      </c>
      <c r="I347">
        <v>1097823.1200000001</v>
      </c>
      <c r="J347">
        <v>239542.44</v>
      </c>
      <c r="K347">
        <v>0</v>
      </c>
      <c r="L347">
        <v>831153.37</v>
      </c>
      <c r="M347">
        <v>0</v>
      </c>
      <c r="N347">
        <v>252230.25</v>
      </c>
      <c r="O347">
        <v>222508.03</v>
      </c>
      <c r="P347">
        <v>203173.6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421774.09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102504.31</v>
      </c>
      <c r="AH347">
        <v>0</v>
      </c>
      <c r="AI347">
        <v>0</v>
      </c>
      <c r="AJ347">
        <v>1982707080.3147299</v>
      </c>
    </row>
    <row r="348" spans="1:36" x14ac:dyDescent="0.25">
      <c r="A348" t="s">
        <v>421</v>
      </c>
      <c r="B348" t="s">
        <v>20</v>
      </c>
      <c r="D348">
        <v>4316.04</v>
      </c>
      <c r="E348">
        <v>1511.84</v>
      </c>
      <c r="G348">
        <v>2.2526000000000001E-2</v>
      </c>
      <c r="H348">
        <v>0</v>
      </c>
      <c r="I348">
        <v>207203.63</v>
      </c>
      <c r="J348">
        <v>103288.37</v>
      </c>
      <c r="K348">
        <v>0</v>
      </c>
      <c r="L348">
        <v>282049.05</v>
      </c>
      <c r="M348">
        <v>0</v>
      </c>
      <c r="N348">
        <v>102231.33</v>
      </c>
      <c r="O348">
        <v>21196.61</v>
      </c>
      <c r="P348">
        <v>22051.39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111572.96</v>
      </c>
      <c r="W348">
        <v>0</v>
      </c>
      <c r="X348">
        <v>0</v>
      </c>
      <c r="Y348">
        <v>0</v>
      </c>
      <c r="Z348">
        <v>65854.75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111781.73</v>
      </c>
      <c r="AH348">
        <v>0</v>
      </c>
      <c r="AI348">
        <v>0</v>
      </c>
      <c r="AJ348">
        <v>469948883.46108502</v>
      </c>
    </row>
    <row r="349" spans="1:36" x14ac:dyDescent="0.25">
      <c r="A349" t="s">
        <v>422</v>
      </c>
      <c r="B349" t="s">
        <v>20</v>
      </c>
      <c r="C349">
        <v>1511.84</v>
      </c>
      <c r="D349">
        <v>4316.04</v>
      </c>
      <c r="G349">
        <v>2.2526000000000001E-2</v>
      </c>
      <c r="H349">
        <v>0</v>
      </c>
      <c r="I349">
        <v>247977.31</v>
      </c>
      <c r="J349">
        <v>103288.37</v>
      </c>
      <c r="K349">
        <v>0</v>
      </c>
      <c r="L349">
        <v>282049.05</v>
      </c>
      <c r="M349">
        <v>0</v>
      </c>
      <c r="N349">
        <v>102238.1</v>
      </c>
      <c r="O349">
        <v>23870.65</v>
      </c>
      <c r="P349">
        <v>22092.57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111491.4</v>
      </c>
      <c r="W349">
        <v>0</v>
      </c>
      <c r="X349">
        <v>0</v>
      </c>
      <c r="Y349">
        <v>0</v>
      </c>
      <c r="Z349">
        <v>65854.75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111777.7</v>
      </c>
      <c r="AH349">
        <v>0</v>
      </c>
      <c r="AI349">
        <v>0</v>
      </c>
      <c r="AJ349">
        <v>499867423.08571202</v>
      </c>
    </row>
    <row r="350" spans="1:36" x14ac:dyDescent="0.25">
      <c r="A350" t="s">
        <v>423</v>
      </c>
      <c r="B350" t="s">
        <v>20</v>
      </c>
      <c r="D350">
        <v>41023.43</v>
      </c>
      <c r="E350">
        <v>14369.85</v>
      </c>
      <c r="G350">
        <v>0.21410699999999999</v>
      </c>
      <c r="H350">
        <v>0</v>
      </c>
      <c r="I350">
        <v>1609477.57</v>
      </c>
      <c r="J350">
        <v>626942.71</v>
      </c>
      <c r="K350">
        <v>0</v>
      </c>
      <c r="L350">
        <v>1141299.43</v>
      </c>
      <c r="M350">
        <v>0</v>
      </c>
      <c r="N350">
        <v>520747.42</v>
      </c>
      <c r="O350">
        <v>375416.78</v>
      </c>
      <c r="P350">
        <v>379587.47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1290210.83</v>
      </c>
      <c r="W350">
        <v>0</v>
      </c>
      <c r="X350">
        <v>0</v>
      </c>
      <c r="Y350">
        <v>0</v>
      </c>
      <c r="Z350">
        <v>43737.51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243569.08</v>
      </c>
      <c r="AH350">
        <v>0</v>
      </c>
      <c r="AI350">
        <v>0</v>
      </c>
      <c r="AJ350">
        <v>3104764587.19484</v>
      </c>
    </row>
    <row r="351" spans="1:36" x14ac:dyDescent="0.25">
      <c r="A351" t="s">
        <v>424</v>
      </c>
      <c r="B351" t="s">
        <v>20</v>
      </c>
      <c r="C351">
        <v>14369.85</v>
      </c>
      <c r="D351">
        <v>41023.43</v>
      </c>
      <c r="G351">
        <v>0.21410699999999999</v>
      </c>
      <c r="H351">
        <v>0</v>
      </c>
      <c r="I351">
        <v>1971755.74</v>
      </c>
      <c r="J351">
        <v>626942.71</v>
      </c>
      <c r="K351">
        <v>0</v>
      </c>
      <c r="L351">
        <v>1141299.43</v>
      </c>
      <c r="M351">
        <v>0</v>
      </c>
      <c r="N351">
        <v>521510.87</v>
      </c>
      <c r="O351">
        <v>436433.21</v>
      </c>
      <c r="P351">
        <v>391617.49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1286353.17</v>
      </c>
      <c r="W351">
        <v>0</v>
      </c>
      <c r="X351">
        <v>0</v>
      </c>
      <c r="Y351">
        <v>0</v>
      </c>
      <c r="Z351">
        <v>43737.51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243572.76</v>
      </c>
      <c r="AH351">
        <v>0</v>
      </c>
      <c r="AI351">
        <v>0</v>
      </c>
      <c r="AJ351">
        <v>3301088319.0358801</v>
      </c>
    </row>
    <row r="352" spans="1:36" x14ac:dyDescent="0.25">
      <c r="A352" t="s">
        <v>425</v>
      </c>
      <c r="B352" t="s">
        <v>20</v>
      </c>
      <c r="C352">
        <v>1810.74</v>
      </c>
      <c r="D352">
        <v>5169.3500000000004</v>
      </c>
      <c r="G352">
        <v>2.6980000000000001E-2</v>
      </c>
      <c r="H352">
        <v>0</v>
      </c>
      <c r="I352">
        <v>330729.69</v>
      </c>
      <c r="J352">
        <v>94437.9</v>
      </c>
      <c r="K352">
        <v>0</v>
      </c>
      <c r="L352">
        <v>258328.15</v>
      </c>
      <c r="M352">
        <v>0</v>
      </c>
      <c r="N352">
        <v>329151.2</v>
      </c>
      <c r="O352">
        <v>29902.36</v>
      </c>
      <c r="P352">
        <v>27899.26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104448.53</v>
      </c>
      <c r="W352">
        <v>0</v>
      </c>
      <c r="X352">
        <v>0</v>
      </c>
      <c r="Y352">
        <v>0</v>
      </c>
      <c r="Z352">
        <v>64094.3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205698.57</v>
      </c>
      <c r="AH352">
        <v>0</v>
      </c>
      <c r="AI352">
        <v>0</v>
      </c>
      <c r="AJ352">
        <v>933477803.14044905</v>
      </c>
    </row>
    <row r="353" spans="1:36" x14ac:dyDescent="0.25">
      <c r="A353" t="s">
        <v>426</v>
      </c>
      <c r="B353" t="s">
        <v>20</v>
      </c>
      <c r="D353">
        <v>64710.34</v>
      </c>
      <c r="E353">
        <v>22667</v>
      </c>
      <c r="G353">
        <v>0.33773199999999998</v>
      </c>
      <c r="H353">
        <v>0</v>
      </c>
      <c r="I353">
        <v>2251070.14</v>
      </c>
      <c r="J353">
        <v>643032.05000000005</v>
      </c>
      <c r="K353">
        <v>0</v>
      </c>
      <c r="L353">
        <v>3553012.2</v>
      </c>
      <c r="M353">
        <v>0</v>
      </c>
      <c r="N353">
        <v>1173847.3</v>
      </c>
      <c r="O353">
        <v>336925.93</v>
      </c>
      <c r="P353">
        <v>354126.86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1038924.31</v>
      </c>
      <c r="W353">
        <v>0</v>
      </c>
      <c r="X353">
        <v>0</v>
      </c>
      <c r="Y353">
        <v>0</v>
      </c>
      <c r="Z353">
        <v>127428.8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652793.87</v>
      </c>
      <c r="AH353">
        <v>0</v>
      </c>
      <c r="AI353">
        <v>0</v>
      </c>
      <c r="AJ353">
        <v>5706486164.3740396</v>
      </c>
    </row>
    <row r="354" spans="1:36" x14ac:dyDescent="0.25">
      <c r="A354" t="s">
        <v>427</v>
      </c>
      <c r="B354" t="s">
        <v>20</v>
      </c>
      <c r="C354">
        <v>22667</v>
      </c>
      <c r="D354">
        <v>64710.34</v>
      </c>
      <c r="G354">
        <v>0.33773199999999998</v>
      </c>
      <c r="H354">
        <v>0</v>
      </c>
      <c r="I354">
        <v>2799205.11</v>
      </c>
      <c r="J354">
        <v>643032.05000000005</v>
      </c>
      <c r="K354">
        <v>0</v>
      </c>
      <c r="L354">
        <v>3553012.2</v>
      </c>
      <c r="M354">
        <v>0</v>
      </c>
      <c r="N354">
        <v>1173970.83</v>
      </c>
      <c r="O354">
        <v>386166.52</v>
      </c>
      <c r="P354">
        <v>356369.11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1038148.45</v>
      </c>
      <c r="W354">
        <v>0</v>
      </c>
      <c r="X354">
        <v>0</v>
      </c>
      <c r="Y354">
        <v>0</v>
      </c>
      <c r="Z354">
        <v>127428.8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652983.9</v>
      </c>
      <c r="AH354">
        <v>0</v>
      </c>
      <c r="AI354">
        <v>0</v>
      </c>
      <c r="AJ354">
        <v>6135672770.7493</v>
      </c>
    </row>
    <row r="355" spans="1:36" x14ac:dyDescent="0.25">
      <c r="A355" t="s">
        <v>428</v>
      </c>
      <c r="B355" t="s">
        <v>20</v>
      </c>
      <c r="D355">
        <v>32973.47</v>
      </c>
      <c r="E355">
        <v>11550.08</v>
      </c>
      <c r="G355">
        <v>0.172093</v>
      </c>
      <c r="H355">
        <v>0</v>
      </c>
      <c r="I355">
        <v>825249.46</v>
      </c>
      <c r="J355">
        <v>163686.57</v>
      </c>
      <c r="K355">
        <v>0</v>
      </c>
      <c r="L355">
        <v>936314.72</v>
      </c>
      <c r="M355">
        <v>0</v>
      </c>
      <c r="N355">
        <v>332393.14</v>
      </c>
      <c r="O355">
        <v>247057.39</v>
      </c>
      <c r="P355">
        <v>265155.62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317324.84999999998</v>
      </c>
      <c r="W355">
        <v>0</v>
      </c>
      <c r="X355">
        <v>0</v>
      </c>
      <c r="Y355">
        <v>0</v>
      </c>
      <c r="Z355">
        <v>68627.600000000006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428562.16</v>
      </c>
      <c r="AH355">
        <v>0</v>
      </c>
      <c r="AI355">
        <v>0</v>
      </c>
      <c r="AJ355">
        <v>1974470464.4205401</v>
      </c>
    </row>
    <row r="356" spans="1:36" x14ac:dyDescent="0.25">
      <c r="A356" t="s">
        <v>429</v>
      </c>
      <c r="B356" t="s">
        <v>20</v>
      </c>
      <c r="D356">
        <v>5169.3500000000004</v>
      </c>
      <c r="E356">
        <v>1810.74</v>
      </c>
      <c r="G356">
        <v>2.6980000000000001E-2</v>
      </c>
      <c r="H356">
        <v>0</v>
      </c>
      <c r="I356">
        <v>279803.74</v>
      </c>
      <c r="J356">
        <v>94437.9</v>
      </c>
      <c r="K356">
        <v>0</v>
      </c>
      <c r="L356">
        <v>258328.15</v>
      </c>
      <c r="M356">
        <v>0</v>
      </c>
      <c r="N356">
        <v>329054.05</v>
      </c>
      <c r="O356">
        <v>25881.98</v>
      </c>
      <c r="P356">
        <v>27704.31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104499.78</v>
      </c>
      <c r="W356">
        <v>0</v>
      </c>
      <c r="X356">
        <v>0</v>
      </c>
      <c r="Y356">
        <v>0</v>
      </c>
      <c r="Z356">
        <v>64094.3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205703.28</v>
      </c>
      <c r="AH356">
        <v>0</v>
      </c>
      <c r="AI356">
        <v>0</v>
      </c>
      <c r="AJ356">
        <v>845361374.45163</v>
      </c>
    </row>
    <row r="357" spans="1:36" x14ac:dyDescent="0.25">
      <c r="A357" t="s">
        <v>430</v>
      </c>
      <c r="B357" t="s">
        <v>20</v>
      </c>
      <c r="C357">
        <v>11550.08</v>
      </c>
      <c r="D357">
        <v>32973.47</v>
      </c>
      <c r="G357">
        <v>0.172093</v>
      </c>
      <c r="H357">
        <v>0</v>
      </c>
      <c r="I357">
        <v>1308131.8700000001</v>
      </c>
      <c r="J357">
        <v>163686.57</v>
      </c>
      <c r="K357">
        <v>0</v>
      </c>
      <c r="L357">
        <v>936314.72</v>
      </c>
      <c r="M357">
        <v>0</v>
      </c>
      <c r="N357">
        <v>332607.31</v>
      </c>
      <c r="O357">
        <v>291386.21999999997</v>
      </c>
      <c r="P357">
        <v>270787.08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318255.62</v>
      </c>
      <c r="W357">
        <v>0</v>
      </c>
      <c r="X357">
        <v>0</v>
      </c>
      <c r="Y357">
        <v>0</v>
      </c>
      <c r="Z357">
        <v>68627.600000000006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428588.19</v>
      </c>
      <c r="AH357">
        <v>0</v>
      </c>
      <c r="AI357">
        <v>0</v>
      </c>
      <c r="AJ357">
        <v>2448533385.6642299</v>
      </c>
    </row>
    <row r="358" spans="1:36" x14ac:dyDescent="0.25">
      <c r="A358" t="s">
        <v>587</v>
      </c>
      <c r="B358" t="s">
        <v>20</v>
      </c>
      <c r="C358">
        <v>1720.44</v>
      </c>
      <c r="D358">
        <v>4911.5600000000004</v>
      </c>
      <c r="G358">
        <v>2.5634000000000001E-2</v>
      </c>
      <c r="H358">
        <v>0</v>
      </c>
      <c r="I358">
        <v>297674.76</v>
      </c>
      <c r="J358">
        <v>125722.95</v>
      </c>
      <c r="K358">
        <v>0</v>
      </c>
      <c r="L358">
        <v>179632.92</v>
      </c>
      <c r="M358">
        <v>0</v>
      </c>
      <c r="N358">
        <v>85893.14</v>
      </c>
      <c r="O358">
        <v>33206.83</v>
      </c>
      <c r="P358">
        <v>30666.22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98561.16</v>
      </c>
      <c r="W358">
        <v>0</v>
      </c>
      <c r="X358">
        <v>0</v>
      </c>
      <c r="Y358">
        <v>0</v>
      </c>
      <c r="Z358">
        <v>25988.9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10585.48</v>
      </c>
      <c r="AH358">
        <v>0</v>
      </c>
      <c r="AI358">
        <v>0</v>
      </c>
      <c r="AJ358">
        <v>710491158.02423203</v>
      </c>
    </row>
    <row r="359" spans="1:36" x14ac:dyDescent="0.25">
      <c r="A359" t="s">
        <v>589</v>
      </c>
      <c r="B359" t="s">
        <v>20</v>
      </c>
      <c r="D359">
        <v>4911.5600000000004</v>
      </c>
      <c r="E359">
        <v>1720.44</v>
      </c>
      <c r="G359">
        <v>2.5634000000000001E-2</v>
      </c>
      <c r="H359">
        <v>0</v>
      </c>
      <c r="I359">
        <v>224995.29</v>
      </c>
      <c r="J359">
        <v>125722.95</v>
      </c>
      <c r="K359">
        <v>0</v>
      </c>
      <c r="L359">
        <v>179632.92</v>
      </c>
      <c r="M359">
        <v>0</v>
      </c>
      <c r="N359">
        <v>85986.74</v>
      </c>
      <c r="O359">
        <v>28300.81</v>
      </c>
      <c r="P359">
        <v>30369.200000000001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99582.21</v>
      </c>
      <c r="W359">
        <v>0</v>
      </c>
      <c r="X359">
        <v>0</v>
      </c>
      <c r="Y359">
        <v>0</v>
      </c>
      <c r="Z359">
        <v>25988.9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10564.6</v>
      </c>
      <c r="AH359">
        <v>0</v>
      </c>
      <c r="AI359">
        <v>0</v>
      </c>
      <c r="AJ359">
        <v>611048479.00726604</v>
      </c>
    </row>
    <row r="360" spans="1:36" x14ac:dyDescent="0.25">
      <c r="A360" t="s">
        <v>619</v>
      </c>
      <c r="B360" t="s">
        <v>20</v>
      </c>
      <c r="D360">
        <v>4342.93</v>
      </c>
      <c r="E360">
        <v>1521.26</v>
      </c>
      <c r="G360">
        <v>2.2665999999999999E-2</v>
      </c>
      <c r="H360">
        <v>0</v>
      </c>
      <c r="I360">
        <v>185199.94</v>
      </c>
      <c r="J360">
        <v>125722.95</v>
      </c>
      <c r="K360">
        <v>0</v>
      </c>
      <c r="L360">
        <v>179632.92</v>
      </c>
      <c r="M360">
        <v>0</v>
      </c>
      <c r="N360">
        <v>72472.08</v>
      </c>
      <c r="O360">
        <v>24964.76</v>
      </c>
      <c r="P360">
        <v>26772.52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92058.240000000005</v>
      </c>
      <c r="W360">
        <v>0</v>
      </c>
      <c r="X360">
        <v>0</v>
      </c>
      <c r="Y360">
        <v>0</v>
      </c>
      <c r="Z360">
        <v>25988.9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10618.45</v>
      </c>
      <c r="AH360">
        <v>0</v>
      </c>
      <c r="AI360">
        <v>0</v>
      </c>
      <c r="AJ360">
        <v>535981187.22831798</v>
      </c>
    </row>
    <row r="361" spans="1:36" x14ac:dyDescent="0.25">
      <c r="A361" t="s">
        <v>620</v>
      </c>
      <c r="B361" t="s">
        <v>20</v>
      </c>
      <c r="C361">
        <v>1521.26</v>
      </c>
      <c r="D361">
        <v>4342.93</v>
      </c>
      <c r="G361">
        <v>2.2665999999999999E-2</v>
      </c>
      <c r="H361">
        <v>0</v>
      </c>
      <c r="I361">
        <v>249178.1</v>
      </c>
      <c r="J361">
        <v>125722.95</v>
      </c>
      <c r="K361">
        <v>0</v>
      </c>
      <c r="L361">
        <v>179632.92</v>
      </c>
      <c r="M361">
        <v>0</v>
      </c>
      <c r="N361">
        <v>72376.240000000005</v>
      </c>
      <c r="O361">
        <v>29348.240000000002</v>
      </c>
      <c r="P361">
        <v>27052.41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91607.8</v>
      </c>
      <c r="W361">
        <v>0</v>
      </c>
      <c r="X361">
        <v>0</v>
      </c>
      <c r="Y361">
        <v>0</v>
      </c>
      <c r="Z361">
        <v>25988.9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10589.37</v>
      </c>
      <c r="AH361">
        <v>0</v>
      </c>
      <c r="AI361">
        <v>0</v>
      </c>
      <c r="AJ361">
        <v>622785635.65801597</v>
      </c>
    </row>
    <row r="362" spans="1:36" x14ac:dyDescent="0.25">
      <c r="A362" t="s">
        <v>143</v>
      </c>
      <c r="B362" t="s">
        <v>21</v>
      </c>
      <c r="C362">
        <v>9159.27</v>
      </c>
      <c r="D362">
        <v>26148.13</v>
      </c>
      <c r="G362">
        <v>0.13647100000000001</v>
      </c>
      <c r="H362">
        <v>0</v>
      </c>
      <c r="I362">
        <v>921282.73</v>
      </c>
      <c r="J362">
        <v>774617.57</v>
      </c>
      <c r="K362">
        <v>0</v>
      </c>
      <c r="L362">
        <v>436518</v>
      </c>
      <c r="M362">
        <v>0</v>
      </c>
      <c r="N362">
        <v>300420.83</v>
      </c>
      <c r="O362">
        <v>144250.70000000001</v>
      </c>
      <c r="P362">
        <v>126270.55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666036.99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160208.70000000001</v>
      </c>
      <c r="AH362">
        <v>0</v>
      </c>
      <c r="AI362">
        <v>0</v>
      </c>
      <c r="AJ362">
        <v>2795470795.21943</v>
      </c>
    </row>
    <row r="363" spans="1:36" x14ac:dyDescent="0.25">
      <c r="A363" t="s">
        <v>144</v>
      </c>
      <c r="B363" t="s">
        <v>21</v>
      </c>
      <c r="D363">
        <v>26148.13</v>
      </c>
      <c r="E363">
        <v>9159.27</v>
      </c>
      <c r="G363">
        <v>0.13647100000000001</v>
      </c>
      <c r="H363">
        <v>0</v>
      </c>
      <c r="I363">
        <v>837398.57</v>
      </c>
      <c r="J363">
        <v>774617.57</v>
      </c>
      <c r="K363">
        <v>0</v>
      </c>
      <c r="L363">
        <v>436518</v>
      </c>
      <c r="M363">
        <v>0</v>
      </c>
      <c r="N363">
        <v>300448.65000000002</v>
      </c>
      <c r="O363">
        <v>126002.23</v>
      </c>
      <c r="P363">
        <v>122753.66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665628.11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160206.15</v>
      </c>
      <c r="AH363">
        <v>0</v>
      </c>
      <c r="AI363">
        <v>0</v>
      </c>
      <c r="AJ363">
        <v>2801085695.3541198</v>
      </c>
    </row>
    <row r="364" spans="1:36" x14ac:dyDescent="0.25">
      <c r="A364" t="s">
        <v>145</v>
      </c>
      <c r="B364" t="s">
        <v>21</v>
      </c>
      <c r="D364">
        <v>2712.56</v>
      </c>
      <c r="E364">
        <v>950.17</v>
      </c>
      <c r="G364">
        <v>1.4156999999999999E-2</v>
      </c>
      <c r="H364">
        <v>0</v>
      </c>
      <c r="I364">
        <v>58448.42</v>
      </c>
      <c r="J364">
        <v>23792.959999999999</v>
      </c>
      <c r="K364">
        <v>0</v>
      </c>
      <c r="L364">
        <v>29466.65</v>
      </c>
      <c r="M364">
        <v>0</v>
      </c>
      <c r="N364">
        <v>125539.7</v>
      </c>
      <c r="O364">
        <v>13149.77</v>
      </c>
      <c r="P364">
        <v>13842.17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3445.22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4300.1400000000003</v>
      </c>
      <c r="AH364">
        <v>0</v>
      </c>
      <c r="AI364">
        <v>0</v>
      </c>
      <c r="AJ364">
        <v>210221285.37251899</v>
      </c>
    </row>
    <row r="365" spans="1:36" x14ac:dyDescent="0.25">
      <c r="A365" t="s">
        <v>146</v>
      </c>
      <c r="B365" t="s">
        <v>21</v>
      </c>
      <c r="D365">
        <v>35797.56</v>
      </c>
      <c r="E365">
        <v>12539.31</v>
      </c>
      <c r="G365">
        <v>0.186832</v>
      </c>
      <c r="H365">
        <v>0</v>
      </c>
      <c r="I365">
        <v>1059192.28</v>
      </c>
      <c r="J365">
        <v>463682.79</v>
      </c>
      <c r="K365">
        <v>0</v>
      </c>
      <c r="L365">
        <v>831153.37</v>
      </c>
      <c r="M365">
        <v>0</v>
      </c>
      <c r="N365">
        <v>290517.09999999998</v>
      </c>
      <c r="O365">
        <v>250776.28</v>
      </c>
      <c r="P365">
        <v>254285.53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972847.76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104844.23</v>
      </c>
      <c r="AH365">
        <v>0</v>
      </c>
      <c r="AI365">
        <v>0</v>
      </c>
      <c r="AJ365">
        <v>2377075412.5243902</v>
      </c>
    </row>
    <row r="366" spans="1:36" x14ac:dyDescent="0.25">
      <c r="A366" t="s">
        <v>147</v>
      </c>
      <c r="B366" t="s">
        <v>21</v>
      </c>
      <c r="C366">
        <v>950.17</v>
      </c>
      <c r="D366">
        <v>2712.56</v>
      </c>
      <c r="G366">
        <v>1.4156999999999999E-2</v>
      </c>
      <c r="H366">
        <v>0</v>
      </c>
      <c r="I366">
        <v>89916.05</v>
      </c>
      <c r="J366">
        <v>23792.959999999999</v>
      </c>
      <c r="K366">
        <v>0</v>
      </c>
      <c r="L366">
        <v>29466.65</v>
      </c>
      <c r="M366">
        <v>0</v>
      </c>
      <c r="N366">
        <v>125539.99</v>
      </c>
      <c r="O366">
        <v>17988.740000000002</v>
      </c>
      <c r="P366">
        <v>15129.52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3445.22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4300.1400000000003</v>
      </c>
      <c r="AH366">
        <v>0</v>
      </c>
      <c r="AI366">
        <v>0</v>
      </c>
      <c r="AJ366">
        <v>248406003.25030199</v>
      </c>
    </row>
    <row r="367" spans="1:36" x14ac:dyDescent="0.25">
      <c r="A367" t="s">
        <v>148</v>
      </c>
      <c r="B367" t="s">
        <v>21</v>
      </c>
      <c r="C367">
        <v>12539.31</v>
      </c>
      <c r="D367">
        <v>35797.56</v>
      </c>
      <c r="G367">
        <v>0.186832</v>
      </c>
      <c r="H367">
        <v>0</v>
      </c>
      <c r="I367">
        <v>1460746.82</v>
      </c>
      <c r="J367">
        <v>463682.79</v>
      </c>
      <c r="K367">
        <v>0</v>
      </c>
      <c r="L367">
        <v>831153.37</v>
      </c>
      <c r="M367">
        <v>0</v>
      </c>
      <c r="N367">
        <v>292110.81</v>
      </c>
      <c r="O367">
        <v>289813.93</v>
      </c>
      <c r="P367">
        <v>258441.60000000001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970577.35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104843.26</v>
      </c>
      <c r="AH367">
        <v>0</v>
      </c>
      <c r="AI367">
        <v>0</v>
      </c>
      <c r="AJ367">
        <v>2934981020.7658601</v>
      </c>
    </row>
    <row r="368" spans="1:36" x14ac:dyDescent="0.25">
      <c r="A368" t="s">
        <v>149</v>
      </c>
      <c r="B368" t="s">
        <v>21</v>
      </c>
      <c r="D368">
        <v>5807.66</v>
      </c>
      <c r="E368">
        <v>2034.33</v>
      </c>
      <c r="G368">
        <v>3.0311000000000001E-2</v>
      </c>
      <c r="H368">
        <v>0</v>
      </c>
      <c r="I368">
        <v>283347.42</v>
      </c>
      <c r="J368">
        <v>201226.15</v>
      </c>
      <c r="K368">
        <v>0</v>
      </c>
      <c r="L368">
        <v>282049.05</v>
      </c>
      <c r="M368">
        <v>0</v>
      </c>
      <c r="N368">
        <v>153230.04999999999</v>
      </c>
      <c r="O368">
        <v>25689.62</v>
      </c>
      <c r="P368">
        <v>26135.759999999998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299776.57</v>
      </c>
      <c r="W368">
        <v>0</v>
      </c>
      <c r="X368">
        <v>0</v>
      </c>
      <c r="Y368">
        <v>0</v>
      </c>
      <c r="Z368">
        <v>65854.75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114330.42</v>
      </c>
      <c r="AH368">
        <v>0</v>
      </c>
      <c r="AI368">
        <v>0</v>
      </c>
      <c r="AJ368">
        <v>690490888.55693996</v>
      </c>
    </row>
    <row r="369" spans="1:36" x14ac:dyDescent="0.25">
      <c r="A369" t="s">
        <v>150</v>
      </c>
      <c r="B369" t="s">
        <v>21</v>
      </c>
      <c r="C369">
        <v>2034.33</v>
      </c>
      <c r="D369">
        <v>5807.66</v>
      </c>
      <c r="G369">
        <v>3.0311000000000001E-2</v>
      </c>
      <c r="H369">
        <v>0</v>
      </c>
      <c r="I369">
        <v>329504.88</v>
      </c>
      <c r="J369">
        <v>201226.15</v>
      </c>
      <c r="K369">
        <v>0</v>
      </c>
      <c r="L369">
        <v>282049.05</v>
      </c>
      <c r="M369">
        <v>0</v>
      </c>
      <c r="N369">
        <v>153227.72</v>
      </c>
      <c r="O369">
        <v>28885.39</v>
      </c>
      <c r="P369">
        <v>26210.73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299651.40999999997</v>
      </c>
      <c r="W369">
        <v>0</v>
      </c>
      <c r="X369">
        <v>0</v>
      </c>
      <c r="Y369">
        <v>0</v>
      </c>
      <c r="Z369">
        <v>65854.75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114325.87</v>
      </c>
      <c r="AH369">
        <v>0</v>
      </c>
      <c r="AI369">
        <v>0</v>
      </c>
      <c r="AJ369">
        <v>732505736.684376</v>
      </c>
    </row>
    <row r="370" spans="1:36" x14ac:dyDescent="0.25">
      <c r="A370" t="s">
        <v>151</v>
      </c>
      <c r="B370" t="s">
        <v>21</v>
      </c>
      <c r="D370">
        <v>43590.66</v>
      </c>
      <c r="E370">
        <v>15269.12</v>
      </c>
      <c r="G370">
        <v>0.22750600000000001</v>
      </c>
      <c r="H370">
        <v>0</v>
      </c>
      <c r="I370">
        <v>1667231.45</v>
      </c>
      <c r="J370">
        <v>857863.39</v>
      </c>
      <c r="K370">
        <v>0</v>
      </c>
      <c r="L370">
        <v>1141299.43</v>
      </c>
      <c r="M370">
        <v>0</v>
      </c>
      <c r="N370">
        <v>601292.77</v>
      </c>
      <c r="O370">
        <v>400455.01</v>
      </c>
      <c r="P370">
        <v>396912.66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1478601.66</v>
      </c>
      <c r="W370">
        <v>0</v>
      </c>
      <c r="X370">
        <v>0</v>
      </c>
      <c r="Y370">
        <v>0</v>
      </c>
      <c r="Z370">
        <v>43737.51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249112.05</v>
      </c>
      <c r="AH370">
        <v>0</v>
      </c>
      <c r="AI370">
        <v>0</v>
      </c>
      <c r="AJ370">
        <v>3414973447.3474102</v>
      </c>
    </row>
    <row r="371" spans="1:36" x14ac:dyDescent="0.25">
      <c r="A371" t="s">
        <v>152</v>
      </c>
      <c r="B371" t="s">
        <v>21</v>
      </c>
      <c r="C371">
        <v>15269.12</v>
      </c>
      <c r="D371">
        <v>43590.66</v>
      </c>
      <c r="G371">
        <v>0.22750600000000001</v>
      </c>
      <c r="H371">
        <v>0</v>
      </c>
      <c r="I371">
        <v>1941455.47</v>
      </c>
      <c r="J371">
        <v>857863.39</v>
      </c>
      <c r="K371">
        <v>0</v>
      </c>
      <c r="L371">
        <v>1141299.43</v>
      </c>
      <c r="M371">
        <v>0</v>
      </c>
      <c r="N371">
        <v>602585.98</v>
      </c>
      <c r="O371">
        <v>467671.41</v>
      </c>
      <c r="P371">
        <v>411873.7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1473011.16</v>
      </c>
      <c r="W371">
        <v>0</v>
      </c>
      <c r="X371">
        <v>0</v>
      </c>
      <c r="Y371">
        <v>0</v>
      </c>
      <c r="Z371">
        <v>43737.51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249128.61</v>
      </c>
      <c r="AH371">
        <v>0</v>
      </c>
      <c r="AI371">
        <v>0</v>
      </c>
      <c r="AJ371">
        <v>3534765047.12784</v>
      </c>
    </row>
    <row r="372" spans="1:36" x14ac:dyDescent="0.25">
      <c r="A372" t="s">
        <v>153</v>
      </c>
      <c r="B372" t="s">
        <v>21</v>
      </c>
      <c r="D372">
        <v>6320.86</v>
      </c>
      <c r="E372">
        <v>2214.1</v>
      </c>
      <c r="G372">
        <v>3.2988999999999997E-2</v>
      </c>
      <c r="H372">
        <v>0</v>
      </c>
      <c r="I372">
        <v>314937.74</v>
      </c>
      <c r="J372">
        <v>197273.03</v>
      </c>
      <c r="K372">
        <v>0</v>
      </c>
      <c r="L372">
        <v>258328.15</v>
      </c>
      <c r="M372">
        <v>0</v>
      </c>
      <c r="N372">
        <v>372266.13</v>
      </c>
      <c r="O372">
        <v>28437.32</v>
      </c>
      <c r="P372">
        <v>29603.3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160538</v>
      </c>
      <c r="W372">
        <v>0</v>
      </c>
      <c r="X372">
        <v>0</v>
      </c>
      <c r="Y372">
        <v>0</v>
      </c>
      <c r="Z372">
        <v>64094.3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210325.89</v>
      </c>
      <c r="AH372">
        <v>0</v>
      </c>
      <c r="AI372">
        <v>0</v>
      </c>
      <c r="AJ372">
        <v>1138766396.2694299</v>
      </c>
    </row>
    <row r="373" spans="1:36" x14ac:dyDescent="0.25">
      <c r="A373" t="s">
        <v>154</v>
      </c>
      <c r="B373" t="s">
        <v>21</v>
      </c>
      <c r="C373">
        <v>2214.1</v>
      </c>
      <c r="D373">
        <v>6320.86</v>
      </c>
      <c r="G373">
        <v>3.2988999999999997E-2</v>
      </c>
      <c r="H373">
        <v>0</v>
      </c>
      <c r="I373">
        <v>373140.9</v>
      </c>
      <c r="J373">
        <v>197273.03</v>
      </c>
      <c r="K373">
        <v>0</v>
      </c>
      <c r="L373">
        <v>258328.15</v>
      </c>
      <c r="M373">
        <v>0</v>
      </c>
      <c r="N373">
        <v>372354.54</v>
      </c>
      <c r="O373">
        <v>32680.720000000001</v>
      </c>
      <c r="P373">
        <v>29823.32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160689.32999999999</v>
      </c>
      <c r="W373">
        <v>0</v>
      </c>
      <c r="X373">
        <v>0</v>
      </c>
      <c r="Y373">
        <v>0</v>
      </c>
      <c r="Z373">
        <v>64094.3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210329.34</v>
      </c>
      <c r="AH373">
        <v>0</v>
      </c>
      <c r="AI373">
        <v>0</v>
      </c>
      <c r="AJ373">
        <v>1219475889.6858201</v>
      </c>
    </row>
    <row r="374" spans="1:36" x14ac:dyDescent="0.25">
      <c r="A374" t="s">
        <v>155</v>
      </c>
      <c r="B374" t="s">
        <v>21</v>
      </c>
      <c r="D374">
        <v>87782.25</v>
      </c>
      <c r="E374">
        <v>30748.73</v>
      </c>
      <c r="G374">
        <v>0.458148</v>
      </c>
      <c r="H374">
        <v>0</v>
      </c>
      <c r="I374">
        <v>2873241.31</v>
      </c>
      <c r="J374">
        <v>1274541.22</v>
      </c>
      <c r="K374">
        <v>0</v>
      </c>
      <c r="L374">
        <v>3553012.2</v>
      </c>
      <c r="M374">
        <v>0</v>
      </c>
      <c r="N374">
        <v>1440160</v>
      </c>
      <c r="O374">
        <v>433116</v>
      </c>
      <c r="P374">
        <v>444328.78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2054564.72</v>
      </c>
      <c r="W374">
        <v>0</v>
      </c>
      <c r="X374">
        <v>0</v>
      </c>
      <c r="Y374">
        <v>0</v>
      </c>
      <c r="Z374">
        <v>127428.8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667526.85</v>
      </c>
      <c r="AH374">
        <v>0</v>
      </c>
      <c r="AI374">
        <v>0</v>
      </c>
      <c r="AJ374">
        <v>7584456047.4007101</v>
      </c>
    </row>
    <row r="375" spans="1:36" x14ac:dyDescent="0.25">
      <c r="A375" t="s">
        <v>156</v>
      </c>
      <c r="B375" t="s">
        <v>21</v>
      </c>
      <c r="C375">
        <v>13542.45</v>
      </c>
      <c r="D375">
        <v>38661.339999999997</v>
      </c>
      <c r="G375">
        <v>0.20177899999999999</v>
      </c>
      <c r="H375">
        <v>0</v>
      </c>
      <c r="I375">
        <v>1412623.31</v>
      </c>
      <c r="J375">
        <v>350734.07</v>
      </c>
      <c r="K375">
        <v>0</v>
      </c>
      <c r="L375">
        <v>936314.72</v>
      </c>
      <c r="M375">
        <v>0</v>
      </c>
      <c r="N375">
        <v>415394.84</v>
      </c>
      <c r="O375">
        <v>337751.16</v>
      </c>
      <c r="P375">
        <v>305855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451803.81</v>
      </c>
      <c r="W375">
        <v>0</v>
      </c>
      <c r="X375">
        <v>0</v>
      </c>
      <c r="Y375">
        <v>0</v>
      </c>
      <c r="Z375">
        <v>68627.600000000006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437501.61</v>
      </c>
      <c r="AH375">
        <v>0</v>
      </c>
      <c r="AI375">
        <v>0</v>
      </c>
      <c r="AJ375">
        <v>2926915090.6012402</v>
      </c>
    </row>
    <row r="376" spans="1:36" x14ac:dyDescent="0.25">
      <c r="A376" t="s">
        <v>157</v>
      </c>
      <c r="B376" t="s">
        <v>21</v>
      </c>
      <c r="C376">
        <v>30748.73</v>
      </c>
      <c r="D376">
        <v>87782.25</v>
      </c>
      <c r="G376">
        <v>0.458148</v>
      </c>
      <c r="H376">
        <v>0</v>
      </c>
      <c r="I376">
        <v>3534906.94</v>
      </c>
      <c r="J376">
        <v>1274541.22</v>
      </c>
      <c r="K376">
        <v>0</v>
      </c>
      <c r="L376">
        <v>3553012.2</v>
      </c>
      <c r="M376">
        <v>0</v>
      </c>
      <c r="N376">
        <v>1441465.93</v>
      </c>
      <c r="O376">
        <v>494354.44</v>
      </c>
      <c r="P376">
        <v>446912.93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2046069.76</v>
      </c>
      <c r="W376">
        <v>0</v>
      </c>
      <c r="X376">
        <v>0</v>
      </c>
      <c r="Y376">
        <v>0</v>
      </c>
      <c r="Z376">
        <v>127428.8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667529.87</v>
      </c>
      <c r="AH376">
        <v>0</v>
      </c>
      <c r="AI376">
        <v>0</v>
      </c>
      <c r="AJ376">
        <v>8257675730.4593697</v>
      </c>
    </row>
    <row r="377" spans="1:36" x14ac:dyDescent="0.25">
      <c r="A377" t="s">
        <v>159</v>
      </c>
      <c r="B377" t="s">
        <v>21</v>
      </c>
      <c r="D377">
        <v>38661.339999999997</v>
      </c>
      <c r="E377">
        <v>13542.45</v>
      </c>
      <c r="G377">
        <v>0.20177899999999999</v>
      </c>
      <c r="H377">
        <v>0</v>
      </c>
      <c r="I377">
        <v>989445.66</v>
      </c>
      <c r="J377">
        <v>350734.07</v>
      </c>
      <c r="K377">
        <v>0</v>
      </c>
      <c r="L377">
        <v>936314.72</v>
      </c>
      <c r="M377">
        <v>0</v>
      </c>
      <c r="N377">
        <v>415757.44</v>
      </c>
      <c r="O377">
        <v>286246.05</v>
      </c>
      <c r="P377">
        <v>294471.40000000002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449792.58</v>
      </c>
      <c r="W377">
        <v>0</v>
      </c>
      <c r="X377">
        <v>0</v>
      </c>
      <c r="Y377">
        <v>0</v>
      </c>
      <c r="Z377">
        <v>68627.600000000006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437501.42</v>
      </c>
      <c r="AH377">
        <v>0</v>
      </c>
      <c r="AI377">
        <v>0</v>
      </c>
      <c r="AJ377">
        <v>2682670448.6634102</v>
      </c>
    </row>
    <row r="378" spans="1:36" x14ac:dyDescent="0.25">
      <c r="A378" t="s">
        <v>399</v>
      </c>
      <c r="B378" t="s">
        <v>21</v>
      </c>
      <c r="C378">
        <v>6323.79</v>
      </c>
      <c r="D378">
        <v>18053.310000000001</v>
      </c>
      <c r="G378">
        <v>9.4223000000000001E-2</v>
      </c>
      <c r="H378">
        <v>0</v>
      </c>
      <c r="I378">
        <v>625951.94999999995</v>
      </c>
      <c r="J378">
        <v>394508.4</v>
      </c>
      <c r="K378">
        <v>0</v>
      </c>
      <c r="L378">
        <v>436518</v>
      </c>
      <c r="M378">
        <v>0</v>
      </c>
      <c r="N378">
        <v>230923.7</v>
      </c>
      <c r="O378">
        <v>87528.56</v>
      </c>
      <c r="P378">
        <v>79556.649999999994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421007.34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160195.56</v>
      </c>
      <c r="AH378">
        <v>0</v>
      </c>
      <c r="AI378">
        <v>0</v>
      </c>
      <c r="AJ378">
        <v>1952652540.6027701</v>
      </c>
    </row>
    <row r="379" spans="1:36" x14ac:dyDescent="0.25">
      <c r="A379" t="s">
        <v>400</v>
      </c>
      <c r="B379" t="s">
        <v>21</v>
      </c>
      <c r="D379">
        <v>18053.310000000001</v>
      </c>
      <c r="E379">
        <v>6323.79</v>
      </c>
      <c r="G379">
        <v>9.4223000000000001E-2</v>
      </c>
      <c r="H379">
        <v>0</v>
      </c>
      <c r="I379">
        <v>615143.75</v>
      </c>
      <c r="J379">
        <v>394508.4</v>
      </c>
      <c r="K379">
        <v>0</v>
      </c>
      <c r="L379">
        <v>436518</v>
      </c>
      <c r="M379">
        <v>0</v>
      </c>
      <c r="N379">
        <v>230995.57</v>
      </c>
      <c r="O379">
        <v>78931.16</v>
      </c>
      <c r="P379">
        <v>78593.61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420877.67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160196.60999999999</v>
      </c>
      <c r="AH379">
        <v>0</v>
      </c>
      <c r="AI379">
        <v>0</v>
      </c>
      <c r="AJ379">
        <v>1954242688.7857499</v>
      </c>
    </row>
    <row r="380" spans="1:36" x14ac:dyDescent="0.25">
      <c r="A380" t="s">
        <v>401</v>
      </c>
      <c r="B380" t="s">
        <v>21</v>
      </c>
      <c r="C380">
        <v>510.78</v>
      </c>
      <c r="D380">
        <v>1458.2</v>
      </c>
      <c r="G380">
        <v>7.6109999999999997E-3</v>
      </c>
      <c r="H380">
        <v>0</v>
      </c>
      <c r="I380">
        <v>41979.39</v>
      </c>
      <c r="J380">
        <v>12134.67</v>
      </c>
      <c r="K380">
        <v>0</v>
      </c>
      <c r="L380">
        <v>29466.65</v>
      </c>
      <c r="M380">
        <v>0</v>
      </c>
      <c r="N380">
        <v>60611.69</v>
      </c>
      <c r="O380">
        <v>7448.49</v>
      </c>
      <c r="P380">
        <v>6307.19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5164.41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4299.92</v>
      </c>
      <c r="AH380">
        <v>0</v>
      </c>
      <c r="AI380">
        <v>0</v>
      </c>
      <c r="AJ380">
        <v>120408298.958406</v>
      </c>
    </row>
    <row r="381" spans="1:36" x14ac:dyDescent="0.25">
      <c r="A381" t="s">
        <v>402</v>
      </c>
      <c r="B381" t="s">
        <v>21</v>
      </c>
      <c r="D381">
        <v>1458.2</v>
      </c>
      <c r="E381">
        <v>510.78</v>
      </c>
      <c r="G381">
        <v>7.6109999999999997E-3</v>
      </c>
      <c r="H381">
        <v>0</v>
      </c>
      <c r="I381">
        <v>27663.69</v>
      </c>
      <c r="J381">
        <v>12134.67</v>
      </c>
      <c r="K381">
        <v>0</v>
      </c>
      <c r="L381">
        <v>29466.65</v>
      </c>
      <c r="M381">
        <v>0</v>
      </c>
      <c r="N381">
        <v>60611.69</v>
      </c>
      <c r="O381">
        <v>5599.43</v>
      </c>
      <c r="P381">
        <v>5875.17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5164.41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4299.92</v>
      </c>
      <c r="AH381">
        <v>0</v>
      </c>
      <c r="AI381">
        <v>0</v>
      </c>
      <c r="AJ381">
        <v>104098401.569039</v>
      </c>
    </row>
    <row r="382" spans="1:36" x14ac:dyDescent="0.25">
      <c r="A382" t="s">
        <v>403</v>
      </c>
      <c r="B382" t="s">
        <v>21</v>
      </c>
      <c r="D382">
        <v>4251.34</v>
      </c>
      <c r="E382">
        <v>1489.18</v>
      </c>
      <c r="G382">
        <v>2.2187999999999999E-2</v>
      </c>
      <c r="H382">
        <v>0</v>
      </c>
      <c r="I382">
        <v>180381.25</v>
      </c>
      <c r="J382">
        <v>103288.37</v>
      </c>
      <c r="K382">
        <v>0</v>
      </c>
      <c r="L382">
        <v>282049.05</v>
      </c>
      <c r="M382">
        <v>0</v>
      </c>
      <c r="N382">
        <v>103357.22</v>
      </c>
      <c r="O382">
        <v>17332.22</v>
      </c>
      <c r="P382">
        <v>18378.97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172769</v>
      </c>
      <c r="W382">
        <v>0</v>
      </c>
      <c r="X382">
        <v>0</v>
      </c>
      <c r="Y382">
        <v>0</v>
      </c>
      <c r="Z382">
        <v>65854.75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114320.04</v>
      </c>
      <c r="AH382">
        <v>0</v>
      </c>
      <c r="AI382">
        <v>0</v>
      </c>
      <c r="AJ382">
        <v>476004260.67108297</v>
      </c>
    </row>
    <row r="383" spans="1:36" x14ac:dyDescent="0.25">
      <c r="A383" t="s">
        <v>404</v>
      </c>
      <c r="B383" t="s">
        <v>21</v>
      </c>
      <c r="C383">
        <v>1489.18</v>
      </c>
      <c r="D383">
        <v>4251.34</v>
      </c>
      <c r="G383">
        <v>2.2187999999999999E-2</v>
      </c>
      <c r="H383">
        <v>0</v>
      </c>
      <c r="I383">
        <v>229940.71</v>
      </c>
      <c r="J383">
        <v>103288.37</v>
      </c>
      <c r="K383">
        <v>0</v>
      </c>
      <c r="L383">
        <v>282049.05</v>
      </c>
      <c r="M383">
        <v>0</v>
      </c>
      <c r="N383">
        <v>103358.49</v>
      </c>
      <c r="O383">
        <v>20384.48</v>
      </c>
      <c r="P383">
        <v>18442.63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172719.93</v>
      </c>
      <c r="W383">
        <v>0</v>
      </c>
      <c r="X383">
        <v>0</v>
      </c>
      <c r="Y383">
        <v>0</v>
      </c>
      <c r="Z383">
        <v>65854.75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114317.55</v>
      </c>
      <c r="AH383">
        <v>0</v>
      </c>
      <c r="AI383">
        <v>0</v>
      </c>
      <c r="AJ383">
        <v>532134823.11142498</v>
      </c>
    </row>
    <row r="384" spans="1:36" x14ac:dyDescent="0.25">
      <c r="A384" t="s">
        <v>405</v>
      </c>
      <c r="B384" t="s">
        <v>21</v>
      </c>
      <c r="D384">
        <v>23690.61</v>
      </c>
      <c r="E384">
        <v>8298.44</v>
      </c>
      <c r="G384">
        <v>0.123645</v>
      </c>
      <c r="H384">
        <v>0</v>
      </c>
      <c r="I384">
        <v>761950.22</v>
      </c>
      <c r="J384">
        <v>239542.44</v>
      </c>
      <c r="K384">
        <v>0</v>
      </c>
      <c r="L384">
        <v>831153.37</v>
      </c>
      <c r="M384">
        <v>0</v>
      </c>
      <c r="N384">
        <v>237348.33</v>
      </c>
      <c r="O384">
        <v>169230.07999999999</v>
      </c>
      <c r="P384">
        <v>170887.49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540355.18000000005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104830.99</v>
      </c>
      <c r="AH384">
        <v>0</v>
      </c>
      <c r="AI384">
        <v>0</v>
      </c>
      <c r="AJ384">
        <v>1706927009.0513599</v>
      </c>
    </row>
    <row r="385" spans="1:36" x14ac:dyDescent="0.25">
      <c r="A385" t="s">
        <v>406</v>
      </c>
      <c r="B385" t="s">
        <v>21</v>
      </c>
      <c r="C385">
        <v>8298.44</v>
      </c>
      <c r="D385">
        <v>23690.61</v>
      </c>
      <c r="G385">
        <v>0.123645</v>
      </c>
      <c r="H385">
        <v>0</v>
      </c>
      <c r="I385">
        <v>971908.7</v>
      </c>
      <c r="J385">
        <v>239542.44</v>
      </c>
      <c r="K385">
        <v>0</v>
      </c>
      <c r="L385">
        <v>831153.37</v>
      </c>
      <c r="M385">
        <v>0</v>
      </c>
      <c r="N385">
        <v>237669.45</v>
      </c>
      <c r="O385">
        <v>195888.14</v>
      </c>
      <c r="P385">
        <v>176016.44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537685.06999999995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104832.92</v>
      </c>
      <c r="AH385">
        <v>0</v>
      </c>
      <c r="AI385">
        <v>0</v>
      </c>
      <c r="AJ385">
        <v>1971559776.53671</v>
      </c>
    </row>
    <row r="386" spans="1:36" x14ac:dyDescent="0.25">
      <c r="A386" t="s">
        <v>407</v>
      </c>
      <c r="B386" t="s">
        <v>21</v>
      </c>
      <c r="C386">
        <v>12494.7</v>
      </c>
      <c r="D386">
        <v>35670.199999999997</v>
      </c>
      <c r="G386">
        <v>0.186168</v>
      </c>
      <c r="H386">
        <v>0</v>
      </c>
      <c r="I386">
        <v>1576758.7</v>
      </c>
      <c r="J386">
        <v>626942.71</v>
      </c>
      <c r="K386">
        <v>0</v>
      </c>
      <c r="L386">
        <v>1141299.43</v>
      </c>
      <c r="M386">
        <v>0</v>
      </c>
      <c r="N386">
        <v>450316.16</v>
      </c>
      <c r="O386">
        <v>382104.76</v>
      </c>
      <c r="P386">
        <v>335602.48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884041.85</v>
      </c>
      <c r="W386">
        <v>0</v>
      </c>
      <c r="X386">
        <v>0</v>
      </c>
      <c r="Y386">
        <v>0</v>
      </c>
      <c r="Z386">
        <v>43737.51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249115.08</v>
      </c>
      <c r="AH386">
        <v>0</v>
      </c>
      <c r="AI386">
        <v>0</v>
      </c>
      <c r="AJ386">
        <v>2794127520.178</v>
      </c>
    </row>
    <row r="387" spans="1:36" x14ac:dyDescent="0.25">
      <c r="A387" t="s">
        <v>408</v>
      </c>
      <c r="B387" t="s">
        <v>21</v>
      </c>
      <c r="D387">
        <v>35670.199999999997</v>
      </c>
      <c r="E387">
        <v>12494.7</v>
      </c>
      <c r="G387">
        <v>0.186168</v>
      </c>
      <c r="H387">
        <v>0</v>
      </c>
      <c r="I387">
        <v>1323652.49</v>
      </c>
      <c r="J387">
        <v>626942.71</v>
      </c>
      <c r="K387">
        <v>0</v>
      </c>
      <c r="L387">
        <v>1141299.43</v>
      </c>
      <c r="M387">
        <v>0</v>
      </c>
      <c r="N387">
        <v>449128.57</v>
      </c>
      <c r="O387">
        <v>326738.43</v>
      </c>
      <c r="P387">
        <v>323197.55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886898.87</v>
      </c>
      <c r="W387">
        <v>0</v>
      </c>
      <c r="X387">
        <v>0</v>
      </c>
      <c r="Y387">
        <v>0</v>
      </c>
      <c r="Z387">
        <v>43737.51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249122.35</v>
      </c>
      <c r="AH387">
        <v>0</v>
      </c>
      <c r="AI387">
        <v>0</v>
      </c>
      <c r="AJ387">
        <v>2785676708.1263399</v>
      </c>
    </row>
    <row r="388" spans="1:36" x14ac:dyDescent="0.25">
      <c r="A388" t="s">
        <v>409</v>
      </c>
      <c r="B388" t="s">
        <v>21</v>
      </c>
      <c r="D388">
        <v>4458.91</v>
      </c>
      <c r="E388">
        <v>1561.89</v>
      </c>
      <c r="G388">
        <v>2.3272000000000001E-2</v>
      </c>
      <c r="H388">
        <v>0</v>
      </c>
      <c r="I388">
        <v>227402.02</v>
      </c>
      <c r="J388">
        <v>94437.9</v>
      </c>
      <c r="K388">
        <v>0</v>
      </c>
      <c r="L388">
        <v>258328.15</v>
      </c>
      <c r="M388">
        <v>0</v>
      </c>
      <c r="N388">
        <v>267820.90000000002</v>
      </c>
      <c r="O388">
        <v>18324.16</v>
      </c>
      <c r="P388">
        <v>19963.919999999998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148964.93</v>
      </c>
      <c r="W388">
        <v>0</v>
      </c>
      <c r="X388">
        <v>0</v>
      </c>
      <c r="Y388">
        <v>0</v>
      </c>
      <c r="Z388">
        <v>64094.3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210323.02</v>
      </c>
      <c r="AH388">
        <v>0</v>
      </c>
      <c r="AI388">
        <v>0</v>
      </c>
      <c r="AJ388">
        <v>833342956.765185</v>
      </c>
    </row>
    <row r="389" spans="1:36" x14ac:dyDescent="0.25">
      <c r="A389" t="s">
        <v>410</v>
      </c>
      <c r="B389" t="s">
        <v>21</v>
      </c>
      <c r="C389">
        <v>22240.799999999999</v>
      </c>
      <c r="D389">
        <v>63493.61</v>
      </c>
      <c r="G389">
        <v>0.33138200000000001</v>
      </c>
      <c r="H389">
        <v>0</v>
      </c>
      <c r="I389">
        <v>2507176.33</v>
      </c>
      <c r="J389">
        <v>643032.05000000005</v>
      </c>
      <c r="K389">
        <v>0</v>
      </c>
      <c r="L389">
        <v>3553012.2</v>
      </c>
      <c r="M389">
        <v>0</v>
      </c>
      <c r="N389">
        <v>1188141.72</v>
      </c>
      <c r="O389">
        <v>326052.93</v>
      </c>
      <c r="P389">
        <v>296699.83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1413156.27</v>
      </c>
      <c r="W389">
        <v>0</v>
      </c>
      <c r="X389">
        <v>0</v>
      </c>
      <c r="Y389">
        <v>0</v>
      </c>
      <c r="Z389">
        <v>127428.8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667241.1</v>
      </c>
      <c r="AH389">
        <v>0</v>
      </c>
      <c r="AI389">
        <v>0</v>
      </c>
      <c r="AJ389">
        <v>6166994330.7137699</v>
      </c>
    </row>
    <row r="390" spans="1:36" x14ac:dyDescent="0.25">
      <c r="A390" t="s">
        <v>411</v>
      </c>
      <c r="B390" t="s">
        <v>21</v>
      </c>
      <c r="C390">
        <v>1561.89</v>
      </c>
      <c r="D390">
        <v>4458.91</v>
      </c>
      <c r="G390">
        <v>2.3272000000000001E-2</v>
      </c>
      <c r="H390">
        <v>0</v>
      </c>
      <c r="I390">
        <v>270111.67</v>
      </c>
      <c r="J390">
        <v>94437.9</v>
      </c>
      <c r="K390">
        <v>0</v>
      </c>
      <c r="L390">
        <v>258328.15</v>
      </c>
      <c r="M390">
        <v>0</v>
      </c>
      <c r="N390">
        <v>267793.5</v>
      </c>
      <c r="O390">
        <v>21520.77</v>
      </c>
      <c r="P390">
        <v>20091.89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148746.04</v>
      </c>
      <c r="W390">
        <v>0</v>
      </c>
      <c r="X390">
        <v>0</v>
      </c>
      <c r="Y390">
        <v>0</v>
      </c>
      <c r="Z390">
        <v>64094.3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210322.45</v>
      </c>
      <c r="AH390">
        <v>0</v>
      </c>
      <c r="AI390">
        <v>0</v>
      </c>
      <c r="AJ390">
        <v>899061257.24421895</v>
      </c>
    </row>
    <row r="391" spans="1:36" x14ac:dyDescent="0.25">
      <c r="A391" t="s">
        <v>412</v>
      </c>
      <c r="B391" t="s">
        <v>21</v>
      </c>
      <c r="D391">
        <v>63493.61</v>
      </c>
      <c r="E391">
        <v>22240.799999999999</v>
      </c>
      <c r="G391">
        <v>0.33138200000000001</v>
      </c>
      <c r="H391">
        <v>0</v>
      </c>
      <c r="I391">
        <v>2043427.8400000001</v>
      </c>
      <c r="J391">
        <v>643032.05000000005</v>
      </c>
      <c r="K391">
        <v>0</v>
      </c>
      <c r="L391">
        <v>3553012.2</v>
      </c>
      <c r="M391">
        <v>0</v>
      </c>
      <c r="N391">
        <v>1187790.44</v>
      </c>
      <c r="O391">
        <v>284223.99</v>
      </c>
      <c r="P391">
        <v>295332.19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1411621.41</v>
      </c>
      <c r="W391">
        <v>0</v>
      </c>
      <c r="X391">
        <v>0</v>
      </c>
      <c r="Y391">
        <v>0</v>
      </c>
      <c r="Z391">
        <v>127428.8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667214.36</v>
      </c>
      <c r="AH391">
        <v>0</v>
      </c>
      <c r="AI391">
        <v>0</v>
      </c>
      <c r="AJ391">
        <v>5833272750.81495</v>
      </c>
    </row>
    <row r="392" spans="1:36" x14ac:dyDescent="0.25">
      <c r="A392" t="s">
        <v>413</v>
      </c>
      <c r="B392" t="s">
        <v>21</v>
      </c>
      <c r="D392">
        <v>30147.360000000001</v>
      </c>
      <c r="E392">
        <v>10560.14</v>
      </c>
      <c r="G392">
        <v>0.15734300000000001</v>
      </c>
      <c r="H392">
        <v>0</v>
      </c>
      <c r="I392">
        <v>638152.21</v>
      </c>
      <c r="J392">
        <v>163686.57</v>
      </c>
      <c r="K392">
        <v>0</v>
      </c>
      <c r="L392">
        <v>936314.72</v>
      </c>
      <c r="M392">
        <v>0</v>
      </c>
      <c r="N392">
        <v>338681.7</v>
      </c>
      <c r="O392">
        <v>224682.17</v>
      </c>
      <c r="P392">
        <v>236748.48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357612.54</v>
      </c>
      <c r="W392">
        <v>0</v>
      </c>
      <c r="X392">
        <v>0</v>
      </c>
      <c r="Y392">
        <v>0</v>
      </c>
      <c r="Z392">
        <v>68627.600000000006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437385.72</v>
      </c>
      <c r="AH392">
        <v>0</v>
      </c>
      <c r="AI392">
        <v>0</v>
      </c>
      <c r="AJ392">
        <v>1813426867.85761</v>
      </c>
    </row>
    <row r="393" spans="1:36" x14ac:dyDescent="0.25">
      <c r="A393" t="s">
        <v>414</v>
      </c>
      <c r="B393" t="s">
        <v>21</v>
      </c>
      <c r="C393">
        <v>10560.14</v>
      </c>
      <c r="D393">
        <v>30147.360000000001</v>
      </c>
      <c r="G393">
        <v>0.15734300000000001</v>
      </c>
      <c r="H393">
        <v>0</v>
      </c>
      <c r="I393">
        <v>1099508.17</v>
      </c>
      <c r="J393">
        <v>163686.57</v>
      </c>
      <c r="K393">
        <v>0</v>
      </c>
      <c r="L393">
        <v>936314.72</v>
      </c>
      <c r="M393">
        <v>0</v>
      </c>
      <c r="N393">
        <v>338752.87</v>
      </c>
      <c r="O393">
        <v>269625.33</v>
      </c>
      <c r="P393">
        <v>245650.76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357352.27</v>
      </c>
      <c r="W393">
        <v>0</v>
      </c>
      <c r="X393">
        <v>0</v>
      </c>
      <c r="Y393">
        <v>0</v>
      </c>
      <c r="Z393">
        <v>68627.600000000006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437390.27</v>
      </c>
      <c r="AH393">
        <v>0</v>
      </c>
      <c r="AI393">
        <v>0</v>
      </c>
      <c r="AJ393">
        <v>2138177278.6008</v>
      </c>
    </row>
    <row r="394" spans="1:36" x14ac:dyDescent="0.25">
      <c r="A394" t="s">
        <v>585</v>
      </c>
      <c r="B394" t="s">
        <v>21</v>
      </c>
      <c r="D394">
        <v>5085.88</v>
      </c>
      <c r="E394">
        <v>1781.5</v>
      </c>
      <c r="G394">
        <v>2.6544000000000002E-2</v>
      </c>
      <c r="H394">
        <v>0</v>
      </c>
      <c r="I394">
        <v>222030.1</v>
      </c>
      <c r="J394">
        <v>125722.95</v>
      </c>
      <c r="K394">
        <v>0</v>
      </c>
      <c r="L394">
        <v>179632.92</v>
      </c>
      <c r="M394">
        <v>0</v>
      </c>
      <c r="N394">
        <v>88119.679999999993</v>
      </c>
      <c r="O394">
        <v>25564.04</v>
      </c>
      <c r="P394">
        <v>26757.599999999999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151728.78</v>
      </c>
      <c r="W394">
        <v>0</v>
      </c>
      <c r="X394">
        <v>0</v>
      </c>
      <c r="Y394">
        <v>0</v>
      </c>
      <c r="Z394">
        <v>25988.9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10785.6</v>
      </c>
      <c r="AH394">
        <v>0</v>
      </c>
      <c r="AI394">
        <v>0</v>
      </c>
      <c r="AJ394">
        <v>698695229.995</v>
      </c>
    </row>
    <row r="395" spans="1:36" x14ac:dyDescent="0.25">
      <c r="A395" t="s">
        <v>586</v>
      </c>
      <c r="B395" t="s">
        <v>21</v>
      </c>
      <c r="C395">
        <v>1781.5</v>
      </c>
      <c r="D395">
        <v>5085.88</v>
      </c>
      <c r="G395">
        <v>2.6544000000000002E-2</v>
      </c>
      <c r="H395">
        <v>0</v>
      </c>
      <c r="I395">
        <v>280072.07</v>
      </c>
      <c r="J395">
        <v>125722.95</v>
      </c>
      <c r="K395">
        <v>0</v>
      </c>
      <c r="L395">
        <v>179632.92</v>
      </c>
      <c r="M395">
        <v>0</v>
      </c>
      <c r="N395">
        <v>88090.44</v>
      </c>
      <c r="O395">
        <v>29906.95</v>
      </c>
      <c r="P395">
        <v>27044.3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150379.35999999999</v>
      </c>
      <c r="W395">
        <v>0</v>
      </c>
      <c r="X395">
        <v>0</v>
      </c>
      <c r="Y395">
        <v>0</v>
      </c>
      <c r="Z395">
        <v>25988.9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10784.19</v>
      </c>
      <c r="AH395">
        <v>0</v>
      </c>
      <c r="AI395">
        <v>0</v>
      </c>
      <c r="AJ395">
        <v>770329904.16336501</v>
      </c>
    </row>
    <row r="396" spans="1:36" x14ac:dyDescent="0.25">
      <c r="A396" t="s">
        <v>616</v>
      </c>
      <c r="B396" t="s">
        <v>21</v>
      </c>
      <c r="D396">
        <v>4396.07</v>
      </c>
      <c r="E396">
        <v>1539.87</v>
      </c>
      <c r="G396">
        <v>2.2943999999999999E-2</v>
      </c>
      <c r="H396">
        <v>0</v>
      </c>
      <c r="I396">
        <v>175161.43</v>
      </c>
      <c r="J396">
        <v>125722.95</v>
      </c>
      <c r="K396">
        <v>0</v>
      </c>
      <c r="L396">
        <v>179632.92</v>
      </c>
      <c r="M396">
        <v>0</v>
      </c>
      <c r="N396">
        <v>72999.17</v>
      </c>
      <c r="O396">
        <v>21853.93</v>
      </c>
      <c r="P396">
        <v>22994.54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122213.14</v>
      </c>
      <c r="W396">
        <v>0</v>
      </c>
      <c r="X396">
        <v>0</v>
      </c>
      <c r="Y396">
        <v>0</v>
      </c>
      <c r="Z396">
        <v>25988.9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10772.89</v>
      </c>
      <c r="AH396">
        <v>0</v>
      </c>
      <c r="AI396">
        <v>0</v>
      </c>
      <c r="AJ396">
        <v>586560541.95787597</v>
      </c>
    </row>
    <row r="397" spans="1:36" x14ac:dyDescent="0.25">
      <c r="A397" t="s">
        <v>618</v>
      </c>
      <c r="B397" t="s">
        <v>21</v>
      </c>
      <c r="C397">
        <v>1539.87</v>
      </c>
      <c r="D397">
        <v>4396.07</v>
      </c>
      <c r="G397">
        <v>2.2943999999999999E-2</v>
      </c>
      <c r="H397">
        <v>0</v>
      </c>
      <c r="I397">
        <v>226967.71</v>
      </c>
      <c r="J397">
        <v>125722.95</v>
      </c>
      <c r="K397">
        <v>0</v>
      </c>
      <c r="L397">
        <v>179632.92</v>
      </c>
      <c r="M397">
        <v>0</v>
      </c>
      <c r="N397">
        <v>72990.399999999994</v>
      </c>
      <c r="O397">
        <v>25815.360000000001</v>
      </c>
      <c r="P397">
        <v>23303.4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121791.8</v>
      </c>
      <c r="W397">
        <v>0</v>
      </c>
      <c r="X397">
        <v>0</v>
      </c>
      <c r="Y397">
        <v>0</v>
      </c>
      <c r="Z397">
        <v>25988.9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10763.43</v>
      </c>
      <c r="AH397">
        <v>0</v>
      </c>
      <c r="AI397">
        <v>0</v>
      </c>
      <c r="AJ397">
        <v>647966531.08955801</v>
      </c>
    </row>
    <row r="398" spans="1:36" x14ac:dyDescent="0.25">
      <c r="A398" t="s">
        <v>125</v>
      </c>
      <c r="B398" t="s">
        <v>22</v>
      </c>
      <c r="C398">
        <v>8858.16</v>
      </c>
      <c r="D398">
        <v>25288.49</v>
      </c>
      <c r="G398">
        <v>0.13198399999999999</v>
      </c>
      <c r="H398">
        <v>0</v>
      </c>
      <c r="I398">
        <v>872607.89</v>
      </c>
      <c r="J398">
        <v>774617.57</v>
      </c>
      <c r="K398">
        <v>0</v>
      </c>
      <c r="L398">
        <v>436518</v>
      </c>
      <c r="M398">
        <v>0</v>
      </c>
      <c r="N398">
        <v>279436.59000000003</v>
      </c>
      <c r="O398">
        <v>136846.5</v>
      </c>
      <c r="P398">
        <v>119270.57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580418.37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164667.68</v>
      </c>
      <c r="AH398">
        <v>0</v>
      </c>
      <c r="AI398">
        <v>0</v>
      </c>
      <c r="AJ398">
        <v>2729655732.5121198</v>
      </c>
    </row>
    <row r="399" spans="1:36" x14ac:dyDescent="0.25">
      <c r="A399" t="s">
        <v>126</v>
      </c>
      <c r="B399" t="s">
        <v>22</v>
      </c>
      <c r="D399">
        <v>2540.7199999999998</v>
      </c>
      <c r="E399">
        <v>889.97</v>
      </c>
      <c r="G399">
        <v>1.3259999999999999E-2</v>
      </c>
      <c r="H399">
        <v>0</v>
      </c>
      <c r="I399">
        <v>48025.77</v>
      </c>
      <c r="J399">
        <v>23792.959999999999</v>
      </c>
      <c r="K399">
        <v>0</v>
      </c>
      <c r="L399">
        <v>29466.65</v>
      </c>
      <c r="M399">
        <v>0</v>
      </c>
      <c r="N399">
        <v>113959.13</v>
      </c>
      <c r="O399">
        <v>11305.28</v>
      </c>
      <c r="P399">
        <v>11727.66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3587.08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4403.43</v>
      </c>
      <c r="AH399">
        <v>0</v>
      </c>
      <c r="AI399">
        <v>0</v>
      </c>
      <c r="AJ399">
        <v>181700180.068165</v>
      </c>
    </row>
    <row r="400" spans="1:36" x14ac:dyDescent="0.25">
      <c r="A400" t="s">
        <v>128</v>
      </c>
      <c r="B400" t="s">
        <v>22</v>
      </c>
      <c r="D400">
        <v>25288.49</v>
      </c>
      <c r="E400">
        <v>8858.16</v>
      </c>
      <c r="G400">
        <v>0.13198399999999999</v>
      </c>
      <c r="H400">
        <v>0</v>
      </c>
      <c r="I400">
        <v>814977.96</v>
      </c>
      <c r="J400">
        <v>774617.57</v>
      </c>
      <c r="K400">
        <v>0</v>
      </c>
      <c r="L400">
        <v>436518</v>
      </c>
      <c r="M400">
        <v>0</v>
      </c>
      <c r="N400">
        <v>279486.86</v>
      </c>
      <c r="O400">
        <v>119397.95</v>
      </c>
      <c r="P400">
        <v>115549.93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580184.77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164668.16</v>
      </c>
      <c r="AH400">
        <v>0</v>
      </c>
      <c r="AI400">
        <v>0</v>
      </c>
      <c r="AJ400">
        <v>2746703335.57373</v>
      </c>
    </row>
    <row r="401" spans="1:36" x14ac:dyDescent="0.25">
      <c r="A401" t="s">
        <v>130</v>
      </c>
      <c r="B401" t="s">
        <v>22</v>
      </c>
      <c r="C401">
        <v>889.97</v>
      </c>
      <c r="D401">
        <v>2540.7199999999998</v>
      </c>
      <c r="G401">
        <v>1.3259999999999999E-2</v>
      </c>
      <c r="H401">
        <v>0</v>
      </c>
      <c r="I401">
        <v>75175.539999999994</v>
      </c>
      <c r="J401">
        <v>23792.959999999999</v>
      </c>
      <c r="K401">
        <v>0</v>
      </c>
      <c r="L401">
        <v>29466.65</v>
      </c>
      <c r="M401">
        <v>0</v>
      </c>
      <c r="N401">
        <v>113959.21</v>
      </c>
      <c r="O401">
        <v>15611.49</v>
      </c>
      <c r="P401">
        <v>12862.67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3587.06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4403.42</v>
      </c>
      <c r="AH401">
        <v>0</v>
      </c>
      <c r="AI401">
        <v>0</v>
      </c>
      <c r="AJ401">
        <v>236656694.922153</v>
      </c>
    </row>
    <row r="402" spans="1:36" x14ac:dyDescent="0.25">
      <c r="A402" t="s">
        <v>131</v>
      </c>
      <c r="B402" t="s">
        <v>22</v>
      </c>
      <c r="C402">
        <v>12106.63</v>
      </c>
      <c r="D402">
        <v>34562.33</v>
      </c>
      <c r="G402">
        <v>0.18038599999999999</v>
      </c>
      <c r="H402">
        <v>0</v>
      </c>
      <c r="I402">
        <v>1341565.8999999999</v>
      </c>
      <c r="J402">
        <v>463682.79</v>
      </c>
      <c r="K402">
        <v>0</v>
      </c>
      <c r="L402">
        <v>831153.37</v>
      </c>
      <c r="M402">
        <v>0</v>
      </c>
      <c r="N402">
        <v>272988.51</v>
      </c>
      <c r="O402">
        <v>278407.34000000003</v>
      </c>
      <c r="P402">
        <v>247020.75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841582.42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107768.44</v>
      </c>
      <c r="AH402">
        <v>0</v>
      </c>
      <c r="AI402">
        <v>0</v>
      </c>
      <c r="AJ402">
        <v>2936322780.33916</v>
      </c>
    </row>
    <row r="403" spans="1:36" x14ac:dyDescent="0.25">
      <c r="A403" t="s">
        <v>132</v>
      </c>
      <c r="B403" t="s">
        <v>22</v>
      </c>
      <c r="D403">
        <v>34562.33</v>
      </c>
      <c r="E403">
        <v>12106.63</v>
      </c>
      <c r="G403">
        <v>0.18038599999999999</v>
      </c>
      <c r="H403">
        <v>0</v>
      </c>
      <c r="I403">
        <v>988686.77</v>
      </c>
      <c r="J403">
        <v>463682.79</v>
      </c>
      <c r="K403">
        <v>0</v>
      </c>
      <c r="L403">
        <v>831153.37</v>
      </c>
      <c r="M403">
        <v>0</v>
      </c>
      <c r="N403">
        <v>271518.56</v>
      </c>
      <c r="O403">
        <v>240090.39</v>
      </c>
      <c r="P403">
        <v>241439.23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843666.37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107763.32</v>
      </c>
      <c r="AH403">
        <v>0</v>
      </c>
      <c r="AI403">
        <v>0</v>
      </c>
      <c r="AJ403">
        <v>2318141067.6457701</v>
      </c>
    </row>
    <row r="404" spans="1:36" x14ac:dyDescent="0.25">
      <c r="A404" t="s">
        <v>133</v>
      </c>
      <c r="B404" t="s">
        <v>22</v>
      </c>
      <c r="D404">
        <v>5599.86</v>
      </c>
      <c r="E404">
        <v>1961.54</v>
      </c>
      <c r="G404">
        <v>2.9225999999999999E-2</v>
      </c>
      <c r="H404">
        <v>0</v>
      </c>
      <c r="I404">
        <v>247420.74</v>
      </c>
      <c r="J404">
        <v>201226.15</v>
      </c>
      <c r="K404">
        <v>0</v>
      </c>
      <c r="L404">
        <v>282049.05</v>
      </c>
      <c r="M404">
        <v>0</v>
      </c>
      <c r="N404">
        <v>135146.82</v>
      </c>
      <c r="O404">
        <v>24485.06</v>
      </c>
      <c r="P404">
        <v>24657.01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235114.43</v>
      </c>
      <c r="W404">
        <v>0</v>
      </c>
      <c r="X404">
        <v>0</v>
      </c>
      <c r="Y404">
        <v>0</v>
      </c>
      <c r="Z404">
        <v>65854.75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117531.44</v>
      </c>
      <c r="AH404">
        <v>0</v>
      </c>
      <c r="AI404">
        <v>0</v>
      </c>
      <c r="AJ404">
        <v>655397265.61001098</v>
      </c>
    </row>
    <row r="405" spans="1:36" x14ac:dyDescent="0.25">
      <c r="A405" t="s">
        <v>134</v>
      </c>
      <c r="B405" t="s">
        <v>22</v>
      </c>
      <c r="C405">
        <v>1961.54</v>
      </c>
      <c r="D405">
        <v>5599.86</v>
      </c>
      <c r="G405">
        <v>2.9225999999999999E-2</v>
      </c>
      <c r="H405">
        <v>0</v>
      </c>
      <c r="I405">
        <v>288048.64000000001</v>
      </c>
      <c r="J405">
        <v>201226.15</v>
      </c>
      <c r="K405">
        <v>0</v>
      </c>
      <c r="L405">
        <v>282049.05</v>
      </c>
      <c r="M405">
        <v>0</v>
      </c>
      <c r="N405">
        <v>135156.62</v>
      </c>
      <c r="O405">
        <v>27487.66</v>
      </c>
      <c r="P405">
        <v>24755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234984.06</v>
      </c>
      <c r="W405">
        <v>0</v>
      </c>
      <c r="X405">
        <v>0</v>
      </c>
      <c r="Y405">
        <v>0</v>
      </c>
      <c r="Z405">
        <v>65854.75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117529.83</v>
      </c>
      <c r="AH405">
        <v>0</v>
      </c>
      <c r="AI405">
        <v>0</v>
      </c>
      <c r="AJ405">
        <v>696370032.83233702</v>
      </c>
    </row>
    <row r="406" spans="1:36" x14ac:dyDescent="0.25">
      <c r="A406" t="s">
        <v>135</v>
      </c>
      <c r="B406" t="s">
        <v>22</v>
      </c>
      <c r="D406">
        <v>42624.6</v>
      </c>
      <c r="E406">
        <v>14930.72</v>
      </c>
      <c r="G406">
        <v>0.222464</v>
      </c>
      <c r="H406">
        <v>0</v>
      </c>
      <c r="I406">
        <v>1550708.47</v>
      </c>
      <c r="J406">
        <v>857863.39</v>
      </c>
      <c r="K406">
        <v>0</v>
      </c>
      <c r="L406">
        <v>1141299.43</v>
      </c>
      <c r="M406">
        <v>0</v>
      </c>
      <c r="N406">
        <v>551820.42000000004</v>
      </c>
      <c r="O406">
        <v>385174.91</v>
      </c>
      <c r="P406">
        <v>383505.49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1267360.1299999999</v>
      </c>
      <c r="W406">
        <v>0</v>
      </c>
      <c r="X406">
        <v>0</v>
      </c>
      <c r="Y406">
        <v>0</v>
      </c>
      <c r="Z406">
        <v>43737.51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256106.83</v>
      </c>
      <c r="AH406">
        <v>0</v>
      </c>
      <c r="AI406">
        <v>0</v>
      </c>
      <c r="AJ406">
        <v>3498417549.19242</v>
      </c>
    </row>
    <row r="407" spans="1:36" x14ac:dyDescent="0.25">
      <c r="A407" t="s">
        <v>136</v>
      </c>
      <c r="B407" t="s">
        <v>22</v>
      </c>
      <c r="C407">
        <v>14930.72</v>
      </c>
      <c r="D407">
        <v>42624.6</v>
      </c>
      <c r="G407">
        <v>0.222464</v>
      </c>
      <c r="H407">
        <v>0</v>
      </c>
      <c r="I407">
        <v>1791928.08</v>
      </c>
      <c r="J407">
        <v>857863.39</v>
      </c>
      <c r="K407">
        <v>0</v>
      </c>
      <c r="L407">
        <v>1141299.43</v>
      </c>
      <c r="M407">
        <v>0</v>
      </c>
      <c r="N407">
        <v>552696.89</v>
      </c>
      <c r="O407">
        <v>450381.84</v>
      </c>
      <c r="P407">
        <v>400124.3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1262619.82</v>
      </c>
      <c r="W407">
        <v>0</v>
      </c>
      <c r="X407">
        <v>0</v>
      </c>
      <c r="Y407">
        <v>0</v>
      </c>
      <c r="Z407">
        <v>43737.51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256096.06</v>
      </c>
      <c r="AH407">
        <v>0</v>
      </c>
      <c r="AI407">
        <v>0</v>
      </c>
      <c r="AJ407">
        <v>3568429715.0887799</v>
      </c>
    </row>
    <row r="408" spans="1:36" x14ac:dyDescent="0.25">
      <c r="A408" t="s">
        <v>137</v>
      </c>
      <c r="B408" t="s">
        <v>22</v>
      </c>
      <c r="D408">
        <v>6072.64</v>
      </c>
      <c r="E408">
        <v>2127.15</v>
      </c>
      <c r="G408">
        <v>3.1694E-2</v>
      </c>
      <c r="H408">
        <v>0</v>
      </c>
      <c r="I408">
        <v>289235.3</v>
      </c>
      <c r="J408">
        <v>197273.03</v>
      </c>
      <c r="K408">
        <v>0</v>
      </c>
      <c r="L408">
        <v>258328.15</v>
      </c>
      <c r="M408">
        <v>0</v>
      </c>
      <c r="N408">
        <v>358177.56</v>
      </c>
      <c r="O408">
        <v>27447.31</v>
      </c>
      <c r="P408">
        <v>28161.759999999998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174934.88</v>
      </c>
      <c r="W408">
        <v>0</v>
      </c>
      <c r="X408">
        <v>0</v>
      </c>
      <c r="Y408">
        <v>0</v>
      </c>
      <c r="Z408">
        <v>64094.3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216287.01</v>
      </c>
      <c r="AH408">
        <v>0</v>
      </c>
      <c r="AI408">
        <v>0</v>
      </c>
      <c r="AJ408">
        <v>1087316094.22857</v>
      </c>
    </row>
    <row r="409" spans="1:36" x14ac:dyDescent="0.25">
      <c r="A409" t="s">
        <v>138</v>
      </c>
      <c r="B409" t="s">
        <v>22</v>
      </c>
      <c r="C409">
        <v>2127.15</v>
      </c>
      <c r="D409">
        <v>6072.64</v>
      </c>
      <c r="G409">
        <v>3.1694E-2</v>
      </c>
      <c r="H409">
        <v>0</v>
      </c>
      <c r="I409">
        <v>331112.84999999998</v>
      </c>
      <c r="J409">
        <v>197273.03</v>
      </c>
      <c r="K409">
        <v>0</v>
      </c>
      <c r="L409">
        <v>258328.15</v>
      </c>
      <c r="M409">
        <v>0</v>
      </c>
      <c r="N409">
        <v>358069.15</v>
      </c>
      <c r="O409">
        <v>31403.52</v>
      </c>
      <c r="P409">
        <v>28401.48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174716.01</v>
      </c>
      <c r="W409">
        <v>0</v>
      </c>
      <c r="X409">
        <v>0</v>
      </c>
      <c r="Y409">
        <v>0</v>
      </c>
      <c r="Z409">
        <v>64094.3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216288.73</v>
      </c>
      <c r="AH409">
        <v>0</v>
      </c>
      <c r="AI409">
        <v>0</v>
      </c>
      <c r="AJ409">
        <v>1141069299.8934901</v>
      </c>
    </row>
    <row r="410" spans="1:36" x14ac:dyDescent="0.25">
      <c r="A410" t="s">
        <v>139</v>
      </c>
      <c r="B410" t="s">
        <v>22</v>
      </c>
      <c r="D410">
        <v>85754.95</v>
      </c>
      <c r="E410">
        <v>30038.59</v>
      </c>
      <c r="G410">
        <v>0.44756699999999999</v>
      </c>
      <c r="H410">
        <v>0</v>
      </c>
      <c r="I410">
        <v>2726797.12</v>
      </c>
      <c r="J410">
        <v>1274541.22</v>
      </c>
      <c r="K410">
        <v>0</v>
      </c>
      <c r="L410">
        <v>3553012.2</v>
      </c>
      <c r="M410">
        <v>0</v>
      </c>
      <c r="N410">
        <v>1379515.14</v>
      </c>
      <c r="O410">
        <v>416269.51</v>
      </c>
      <c r="P410">
        <v>424079.05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1821785.21</v>
      </c>
      <c r="W410">
        <v>0</v>
      </c>
      <c r="X410">
        <v>0</v>
      </c>
      <c r="Y410">
        <v>0</v>
      </c>
      <c r="Z410">
        <v>127428.8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686831.78</v>
      </c>
      <c r="AH410">
        <v>0</v>
      </c>
      <c r="AI410">
        <v>0</v>
      </c>
      <c r="AJ410">
        <v>7897759062.0164299</v>
      </c>
    </row>
    <row r="411" spans="1:36" x14ac:dyDescent="0.25">
      <c r="A411" t="s">
        <v>140</v>
      </c>
      <c r="B411" t="s">
        <v>22</v>
      </c>
      <c r="C411">
        <v>30038.59</v>
      </c>
      <c r="D411">
        <v>85754.95</v>
      </c>
      <c r="G411">
        <v>0.44756699999999999</v>
      </c>
      <c r="H411">
        <v>0</v>
      </c>
      <c r="I411">
        <v>3252135.93</v>
      </c>
      <c r="J411">
        <v>1274541.22</v>
      </c>
      <c r="K411">
        <v>0</v>
      </c>
      <c r="L411">
        <v>3553012.2</v>
      </c>
      <c r="M411">
        <v>0</v>
      </c>
      <c r="N411">
        <v>1380035.12</v>
      </c>
      <c r="O411">
        <v>474682.55</v>
      </c>
      <c r="P411">
        <v>428161.14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1818347.42</v>
      </c>
      <c r="W411">
        <v>0</v>
      </c>
      <c r="X411">
        <v>0</v>
      </c>
      <c r="Y411">
        <v>0</v>
      </c>
      <c r="Z411">
        <v>127428.8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686940.41</v>
      </c>
      <c r="AH411">
        <v>0</v>
      </c>
      <c r="AI411">
        <v>0</v>
      </c>
      <c r="AJ411">
        <v>8291181011.0355701</v>
      </c>
    </row>
    <row r="412" spans="1:36" x14ac:dyDescent="0.25">
      <c r="A412" t="s">
        <v>141</v>
      </c>
      <c r="B412" t="s">
        <v>22</v>
      </c>
      <c r="D412">
        <v>37713.24</v>
      </c>
      <c r="E412">
        <v>13210.35</v>
      </c>
      <c r="G412">
        <v>0.19683100000000001</v>
      </c>
      <c r="H412">
        <v>0</v>
      </c>
      <c r="I412">
        <v>866223.47</v>
      </c>
      <c r="J412">
        <v>350734.07</v>
      </c>
      <c r="K412">
        <v>0</v>
      </c>
      <c r="L412">
        <v>936314.72</v>
      </c>
      <c r="M412">
        <v>0</v>
      </c>
      <c r="N412">
        <v>459640.08</v>
      </c>
      <c r="O412">
        <v>278377.15000000002</v>
      </c>
      <c r="P412">
        <v>286568.28000000003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641165.73</v>
      </c>
      <c r="W412">
        <v>0</v>
      </c>
      <c r="X412">
        <v>0</v>
      </c>
      <c r="Y412">
        <v>0</v>
      </c>
      <c r="Z412">
        <v>68627.600000000006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450758.13</v>
      </c>
      <c r="AH412">
        <v>0</v>
      </c>
      <c r="AI412">
        <v>0</v>
      </c>
      <c r="AJ412">
        <v>2547771843.0299101</v>
      </c>
    </row>
    <row r="413" spans="1:36" x14ac:dyDescent="0.25">
      <c r="A413" t="s">
        <v>142</v>
      </c>
      <c r="B413" t="s">
        <v>22</v>
      </c>
      <c r="C413">
        <v>13210.35</v>
      </c>
      <c r="D413">
        <v>37713.24</v>
      </c>
      <c r="G413">
        <v>0.19683100000000001</v>
      </c>
      <c r="H413">
        <v>0</v>
      </c>
      <c r="I413">
        <v>1414479.46</v>
      </c>
      <c r="J413">
        <v>350734.07</v>
      </c>
      <c r="K413">
        <v>0</v>
      </c>
      <c r="L413">
        <v>936314.72</v>
      </c>
      <c r="M413">
        <v>0</v>
      </c>
      <c r="N413">
        <v>459700.04</v>
      </c>
      <c r="O413">
        <v>332815.14</v>
      </c>
      <c r="P413">
        <v>300040.14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641139.25</v>
      </c>
      <c r="W413">
        <v>0</v>
      </c>
      <c r="X413">
        <v>0</v>
      </c>
      <c r="Y413">
        <v>0</v>
      </c>
      <c r="Z413">
        <v>68627.600000000006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450768.63</v>
      </c>
      <c r="AH413">
        <v>0</v>
      </c>
      <c r="AI413">
        <v>0</v>
      </c>
      <c r="AJ413">
        <v>3014471618.8907399</v>
      </c>
    </row>
    <row r="414" spans="1:36" x14ac:dyDescent="0.25">
      <c r="A414" t="s">
        <v>383</v>
      </c>
      <c r="B414" t="s">
        <v>22</v>
      </c>
      <c r="D414">
        <v>18299.61</v>
      </c>
      <c r="E414">
        <v>6410.06</v>
      </c>
      <c r="G414">
        <v>9.5507999999999996E-2</v>
      </c>
      <c r="H414">
        <v>0</v>
      </c>
      <c r="I414">
        <v>605100.66</v>
      </c>
      <c r="J414">
        <v>394508.4</v>
      </c>
      <c r="K414">
        <v>0</v>
      </c>
      <c r="L414">
        <v>436518</v>
      </c>
      <c r="M414">
        <v>0</v>
      </c>
      <c r="N414">
        <v>212481.2</v>
      </c>
      <c r="O414">
        <v>79311.94</v>
      </c>
      <c r="P414">
        <v>79511.89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417603.55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164659.9</v>
      </c>
      <c r="AH414">
        <v>0</v>
      </c>
      <c r="AI414">
        <v>0</v>
      </c>
      <c r="AJ414">
        <v>1934512922.53055</v>
      </c>
    </row>
    <row r="415" spans="1:36" x14ac:dyDescent="0.25">
      <c r="A415" t="s">
        <v>384</v>
      </c>
      <c r="B415" t="s">
        <v>22</v>
      </c>
      <c r="C415">
        <v>6410.06</v>
      </c>
      <c r="D415">
        <v>18299.61</v>
      </c>
      <c r="G415">
        <v>9.5507999999999996E-2</v>
      </c>
      <c r="H415">
        <v>0</v>
      </c>
      <c r="I415">
        <v>623662.63</v>
      </c>
      <c r="J415">
        <v>394508.4</v>
      </c>
      <c r="K415">
        <v>0</v>
      </c>
      <c r="L415">
        <v>436518</v>
      </c>
      <c r="M415">
        <v>0</v>
      </c>
      <c r="N415">
        <v>212462.05</v>
      </c>
      <c r="O415">
        <v>88413.49</v>
      </c>
      <c r="P415">
        <v>80202.61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418187.23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164659.22</v>
      </c>
      <c r="AH415">
        <v>0</v>
      </c>
      <c r="AI415">
        <v>0</v>
      </c>
      <c r="AJ415">
        <v>1932544775.63271</v>
      </c>
    </row>
    <row r="416" spans="1:36" x14ac:dyDescent="0.25">
      <c r="A416" t="s">
        <v>385</v>
      </c>
      <c r="B416" t="s">
        <v>22</v>
      </c>
      <c r="C416">
        <v>490.41</v>
      </c>
      <c r="D416">
        <v>1400.02</v>
      </c>
      <c r="G416">
        <v>7.3070000000000001E-3</v>
      </c>
      <c r="H416">
        <v>0</v>
      </c>
      <c r="I416">
        <v>35943.9</v>
      </c>
      <c r="J416">
        <v>12134.67</v>
      </c>
      <c r="K416">
        <v>0</v>
      </c>
      <c r="L416">
        <v>29466.65</v>
      </c>
      <c r="M416">
        <v>0</v>
      </c>
      <c r="N416">
        <v>56567.41</v>
      </c>
      <c r="O416">
        <v>6544.07</v>
      </c>
      <c r="P416">
        <v>5390.86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5543.18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4403.6000000000004</v>
      </c>
      <c r="AH416">
        <v>0</v>
      </c>
      <c r="AI416">
        <v>0</v>
      </c>
      <c r="AJ416">
        <v>115228570.85235301</v>
      </c>
    </row>
    <row r="417" spans="1:36" x14ac:dyDescent="0.25">
      <c r="A417" t="s">
        <v>386</v>
      </c>
      <c r="B417" t="s">
        <v>22</v>
      </c>
      <c r="D417">
        <v>1400.02</v>
      </c>
      <c r="E417">
        <v>490.41</v>
      </c>
      <c r="G417">
        <v>7.3070000000000001E-3</v>
      </c>
      <c r="H417">
        <v>0</v>
      </c>
      <c r="I417">
        <v>22517.74</v>
      </c>
      <c r="J417">
        <v>12134.67</v>
      </c>
      <c r="K417">
        <v>0</v>
      </c>
      <c r="L417">
        <v>29466.65</v>
      </c>
      <c r="M417">
        <v>0</v>
      </c>
      <c r="N417">
        <v>56567.55</v>
      </c>
      <c r="O417">
        <v>4835.6000000000004</v>
      </c>
      <c r="P417">
        <v>5001.08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5543.18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4403.6000000000004</v>
      </c>
      <c r="AH417">
        <v>0</v>
      </c>
      <c r="AI417">
        <v>0</v>
      </c>
      <c r="AJ417">
        <v>91104381.958487198</v>
      </c>
    </row>
    <row r="418" spans="1:36" x14ac:dyDescent="0.25">
      <c r="A418" t="s">
        <v>387</v>
      </c>
      <c r="B418" t="s">
        <v>22</v>
      </c>
      <c r="C418">
        <v>8164.81</v>
      </c>
      <c r="D418">
        <v>23309.11</v>
      </c>
      <c r="G418">
        <v>0.121653</v>
      </c>
      <c r="H418">
        <v>0</v>
      </c>
      <c r="I418">
        <v>909857.49</v>
      </c>
      <c r="J418">
        <v>239542.44</v>
      </c>
      <c r="K418">
        <v>0</v>
      </c>
      <c r="L418">
        <v>831153.37</v>
      </c>
      <c r="M418">
        <v>0</v>
      </c>
      <c r="N418">
        <v>228829.44</v>
      </c>
      <c r="O418">
        <v>195805.4</v>
      </c>
      <c r="P418">
        <v>174782.68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458031.78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107757.32</v>
      </c>
      <c r="AH418">
        <v>0</v>
      </c>
      <c r="AI418">
        <v>0</v>
      </c>
      <c r="AJ418">
        <v>1991423602.1909201</v>
      </c>
    </row>
    <row r="419" spans="1:36" x14ac:dyDescent="0.25">
      <c r="A419" t="s">
        <v>388</v>
      </c>
      <c r="B419" t="s">
        <v>22</v>
      </c>
      <c r="C419">
        <v>1469.39</v>
      </c>
      <c r="D419">
        <v>4194.84</v>
      </c>
      <c r="G419">
        <v>2.1892999999999999E-2</v>
      </c>
      <c r="H419">
        <v>0</v>
      </c>
      <c r="I419">
        <v>205622.33</v>
      </c>
      <c r="J419">
        <v>103288.37</v>
      </c>
      <c r="K419">
        <v>0</v>
      </c>
      <c r="L419">
        <v>282049.05</v>
      </c>
      <c r="M419">
        <v>0</v>
      </c>
      <c r="N419">
        <v>93199.64</v>
      </c>
      <c r="O419">
        <v>19623.759999999998</v>
      </c>
      <c r="P419">
        <v>17781.18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146139.94</v>
      </c>
      <c r="W419">
        <v>0</v>
      </c>
      <c r="X419">
        <v>0</v>
      </c>
      <c r="Y419">
        <v>0</v>
      </c>
      <c r="Z419">
        <v>65854.75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117515.79</v>
      </c>
      <c r="AH419">
        <v>0</v>
      </c>
      <c r="AI419">
        <v>0</v>
      </c>
      <c r="AJ419">
        <v>512422210.86297899</v>
      </c>
    </row>
    <row r="420" spans="1:36" x14ac:dyDescent="0.25">
      <c r="A420" t="s">
        <v>389</v>
      </c>
      <c r="B420" t="s">
        <v>22</v>
      </c>
      <c r="D420">
        <v>4194.84</v>
      </c>
      <c r="E420">
        <v>1469.39</v>
      </c>
      <c r="G420">
        <v>2.1892999999999999E-2</v>
      </c>
      <c r="H420">
        <v>0</v>
      </c>
      <c r="I420">
        <v>160178.99</v>
      </c>
      <c r="J420">
        <v>103288.37</v>
      </c>
      <c r="K420">
        <v>0</v>
      </c>
      <c r="L420">
        <v>282049.05</v>
      </c>
      <c r="M420">
        <v>0</v>
      </c>
      <c r="N420">
        <v>93200.03</v>
      </c>
      <c r="O420">
        <v>16777.740000000002</v>
      </c>
      <c r="P420">
        <v>17729.25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146203.06</v>
      </c>
      <c r="W420">
        <v>0</v>
      </c>
      <c r="X420">
        <v>0</v>
      </c>
      <c r="Y420">
        <v>0</v>
      </c>
      <c r="Z420">
        <v>65854.75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117519.39</v>
      </c>
      <c r="AH420">
        <v>0</v>
      </c>
      <c r="AI420">
        <v>0</v>
      </c>
      <c r="AJ420">
        <v>445906388.85938299</v>
      </c>
    </row>
    <row r="421" spans="1:36" x14ac:dyDescent="0.25">
      <c r="A421" t="s">
        <v>390</v>
      </c>
      <c r="B421" t="s">
        <v>22</v>
      </c>
      <c r="D421">
        <v>23309.11</v>
      </c>
      <c r="E421">
        <v>8164.81</v>
      </c>
      <c r="G421">
        <v>0.121653</v>
      </c>
      <c r="H421">
        <v>0</v>
      </c>
      <c r="I421">
        <v>726764.05</v>
      </c>
      <c r="J421">
        <v>239542.44</v>
      </c>
      <c r="K421">
        <v>0</v>
      </c>
      <c r="L421">
        <v>831153.37</v>
      </c>
      <c r="M421">
        <v>0</v>
      </c>
      <c r="N421">
        <v>228653.5</v>
      </c>
      <c r="O421">
        <v>167006.12</v>
      </c>
      <c r="P421">
        <v>166835.87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460886.19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107761.45</v>
      </c>
      <c r="AH421">
        <v>0</v>
      </c>
      <c r="AI421">
        <v>0</v>
      </c>
      <c r="AJ421">
        <v>1718754420.1728599</v>
      </c>
    </row>
    <row r="422" spans="1:36" x14ac:dyDescent="0.25">
      <c r="A422" t="s">
        <v>391</v>
      </c>
      <c r="B422" t="s">
        <v>22</v>
      </c>
      <c r="D422">
        <v>35837.67</v>
      </c>
      <c r="E422">
        <v>12553.37</v>
      </c>
      <c r="G422">
        <v>0.18704200000000001</v>
      </c>
      <c r="H422">
        <v>0</v>
      </c>
      <c r="I422">
        <v>1264847.8899999999</v>
      </c>
      <c r="J422">
        <v>626942.71</v>
      </c>
      <c r="K422">
        <v>0</v>
      </c>
      <c r="L422">
        <v>1141299.43</v>
      </c>
      <c r="M422">
        <v>0</v>
      </c>
      <c r="N422">
        <v>417795.99</v>
      </c>
      <c r="O422">
        <v>323315.34000000003</v>
      </c>
      <c r="P422">
        <v>319727.78999999998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832952.27</v>
      </c>
      <c r="W422">
        <v>0</v>
      </c>
      <c r="X422">
        <v>0</v>
      </c>
      <c r="Y422">
        <v>0</v>
      </c>
      <c r="Z422">
        <v>43737.51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256090.49</v>
      </c>
      <c r="AH422">
        <v>0</v>
      </c>
      <c r="AI422">
        <v>0</v>
      </c>
      <c r="AJ422">
        <v>2907669439.50491</v>
      </c>
    </row>
    <row r="423" spans="1:36" x14ac:dyDescent="0.25">
      <c r="A423" t="s">
        <v>392</v>
      </c>
      <c r="B423" t="s">
        <v>22</v>
      </c>
      <c r="C423">
        <v>12553.37</v>
      </c>
      <c r="D423">
        <v>35837.67</v>
      </c>
      <c r="G423">
        <v>0.18704200000000001</v>
      </c>
      <c r="H423">
        <v>0</v>
      </c>
      <c r="I423">
        <v>1498370.17</v>
      </c>
      <c r="J423">
        <v>626942.71</v>
      </c>
      <c r="K423">
        <v>0</v>
      </c>
      <c r="L423">
        <v>1141299.43</v>
      </c>
      <c r="M423">
        <v>0</v>
      </c>
      <c r="N423">
        <v>418068.31</v>
      </c>
      <c r="O423">
        <v>378989.89</v>
      </c>
      <c r="P423">
        <v>334200.31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829744.65</v>
      </c>
      <c r="W423">
        <v>0</v>
      </c>
      <c r="X423">
        <v>0</v>
      </c>
      <c r="Y423">
        <v>0</v>
      </c>
      <c r="Z423">
        <v>43737.51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256101.77</v>
      </c>
      <c r="AH423">
        <v>0</v>
      </c>
      <c r="AI423">
        <v>0</v>
      </c>
      <c r="AJ423">
        <v>2898478708.0911198</v>
      </c>
    </row>
    <row r="424" spans="1:36" x14ac:dyDescent="0.25">
      <c r="A424" t="s">
        <v>393</v>
      </c>
      <c r="B424" t="s">
        <v>22</v>
      </c>
      <c r="C424">
        <v>1549.14</v>
      </c>
      <c r="D424">
        <v>4422.53</v>
      </c>
      <c r="G424">
        <v>2.3081999999999998E-2</v>
      </c>
      <c r="H424">
        <v>0</v>
      </c>
      <c r="I424">
        <v>247519.87</v>
      </c>
      <c r="J424">
        <v>94437.9</v>
      </c>
      <c r="K424">
        <v>0</v>
      </c>
      <c r="L424">
        <v>258328.15</v>
      </c>
      <c r="M424">
        <v>0</v>
      </c>
      <c r="N424">
        <v>273474.14</v>
      </c>
      <c r="O424">
        <v>21906.23</v>
      </c>
      <c r="P424">
        <v>20094.310000000001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170392.22</v>
      </c>
      <c r="W424">
        <v>0</v>
      </c>
      <c r="X424">
        <v>0</v>
      </c>
      <c r="Y424">
        <v>0</v>
      </c>
      <c r="Z424">
        <v>64094.3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216283.71</v>
      </c>
      <c r="AH424">
        <v>0</v>
      </c>
      <c r="AI424">
        <v>0</v>
      </c>
      <c r="AJ424">
        <v>866835798.46281099</v>
      </c>
    </row>
    <row r="425" spans="1:36" x14ac:dyDescent="0.25">
      <c r="A425" t="s">
        <v>394</v>
      </c>
      <c r="B425" t="s">
        <v>22</v>
      </c>
      <c r="D425">
        <v>4422.53</v>
      </c>
      <c r="E425">
        <v>1549.14</v>
      </c>
      <c r="G425">
        <v>2.3081999999999998E-2</v>
      </c>
      <c r="H425">
        <v>0</v>
      </c>
      <c r="I425">
        <v>210256.11</v>
      </c>
      <c r="J425">
        <v>94437.9</v>
      </c>
      <c r="K425">
        <v>0</v>
      </c>
      <c r="L425">
        <v>258328.15</v>
      </c>
      <c r="M425">
        <v>0</v>
      </c>
      <c r="N425">
        <v>273504.28999999998</v>
      </c>
      <c r="O425">
        <v>18784.43</v>
      </c>
      <c r="P425">
        <v>19927.43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170700.41</v>
      </c>
      <c r="W425">
        <v>0</v>
      </c>
      <c r="X425">
        <v>0</v>
      </c>
      <c r="Y425">
        <v>0</v>
      </c>
      <c r="Z425">
        <v>64094.3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216283.09</v>
      </c>
      <c r="AH425">
        <v>0</v>
      </c>
      <c r="AI425">
        <v>0</v>
      </c>
      <c r="AJ425">
        <v>821645842.51986694</v>
      </c>
    </row>
    <row r="426" spans="1:36" x14ac:dyDescent="0.25">
      <c r="A426" t="s">
        <v>395</v>
      </c>
      <c r="B426" t="s">
        <v>22</v>
      </c>
      <c r="D426">
        <v>62246.559999999998</v>
      </c>
      <c r="E426">
        <v>21803.98</v>
      </c>
      <c r="G426">
        <v>0.32487300000000002</v>
      </c>
      <c r="H426">
        <v>0</v>
      </c>
      <c r="I426">
        <v>1908561.08</v>
      </c>
      <c r="J426">
        <v>643032.05000000005</v>
      </c>
      <c r="K426">
        <v>0</v>
      </c>
      <c r="L426">
        <v>3553012.2</v>
      </c>
      <c r="M426">
        <v>0</v>
      </c>
      <c r="N426">
        <v>1125381.3500000001</v>
      </c>
      <c r="O426">
        <v>272898.77</v>
      </c>
      <c r="P426">
        <v>282558.40000000002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1245955.71</v>
      </c>
      <c r="W426">
        <v>0</v>
      </c>
      <c r="X426">
        <v>0</v>
      </c>
      <c r="Y426">
        <v>0</v>
      </c>
      <c r="Z426">
        <v>127428.8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686695.71</v>
      </c>
      <c r="AH426">
        <v>0</v>
      </c>
      <c r="AI426">
        <v>0</v>
      </c>
      <c r="AJ426">
        <v>6050254627.0322504</v>
      </c>
    </row>
    <row r="427" spans="1:36" x14ac:dyDescent="0.25">
      <c r="A427" t="s">
        <v>396</v>
      </c>
      <c r="B427" t="s">
        <v>22</v>
      </c>
      <c r="C427">
        <v>21803.98</v>
      </c>
      <c r="D427">
        <v>62246.559999999998</v>
      </c>
      <c r="G427">
        <v>0.32487300000000002</v>
      </c>
      <c r="H427">
        <v>0</v>
      </c>
      <c r="I427">
        <v>2304665.2799999998</v>
      </c>
      <c r="J427">
        <v>643032.05000000005</v>
      </c>
      <c r="K427">
        <v>0</v>
      </c>
      <c r="L427">
        <v>3553012.2</v>
      </c>
      <c r="M427">
        <v>0</v>
      </c>
      <c r="N427">
        <v>1125722.55</v>
      </c>
      <c r="O427">
        <v>313550.51</v>
      </c>
      <c r="P427">
        <v>284593.65000000002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1251068.47</v>
      </c>
      <c r="W427">
        <v>0</v>
      </c>
      <c r="X427">
        <v>0</v>
      </c>
      <c r="Y427">
        <v>0</v>
      </c>
      <c r="Z427">
        <v>127428.8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686699.99</v>
      </c>
      <c r="AH427">
        <v>0</v>
      </c>
      <c r="AI427">
        <v>0</v>
      </c>
      <c r="AJ427">
        <v>6187484716.5249996</v>
      </c>
    </row>
    <row r="428" spans="1:36" x14ac:dyDescent="0.25">
      <c r="A428" t="s">
        <v>397</v>
      </c>
      <c r="B428" t="s">
        <v>22</v>
      </c>
      <c r="C428">
        <v>10571.18</v>
      </c>
      <c r="D428">
        <v>30178.86</v>
      </c>
      <c r="G428">
        <v>0.15750800000000001</v>
      </c>
      <c r="H428">
        <v>0</v>
      </c>
      <c r="I428">
        <v>1117888.4099999999</v>
      </c>
      <c r="J428">
        <v>163686.57</v>
      </c>
      <c r="K428">
        <v>0</v>
      </c>
      <c r="L428">
        <v>936314.72</v>
      </c>
      <c r="M428">
        <v>0</v>
      </c>
      <c r="N428">
        <v>370296.54</v>
      </c>
      <c r="O428">
        <v>270353.17</v>
      </c>
      <c r="P428">
        <v>242068.53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497100.88</v>
      </c>
      <c r="W428">
        <v>0</v>
      </c>
      <c r="X428">
        <v>0</v>
      </c>
      <c r="Y428">
        <v>0</v>
      </c>
      <c r="Z428">
        <v>68627.600000000006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450697.87</v>
      </c>
      <c r="AH428">
        <v>0</v>
      </c>
      <c r="AI428">
        <v>0</v>
      </c>
      <c r="AJ428">
        <v>2277822126.6419001</v>
      </c>
    </row>
    <row r="429" spans="1:36" x14ac:dyDescent="0.25">
      <c r="A429" t="s">
        <v>398</v>
      </c>
      <c r="B429" t="s">
        <v>22</v>
      </c>
      <c r="D429">
        <v>30178.86</v>
      </c>
      <c r="E429">
        <v>10571.18</v>
      </c>
      <c r="G429">
        <v>0.15750800000000001</v>
      </c>
      <c r="H429">
        <v>0</v>
      </c>
      <c r="I429">
        <v>641721.53</v>
      </c>
      <c r="J429">
        <v>163686.57</v>
      </c>
      <c r="K429">
        <v>0</v>
      </c>
      <c r="L429">
        <v>936314.72</v>
      </c>
      <c r="M429">
        <v>0</v>
      </c>
      <c r="N429">
        <v>370254.34</v>
      </c>
      <c r="O429">
        <v>225641.89</v>
      </c>
      <c r="P429">
        <v>231147.47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497340.66</v>
      </c>
      <c r="W429">
        <v>0</v>
      </c>
      <c r="X429">
        <v>0</v>
      </c>
      <c r="Y429">
        <v>0</v>
      </c>
      <c r="Z429">
        <v>68627.600000000006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450692.55</v>
      </c>
      <c r="AH429">
        <v>0</v>
      </c>
      <c r="AI429">
        <v>0</v>
      </c>
      <c r="AJ429">
        <v>1947429574.0434</v>
      </c>
    </row>
    <row r="430" spans="1:36" x14ac:dyDescent="0.25">
      <c r="A430" t="s">
        <v>581</v>
      </c>
      <c r="B430" t="s">
        <v>22</v>
      </c>
      <c r="C430">
        <v>1722.77</v>
      </c>
      <c r="D430">
        <v>4918.2</v>
      </c>
      <c r="G430">
        <v>2.5669000000000001E-2</v>
      </c>
      <c r="H430">
        <v>0</v>
      </c>
      <c r="I430">
        <v>252880.21</v>
      </c>
      <c r="J430">
        <v>125722.95</v>
      </c>
      <c r="K430">
        <v>0</v>
      </c>
      <c r="L430">
        <v>179632.92</v>
      </c>
      <c r="M430">
        <v>0</v>
      </c>
      <c r="N430">
        <v>76392.56</v>
      </c>
      <c r="O430">
        <v>28810.17</v>
      </c>
      <c r="P430">
        <v>25933.119999999999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126633.28</v>
      </c>
      <c r="W430">
        <v>0</v>
      </c>
      <c r="X430">
        <v>0</v>
      </c>
      <c r="Y430">
        <v>0</v>
      </c>
      <c r="Z430">
        <v>25988.9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11104.25</v>
      </c>
      <c r="AH430">
        <v>0</v>
      </c>
      <c r="AI430">
        <v>0</v>
      </c>
      <c r="AJ430">
        <v>737120590.280532</v>
      </c>
    </row>
    <row r="431" spans="1:36" x14ac:dyDescent="0.25">
      <c r="A431" t="s">
        <v>583</v>
      </c>
      <c r="B431" t="s">
        <v>22</v>
      </c>
      <c r="D431">
        <v>4918.2</v>
      </c>
      <c r="E431">
        <v>1722.77</v>
      </c>
      <c r="G431">
        <v>2.5669000000000001E-2</v>
      </c>
      <c r="H431">
        <v>0</v>
      </c>
      <c r="I431">
        <v>194155.98</v>
      </c>
      <c r="J431">
        <v>125722.95</v>
      </c>
      <c r="K431">
        <v>0</v>
      </c>
      <c r="L431">
        <v>179632.92</v>
      </c>
      <c r="M431">
        <v>0</v>
      </c>
      <c r="N431">
        <v>76436.92</v>
      </c>
      <c r="O431">
        <v>24463.27</v>
      </c>
      <c r="P431">
        <v>25535.33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127239.53</v>
      </c>
      <c r="W431">
        <v>0</v>
      </c>
      <c r="X431">
        <v>0</v>
      </c>
      <c r="Y431">
        <v>0</v>
      </c>
      <c r="Z431">
        <v>25988.9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11150.86</v>
      </c>
      <c r="AH431">
        <v>0</v>
      </c>
      <c r="AI431">
        <v>0</v>
      </c>
      <c r="AJ431">
        <v>646106244.947914</v>
      </c>
    </row>
    <row r="432" spans="1:36" x14ac:dyDescent="0.25">
      <c r="A432" t="s">
        <v>615</v>
      </c>
      <c r="B432" t="s">
        <v>22</v>
      </c>
      <c r="D432">
        <v>4334.04</v>
      </c>
      <c r="E432">
        <v>1518.14</v>
      </c>
      <c r="G432">
        <v>2.2620000000000001E-2</v>
      </c>
      <c r="H432">
        <v>0</v>
      </c>
      <c r="I432">
        <v>157860.14000000001</v>
      </c>
      <c r="J432">
        <v>125722.95</v>
      </c>
      <c r="K432">
        <v>0</v>
      </c>
      <c r="L432">
        <v>179632.92</v>
      </c>
      <c r="M432">
        <v>0</v>
      </c>
      <c r="N432">
        <v>65352.47</v>
      </c>
      <c r="O432">
        <v>21370.7</v>
      </c>
      <c r="P432">
        <v>22367.98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105830.31</v>
      </c>
      <c r="W432">
        <v>0</v>
      </c>
      <c r="X432">
        <v>0</v>
      </c>
      <c r="Y432">
        <v>0</v>
      </c>
      <c r="Z432">
        <v>25988.9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11107.26</v>
      </c>
      <c r="AH432">
        <v>0</v>
      </c>
      <c r="AI432">
        <v>0</v>
      </c>
      <c r="AJ432">
        <v>549629082.63043201</v>
      </c>
    </row>
    <row r="433" spans="1:36" x14ac:dyDescent="0.25">
      <c r="A433" t="s">
        <v>617</v>
      </c>
      <c r="B433" t="s">
        <v>22</v>
      </c>
      <c r="C433">
        <v>1518.14</v>
      </c>
      <c r="D433">
        <v>4334.04</v>
      </c>
      <c r="G433">
        <v>2.2620000000000001E-2</v>
      </c>
      <c r="H433">
        <v>0</v>
      </c>
      <c r="I433">
        <v>211539.83</v>
      </c>
      <c r="J433">
        <v>125722.95</v>
      </c>
      <c r="K433">
        <v>0</v>
      </c>
      <c r="L433">
        <v>179632.92</v>
      </c>
      <c r="M433">
        <v>0</v>
      </c>
      <c r="N433">
        <v>65351.18</v>
      </c>
      <c r="O433">
        <v>25366.03</v>
      </c>
      <c r="P433">
        <v>22778.06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105754</v>
      </c>
      <c r="W433">
        <v>0</v>
      </c>
      <c r="X433">
        <v>0</v>
      </c>
      <c r="Y433">
        <v>0</v>
      </c>
      <c r="Z433">
        <v>25988.9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11096.96</v>
      </c>
      <c r="AH433">
        <v>0</v>
      </c>
      <c r="AI433">
        <v>0</v>
      </c>
      <c r="AJ433">
        <v>636203404.38372898</v>
      </c>
    </row>
    <row r="434" spans="1:36" x14ac:dyDescent="0.25">
      <c r="A434" t="s">
        <v>111</v>
      </c>
      <c r="B434" t="s">
        <v>23</v>
      </c>
      <c r="D434">
        <v>26603.98</v>
      </c>
      <c r="E434">
        <v>9318.9500000000007</v>
      </c>
      <c r="G434">
        <v>0.13885</v>
      </c>
      <c r="H434">
        <v>0</v>
      </c>
      <c r="I434">
        <v>937791.67</v>
      </c>
      <c r="J434">
        <v>774617.57</v>
      </c>
      <c r="K434">
        <v>0</v>
      </c>
      <c r="L434">
        <v>436518</v>
      </c>
      <c r="M434">
        <v>0</v>
      </c>
      <c r="N434">
        <v>310756.63</v>
      </c>
      <c r="O434">
        <v>132345.17000000001</v>
      </c>
      <c r="P434">
        <v>130157.44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584798.74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155570.84</v>
      </c>
      <c r="AH434">
        <v>0</v>
      </c>
      <c r="AI434">
        <v>0</v>
      </c>
      <c r="AJ434">
        <v>2854528161.7276502</v>
      </c>
    </row>
    <row r="435" spans="1:36" x14ac:dyDescent="0.25">
      <c r="A435" t="s">
        <v>112</v>
      </c>
      <c r="B435" t="s">
        <v>23</v>
      </c>
      <c r="C435">
        <v>923.61</v>
      </c>
      <c r="D435">
        <v>2636.73</v>
      </c>
      <c r="G435">
        <v>1.3761000000000001E-2</v>
      </c>
      <c r="H435">
        <v>0</v>
      </c>
      <c r="I435">
        <v>99153.3</v>
      </c>
      <c r="J435">
        <v>23792.959999999999</v>
      </c>
      <c r="K435">
        <v>0</v>
      </c>
      <c r="L435">
        <v>29466.65</v>
      </c>
      <c r="M435">
        <v>0</v>
      </c>
      <c r="N435">
        <v>120835.59</v>
      </c>
      <c r="O435">
        <v>17925.990000000002</v>
      </c>
      <c r="P435">
        <v>15434.87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2332.8000000000002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4192.6899999999996</v>
      </c>
      <c r="AH435">
        <v>0</v>
      </c>
      <c r="AI435">
        <v>0</v>
      </c>
      <c r="AJ435">
        <v>254326586.04495299</v>
      </c>
    </row>
    <row r="436" spans="1:36" x14ac:dyDescent="0.25">
      <c r="A436" t="s">
        <v>113</v>
      </c>
      <c r="B436" t="s">
        <v>23</v>
      </c>
      <c r="D436">
        <v>2636.73</v>
      </c>
      <c r="E436">
        <v>923.61</v>
      </c>
      <c r="G436">
        <v>1.3761000000000001E-2</v>
      </c>
      <c r="H436">
        <v>0</v>
      </c>
      <c r="I436">
        <v>63418.879999999997</v>
      </c>
      <c r="J436">
        <v>23792.959999999999</v>
      </c>
      <c r="K436">
        <v>0</v>
      </c>
      <c r="L436">
        <v>29466.65</v>
      </c>
      <c r="M436">
        <v>0</v>
      </c>
      <c r="N436">
        <v>120835.48</v>
      </c>
      <c r="O436">
        <v>13121.38</v>
      </c>
      <c r="P436">
        <v>14142.55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2332.81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4192.6899999999996</v>
      </c>
      <c r="AH436">
        <v>0</v>
      </c>
      <c r="AI436">
        <v>0</v>
      </c>
      <c r="AJ436">
        <v>194857469.575434</v>
      </c>
    </row>
    <row r="437" spans="1:36" x14ac:dyDescent="0.25">
      <c r="A437" t="s">
        <v>114</v>
      </c>
      <c r="B437" t="s">
        <v>23</v>
      </c>
      <c r="D437">
        <v>5826.28</v>
      </c>
      <c r="E437">
        <v>2040.85</v>
      </c>
      <c r="G437">
        <v>3.0408000000000001E-2</v>
      </c>
      <c r="H437">
        <v>0</v>
      </c>
      <c r="I437">
        <v>309825.28999999998</v>
      </c>
      <c r="J437">
        <v>201226.15</v>
      </c>
      <c r="K437">
        <v>0</v>
      </c>
      <c r="L437">
        <v>282049.05</v>
      </c>
      <c r="M437">
        <v>0</v>
      </c>
      <c r="N437">
        <v>154968.68</v>
      </c>
      <c r="O437">
        <v>27593.29</v>
      </c>
      <c r="P437">
        <v>28235.14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241104.64000000001</v>
      </c>
      <c r="W437">
        <v>0</v>
      </c>
      <c r="X437">
        <v>0</v>
      </c>
      <c r="Y437">
        <v>0</v>
      </c>
      <c r="Z437">
        <v>65854.75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111016.22</v>
      </c>
      <c r="AH437">
        <v>0</v>
      </c>
      <c r="AI437">
        <v>0</v>
      </c>
      <c r="AJ437">
        <v>732643941.55245101</v>
      </c>
    </row>
    <row r="438" spans="1:36" x14ac:dyDescent="0.25">
      <c r="A438" t="s">
        <v>115</v>
      </c>
      <c r="B438" t="s">
        <v>23</v>
      </c>
      <c r="C438">
        <v>9318.9500000000007</v>
      </c>
      <c r="D438">
        <v>26603.98</v>
      </c>
      <c r="G438">
        <v>0.13885</v>
      </c>
      <c r="H438">
        <v>0</v>
      </c>
      <c r="I438">
        <v>1028708.65</v>
      </c>
      <c r="J438">
        <v>774617.57</v>
      </c>
      <c r="K438">
        <v>0</v>
      </c>
      <c r="L438">
        <v>436518</v>
      </c>
      <c r="M438">
        <v>0</v>
      </c>
      <c r="N438">
        <v>310721.51</v>
      </c>
      <c r="O438">
        <v>150801.35999999999</v>
      </c>
      <c r="P438">
        <v>134122.23000000001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585010.42000000004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155568.39000000001</v>
      </c>
      <c r="AH438">
        <v>0</v>
      </c>
      <c r="AI438">
        <v>0</v>
      </c>
      <c r="AJ438">
        <v>2851889553.0986199</v>
      </c>
    </row>
    <row r="439" spans="1:36" x14ac:dyDescent="0.25">
      <c r="A439" t="s">
        <v>116</v>
      </c>
      <c r="B439" t="s">
        <v>23</v>
      </c>
      <c r="D439">
        <v>35383.86</v>
      </c>
      <c r="E439">
        <v>12394.4</v>
      </c>
      <c r="G439">
        <v>0.184673</v>
      </c>
      <c r="H439">
        <v>0</v>
      </c>
      <c r="I439">
        <v>1147545.45</v>
      </c>
      <c r="J439">
        <v>463682.79</v>
      </c>
      <c r="K439">
        <v>0</v>
      </c>
      <c r="L439">
        <v>831153.37</v>
      </c>
      <c r="M439">
        <v>0</v>
      </c>
      <c r="N439">
        <v>294899.56</v>
      </c>
      <c r="O439">
        <v>255843.08</v>
      </c>
      <c r="P439">
        <v>264562.90999999997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818586.02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101808.44</v>
      </c>
      <c r="AH439">
        <v>0</v>
      </c>
      <c r="AI439">
        <v>0</v>
      </c>
      <c r="AJ439">
        <v>2460020599.4757299</v>
      </c>
    </row>
    <row r="440" spans="1:36" x14ac:dyDescent="0.25">
      <c r="A440" t="s">
        <v>117</v>
      </c>
      <c r="B440" t="s">
        <v>23</v>
      </c>
      <c r="C440">
        <v>12394.4</v>
      </c>
      <c r="D440">
        <v>35383.86</v>
      </c>
      <c r="G440">
        <v>0.184673</v>
      </c>
      <c r="H440">
        <v>0</v>
      </c>
      <c r="I440">
        <v>1596406.4</v>
      </c>
      <c r="J440">
        <v>463682.79</v>
      </c>
      <c r="K440">
        <v>0</v>
      </c>
      <c r="L440">
        <v>831153.37</v>
      </c>
      <c r="M440">
        <v>0</v>
      </c>
      <c r="N440">
        <v>296285.09999999998</v>
      </c>
      <c r="O440">
        <v>294770.34000000003</v>
      </c>
      <c r="P440">
        <v>267815.71000000002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816726.22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101805.88</v>
      </c>
      <c r="AH440">
        <v>0</v>
      </c>
      <c r="AI440">
        <v>0</v>
      </c>
      <c r="AJ440">
        <v>3063401647.66085</v>
      </c>
    </row>
    <row r="441" spans="1:36" x14ac:dyDescent="0.25">
      <c r="A441" t="s">
        <v>118</v>
      </c>
      <c r="B441" t="s">
        <v>23</v>
      </c>
      <c r="C441">
        <v>2040.85</v>
      </c>
      <c r="D441">
        <v>5826.28</v>
      </c>
      <c r="G441">
        <v>3.0408000000000001E-2</v>
      </c>
      <c r="H441">
        <v>0</v>
      </c>
      <c r="I441">
        <v>360945.44</v>
      </c>
      <c r="J441">
        <v>201226.15</v>
      </c>
      <c r="K441">
        <v>0</v>
      </c>
      <c r="L441">
        <v>282049.05</v>
      </c>
      <c r="M441">
        <v>0</v>
      </c>
      <c r="N441">
        <v>154960.66</v>
      </c>
      <c r="O441">
        <v>30882.75</v>
      </c>
      <c r="P441">
        <v>28312.63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240961.44</v>
      </c>
      <c r="W441">
        <v>0</v>
      </c>
      <c r="X441">
        <v>0</v>
      </c>
      <c r="Y441">
        <v>0</v>
      </c>
      <c r="Z441">
        <v>65854.75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111015.61</v>
      </c>
      <c r="AH441">
        <v>0</v>
      </c>
      <c r="AI441">
        <v>0</v>
      </c>
      <c r="AJ441">
        <v>751913841.57759404</v>
      </c>
    </row>
    <row r="442" spans="1:36" x14ac:dyDescent="0.25">
      <c r="A442" t="s">
        <v>119</v>
      </c>
      <c r="B442" t="s">
        <v>23</v>
      </c>
      <c r="C442">
        <v>15428.13</v>
      </c>
      <c r="D442">
        <v>44044.61</v>
      </c>
      <c r="G442">
        <v>0.229875</v>
      </c>
      <c r="H442">
        <v>0</v>
      </c>
      <c r="I442">
        <v>2156110.13</v>
      </c>
      <c r="J442">
        <v>857863.39</v>
      </c>
      <c r="K442">
        <v>0</v>
      </c>
      <c r="L442">
        <v>1141299.43</v>
      </c>
      <c r="M442">
        <v>0</v>
      </c>
      <c r="N442">
        <v>623386.30000000005</v>
      </c>
      <c r="O442">
        <v>473706.58</v>
      </c>
      <c r="P442">
        <v>428939.12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1357933.99</v>
      </c>
      <c r="W442">
        <v>0</v>
      </c>
      <c r="X442">
        <v>0</v>
      </c>
      <c r="Y442">
        <v>0</v>
      </c>
      <c r="Z442">
        <v>43737.51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241881.52</v>
      </c>
      <c r="AH442">
        <v>0</v>
      </c>
      <c r="AI442">
        <v>0</v>
      </c>
      <c r="AJ442">
        <v>3723506922.7220702</v>
      </c>
    </row>
    <row r="443" spans="1:36" x14ac:dyDescent="0.25">
      <c r="A443" t="s">
        <v>120</v>
      </c>
      <c r="B443" t="s">
        <v>23</v>
      </c>
      <c r="D443">
        <v>44044.61</v>
      </c>
      <c r="E443">
        <v>15428.13</v>
      </c>
      <c r="G443">
        <v>0.229875</v>
      </c>
      <c r="H443">
        <v>0</v>
      </c>
      <c r="I443">
        <v>1867954.19</v>
      </c>
      <c r="J443">
        <v>857863.39</v>
      </c>
      <c r="K443">
        <v>0</v>
      </c>
      <c r="L443">
        <v>1141299.43</v>
      </c>
      <c r="M443">
        <v>0</v>
      </c>
      <c r="N443">
        <v>622451.42000000004</v>
      </c>
      <c r="O443">
        <v>408124.91</v>
      </c>
      <c r="P443">
        <v>414570.13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1361497.29</v>
      </c>
      <c r="W443">
        <v>0</v>
      </c>
      <c r="X443">
        <v>0</v>
      </c>
      <c r="Y443">
        <v>0</v>
      </c>
      <c r="Z443">
        <v>43737.51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241875.48</v>
      </c>
      <c r="AH443">
        <v>0</v>
      </c>
      <c r="AI443">
        <v>0</v>
      </c>
      <c r="AJ443">
        <v>3643502759.7139902</v>
      </c>
    </row>
    <row r="444" spans="1:36" x14ac:dyDescent="0.25">
      <c r="A444" t="s">
        <v>121</v>
      </c>
      <c r="B444" t="s">
        <v>23</v>
      </c>
      <c r="D444">
        <v>88225.95</v>
      </c>
      <c r="E444">
        <v>30904.15</v>
      </c>
      <c r="G444">
        <v>0.46046300000000001</v>
      </c>
      <c r="H444">
        <v>0</v>
      </c>
      <c r="I444">
        <v>3250487.06</v>
      </c>
      <c r="J444">
        <v>1274541.22</v>
      </c>
      <c r="K444">
        <v>0</v>
      </c>
      <c r="L444">
        <v>3553012.2</v>
      </c>
      <c r="M444">
        <v>0</v>
      </c>
      <c r="N444">
        <v>1474166.2</v>
      </c>
      <c r="O444">
        <v>463485.34</v>
      </c>
      <c r="P444">
        <v>480874.56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1886995.53</v>
      </c>
      <c r="W444">
        <v>0</v>
      </c>
      <c r="X444">
        <v>0</v>
      </c>
      <c r="Y444">
        <v>0</v>
      </c>
      <c r="Z444">
        <v>127428.8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647908.91</v>
      </c>
      <c r="AH444">
        <v>0</v>
      </c>
      <c r="AI444">
        <v>0</v>
      </c>
      <c r="AJ444">
        <v>8280822965.0825701</v>
      </c>
    </row>
    <row r="445" spans="1:36" x14ac:dyDescent="0.25">
      <c r="A445" t="s">
        <v>122</v>
      </c>
      <c r="B445" t="s">
        <v>23</v>
      </c>
      <c r="D445">
        <v>6335.18</v>
      </c>
      <c r="E445">
        <v>2219.11</v>
      </c>
      <c r="G445">
        <v>3.3064000000000003E-2</v>
      </c>
      <c r="H445">
        <v>0</v>
      </c>
      <c r="I445">
        <v>352129.46</v>
      </c>
      <c r="J445">
        <v>197273.03</v>
      </c>
      <c r="K445">
        <v>0</v>
      </c>
      <c r="L445">
        <v>258328.15</v>
      </c>
      <c r="M445">
        <v>0</v>
      </c>
      <c r="N445">
        <v>357884.67</v>
      </c>
      <c r="O445">
        <v>30021.48</v>
      </c>
      <c r="P445">
        <v>31339.99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127401.18</v>
      </c>
      <c r="W445">
        <v>0</v>
      </c>
      <c r="X445">
        <v>0</v>
      </c>
      <c r="Y445">
        <v>0</v>
      </c>
      <c r="Z445">
        <v>64094.3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204220.03</v>
      </c>
      <c r="AH445">
        <v>0</v>
      </c>
      <c r="AI445">
        <v>0</v>
      </c>
      <c r="AJ445">
        <v>1155857262.3527801</v>
      </c>
    </row>
    <row r="446" spans="1:36" x14ac:dyDescent="0.25">
      <c r="A446" t="s">
        <v>123</v>
      </c>
      <c r="B446" t="s">
        <v>23</v>
      </c>
      <c r="C446">
        <v>30904.15</v>
      </c>
      <c r="D446">
        <v>88225.95</v>
      </c>
      <c r="G446">
        <v>0.46046300000000001</v>
      </c>
      <c r="H446">
        <v>0</v>
      </c>
      <c r="I446">
        <v>3966328.78</v>
      </c>
      <c r="J446">
        <v>1274541.22</v>
      </c>
      <c r="K446">
        <v>0</v>
      </c>
      <c r="L446">
        <v>3553012.2</v>
      </c>
      <c r="M446">
        <v>0</v>
      </c>
      <c r="N446">
        <v>1475492.95</v>
      </c>
      <c r="O446">
        <v>528562.67000000004</v>
      </c>
      <c r="P446">
        <v>483707.46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1884662.41</v>
      </c>
      <c r="W446">
        <v>0</v>
      </c>
      <c r="X446">
        <v>0</v>
      </c>
      <c r="Y446">
        <v>0</v>
      </c>
      <c r="Z446">
        <v>127428.8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647903.98</v>
      </c>
      <c r="AH446">
        <v>0</v>
      </c>
      <c r="AI446">
        <v>0</v>
      </c>
      <c r="AJ446">
        <v>8624778445.3816109</v>
      </c>
    </row>
    <row r="447" spans="1:36" x14ac:dyDescent="0.25">
      <c r="A447" t="s">
        <v>124</v>
      </c>
      <c r="B447" t="s">
        <v>23</v>
      </c>
      <c r="C447">
        <v>13632.7</v>
      </c>
      <c r="D447">
        <v>38918.980000000003</v>
      </c>
      <c r="G447">
        <v>0.203123</v>
      </c>
      <c r="H447">
        <v>0</v>
      </c>
      <c r="I447">
        <v>1583744.17</v>
      </c>
      <c r="J447">
        <v>350734.07</v>
      </c>
      <c r="K447">
        <v>0</v>
      </c>
      <c r="L447">
        <v>936314.72</v>
      </c>
      <c r="M447">
        <v>0</v>
      </c>
      <c r="N447">
        <v>419976.82</v>
      </c>
      <c r="O447">
        <v>355528.33</v>
      </c>
      <c r="P447">
        <v>325296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389960.24</v>
      </c>
      <c r="W447">
        <v>0</v>
      </c>
      <c r="X447">
        <v>0</v>
      </c>
      <c r="Y447">
        <v>0</v>
      </c>
      <c r="Z447">
        <v>68627.600000000006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424533.3</v>
      </c>
      <c r="AH447">
        <v>0</v>
      </c>
      <c r="AI447">
        <v>0</v>
      </c>
      <c r="AJ447">
        <v>3113350640.7620001</v>
      </c>
    </row>
    <row r="448" spans="1:36" x14ac:dyDescent="0.25">
      <c r="A448" t="s">
        <v>127</v>
      </c>
      <c r="B448" t="s">
        <v>23</v>
      </c>
      <c r="C448">
        <v>2219.11</v>
      </c>
      <c r="D448">
        <v>6335.18</v>
      </c>
      <c r="G448">
        <v>3.3064000000000003E-2</v>
      </c>
      <c r="H448">
        <v>0</v>
      </c>
      <c r="I448">
        <v>412197.4</v>
      </c>
      <c r="J448">
        <v>197273.03</v>
      </c>
      <c r="K448">
        <v>0</v>
      </c>
      <c r="L448">
        <v>258328.15</v>
      </c>
      <c r="M448">
        <v>0</v>
      </c>
      <c r="N448">
        <v>357421.81</v>
      </c>
      <c r="O448">
        <v>34424.26</v>
      </c>
      <c r="P448">
        <v>31540.07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127457.62</v>
      </c>
      <c r="W448">
        <v>0</v>
      </c>
      <c r="X448">
        <v>0</v>
      </c>
      <c r="Y448">
        <v>0</v>
      </c>
      <c r="Z448">
        <v>64094.3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204221.71</v>
      </c>
      <c r="AH448">
        <v>0</v>
      </c>
      <c r="AI448">
        <v>0</v>
      </c>
      <c r="AJ448">
        <v>1217068611.2852499</v>
      </c>
    </row>
    <row r="449" spans="1:36" x14ac:dyDescent="0.25">
      <c r="A449" t="s">
        <v>129</v>
      </c>
      <c r="B449" t="s">
        <v>23</v>
      </c>
      <c r="D449">
        <v>38918.980000000003</v>
      </c>
      <c r="E449">
        <v>13632.7</v>
      </c>
      <c r="G449">
        <v>0.203123</v>
      </c>
      <c r="H449">
        <v>0</v>
      </c>
      <c r="I449">
        <v>978290.53</v>
      </c>
      <c r="J449">
        <v>350734.07</v>
      </c>
      <c r="K449">
        <v>0</v>
      </c>
      <c r="L449">
        <v>936314.72</v>
      </c>
      <c r="M449">
        <v>0</v>
      </c>
      <c r="N449">
        <v>419937.15</v>
      </c>
      <c r="O449">
        <v>297478.71000000002</v>
      </c>
      <c r="P449">
        <v>314677.96000000002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390302.86</v>
      </c>
      <c r="W449">
        <v>0</v>
      </c>
      <c r="X449">
        <v>0</v>
      </c>
      <c r="Y449">
        <v>0</v>
      </c>
      <c r="Z449">
        <v>68627.600000000006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424513.75</v>
      </c>
      <c r="AH449">
        <v>0</v>
      </c>
      <c r="AI449">
        <v>0</v>
      </c>
      <c r="AJ449">
        <v>2568259775.05832</v>
      </c>
    </row>
    <row r="450" spans="1:36" x14ac:dyDescent="0.25">
      <c r="A450" t="s">
        <v>367</v>
      </c>
      <c r="B450" t="s">
        <v>23</v>
      </c>
      <c r="D450">
        <v>19057.810000000001</v>
      </c>
      <c r="E450">
        <v>6675.65</v>
      </c>
      <c r="G450">
        <v>9.9464999999999998E-2</v>
      </c>
      <c r="H450">
        <v>0</v>
      </c>
      <c r="I450">
        <v>690318.44</v>
      </c>
      <c r="J450">
        <v>394508.4</v>
      </c>
      <c r="K450">
        <v>0</v>
      </c>
      <c r="L450">
        <v>436518</v>
      </c>
      <c r="M450">
        <v>0</v>
      </c>
      <c r="N450">
        <v>235543.14</v>
      </c>
      <c r="O450">
        <v>87369.37</v>
      </c>
      <c r="P450">
        <v>87751.93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387964.41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155561.60000000001</v>
      </c>
      <c r="AH450">
        <v>0</v>
      </c>
      <c r="AI450">
        <v>0</v>
      </c>
      <c r="AJ450">
        <v>2008163191.40236</v>
      </c>
    </row>
    <row r="451" spans="1:36" x14ac:dyDescent="0.25">
      <c r="A451" t="s">
        <v>368</v>
      </c>
      <c r="B451" t="s">
        <v>23</v>
      </c>
      <c r="D451">
        <v>1484.5</v>
      </c>
      <c r="E451">
        <v>520</v>
      </c>
      <c r="G451">
        <v>7.7479999999999997E-3</v>
      </c>
      <c r="H451">
        <v>0</v>
      </c>
      <c r="I451">
        <v>31306.78</v>
      </c>
      <c r="J451">
        <v>12134.67</v>
      </c>
      <c r="K451">
        <v>0</v>
      </c>
      <c r="L451">
        <v>29466.65</v>
      </c>
      <c r="M451">
        <v>0</v>
      </c>
      <c r="N451">
        <v>60151.199999999997</v>
      </c>
      <c r="O451">
        <v>5986.14</v>
      </c>
      <c r="P451">
        <v>6422.37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4149.17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4192.59</v>
      </c>
      <c r="AH451">
        <v>0</v>
      </c>
      <c r="AI451">
        <v>0</v>
      </c>
      <c r="AJ451">
        <v>105743871.94374301</v>
      </c>
    </row>
    <row r="452" spans="1:36" x14ac:dyDescent="0.25">
      <c r="A452" t="s">
        <v>369</v>
      </c>
      <c r="B452" t="s">
        <v>23</v>
      </c>
      <c r="C452">
        <v>6675.65</v>
      </c>
      <c r="D452">
        <v>19057.810000000001</v>
      </c>
      <c r="G452">
        <v>9.9464999999999998E-2</v>
      </c>
      <c r="H452">
        <v>0</v>
      </c>
      <c r="I452">
        <v>722905.86</v>
      </c>
      <c r="J452">
        <v>394508.4</v>
      </c>
      <c r="K452">
        <v>0</v>
      </c>
      <c r="L452">
        <v>436518</v>
      </c>
      <c r="M452">
        <v>0</v>
      </c>
      <c r="N452">
        <v>235536.32</v>
      </c>
      <c r="O452">
        <v>96929.31</v>
      </c>
      <c r="P452">
        <v>88611.76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388297.31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155562.10999999999</v>
      </c>
      <c r="AH452">
        <v>0</v>
      </c>
      <c r="AI452">
        <v>0</v>
      </c>
      <c r="AJ452">
        <v>2005814035.0192599</v>
      </c>
    </row>
    <row r="453" spans="1:36" x14ac:dyDescent="0.25">
      <c r="A453" t="s">
        <v>370</v>
      </c>
      <c r="B453" t="s">
        <v>23</v>
      </c>
      <c r="C453">
        <v>520</v>
      </c>
      <c r="D453">
        <v>1484.5</v>
      </c>
      <c r="G453">
        <v>7.7479999999999997E-3</v>
      </c>
      <c r="H453">
        <v>0</v>
      </c>
      <c r="I453">
        <v>48878.06</v>
      </c>
      <c r="J453">
        <v>12134.67</v>
      </c>
      <c r="K453">
        <v>0</v>
      </c>
      <c r="L453">
        <v>29466.65</v>
      </c>
      <c r="M453">
        <v>0</v>
      </c>
      <c r="N453">
        <v>60151.47</v>
      </c>
      <c r="O453">
        <v>7958.09</v>
      </c>
      <c r="P453">
        <v>6857.74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4149.17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4192.59</v>
      </c>
      <c r="AH453">
        <v>0</v>
      </c>
      <c r="AI453">
        <v>0</v>
      </c>
      <c r="AJ453">
        <v>128624437.30158401</v>
      </c>
    </row>
    <row r="454" spans="1:36" x14ac:dyDescent="0.25">
      <c r="A454" t="s">
        <v>371</v>
      </c>
      <c r="B454" t="s">
        <v>23</v>
      </c>
      <c r="D454">
        <v>23966.55</v>
      </c>
      <c r="E454">
        <v>8395.1</v>
      </c>
      <c r="G454">
        <v>0.125085</v>
      </c>
      <c r="H454">
        <v>0</v>
      </c>
      <c r="I454">
        <v>852772.72</v>
      </c>
      <c r="J454">
        <v>239542.44</v>
      </c>
      <c r="K454">
        <v>0</v>
      </c>
      <c r="L454">
        <v>831153.37</v>
      </c>
      <c r="M454">
        <v>0</v>
      </c>
      <c r="N454">
        <v>246764.57</v>
      </c>
      <c r="O454">
        <v>176851.74</v>
      </c>
      <c r="P454">
        <v>181172.8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485100.97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101797.75999999999</v>
      </c>
      <c r="AH454">
        <v>0</v>
      </c>
      <c r="AI454">
        <v>0</v>
      </c>
      <c r="AJ454">
        <v>1883512318.1679399</v>
      </c>
    </row>
    <row r="455" spans="1:36" x14ac:dyDescent="0.25">
      <c r="A455" t="s">
        <v>372</v>
      </c>
      <c r="B455" t="s">
        <v>23</v>
      </c>
      <c r="C455">
        <v>8395.1</v>
      </c>
      <c r="D455">
        <v>23966.55</v>
      </c>
      <c r="G455">
        <v>0.125085</v>
      </c>
      <c r="H455">
        <v>0</v>
      </c>
      <c r="I455">
        <v>1082352.31</v>
      </c>
      <c r="J455">
        <v>239542.44</v>
      </c>
      <c r="K455">
        <v>0</v>
      </c>
      <c r="L455">
        <v>831153.37</v>
      </c>
      <c r="M455">
        <v>0</v>
      </c>
      <c r="N455">
        <v>246869.27</v>
      </c>
      <c r="O455">
        <v>204096.18</v>
      </c>
      <c r="P455">
        <v>186194.9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483076.83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101799.69</v>
      </c>
      <c r="AH455">
        <v>0</v>
      </c>
      <c r="AI455">
        <v>0</v>
      </c>
      <c r="AJ455">
        <v>2097916723.2739301</v>
      </c>
    </row>
    <row r="456" spans="1:36" x14ac:dyDescent="0.25">
      <c r="A456" t="s">
        <v>373</v>
      </c>
      <c r="B456" t="s">
        <v>23</v>
      </c>
      <c r="D456">
        <v>4398.8</v>
      </c>
      <c r="E456">
        <v>1540.83</v>
      </c>
      <c r="G456">
        <v>2.2957999999999999E-2</v>
      </c>
      <c r="H456">
        <v>0</v>
      </c>
      <c r="I456">
        <v>199930.79</v>
      </c>
      <c r="J456">
        <v>103288.37</v>
      </c>
      <c r="K456">
        <v>0</v>
      </c>
      <c r="L456">
        <v>282049.05</v>
      </c>
      <c r="M456">
        <v>0</v>
      </c>
      <c r="N456">
        <v>105789.61</v>
      </c>
      <c r="O456">
        <v>19225.169999999998</v>
      </c>
      <c r="P456">
        <v>20503.27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152730.59</v>
      </c>
      <c r="W456">
        <v>0</v>
      </c>
      <c r="X456">
        <v>0</v>
      </c>
      <c r="Y456">
        <v>0</v>
      </c>
      <c r="Z456">
        <v>65854.75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111011.13</v>
      </c>
      <c r="AH456">
        <v>0</v>
      </c>
      <c r="AI456">
        <v>0</v>
      </c>
      <c r="AJ456">
        <v>478700545.65509701</v>
      </c>
    </row>
    <row r="457" spans="1:36" x14ac:dyDescent="0.25">
      <c r="A457" t="s">
        <v>374</v>
      </c>
      <c r="B457" t="s">
        <v>23</v>
      </c>
      <c r="C457">
        <v>1540.83</v>
      </c>
      <c r="D457">
        <v>4398.8</v>
      </c>
      <c r="G457">
        <v>2.2957999999999999E-2</v>
      </c>
      <c r="H457">
        <v>0</v>
      </c>
      <c r="I457">
        <v>259182.22</v>
      </c>
      <c r="J457">
        <v>103288.37</v>
      </c>
      <c r="K457">
        <v>0</v>
      </c>
      <c r="L457">
        <v>282049.05</v>
      </c>
      <c r="M457">
        <v>0</v>
      </c>
      <c r="N457">
        <v>105782.36</v>
      </c>
      <c r="O457">
        <v>22476.46</v>
      </c>
      <c r="P457">
        <v>20547.5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152637.39000000001</v>
      </c>
      <c r="W457">
        <v>0</v>
      </c>
      <c r="X457">
        <v>0</v>
      </c>
      <c r="Y457">
        <v>0</v>
      </c>
      <c r="Z457">
        <v>65854.75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111011.06</v>
      </c>
      <c r="AH457">
        <v>0</v>
      </c>
      <c r="AI457">
        <v>0</v>
      </c>
      <c r="AJ457">
        <v>547613522.339059</v>
      </c>
    </row>
    <row r="458" spans="1:36" x14ac:dyDescent="0.25">
      <c r="A458" t="s">
        <v>375</v>
      </c>
      <c r="B458" t="s">
        <v>23</v>
      </c>
      <c r="D458">
        <v>36671.870000000003</v>
      </c>
      <c r="E458">
        <v>12845.57</v>
      </c>
      <c r="G458">
        <v>0.19139500000000001</v>
      </c>
      <c r="H458">
        <v>0</v>
      </c>
      <c r="I458">
        <v>1505011.84</v>
      </c>
      <c r="J458">
        <v>626942.71</v>
      </c>
      <c r="K458">
        <v>0</v>
      </c>
      <c r="L458">
        <v>1141299.43</v>
      </c>
      <c r="M458">
        <v>0</v>
      </c>
      <c r="N458">
        <v>468143.72</v>
      </c>
      <c r="O458">
        <v>339029.09</v>
      </c>
      <c r="P458">
        <v>342201.04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877105.94</v>
      </c>
      <c r="W458">
        <v>0</v>
      </c>
      <c r="X458">
        <v>0</v>
      </c>
      <c r="Y458">
        <v>0</v>
      </c>
      <c r="Z458">
        <v>43737.51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241875.72</v>
      </c>
      <c r="AH458">
        <v>0</v>
      </c>
      <c r="AI458">
        <v>0</v>
      </c>
      <c r="AJ458">
        <v>2992796422.0636301</v>
      </c>
    </row>
    <row r="459" spans="1:36" x14ac:dyDescent="0.25">
      <c r="A459" t="s">
        <v>376</v>
      </c>
      <c r="B459" t="s">
        <v>23</v>
      </c>
      <c r="C459">
        <v>12845.57</v>
      </c>
      <c r="D459">
        <v>36671.870000000003</v>
      </c>
      <c r="G459">
        <v>0.19139500000000001</v>
      </c>
      <c r="H459">
        <v>0</v>
      </c>
      <c r="I459">
        <v>1776299.41</v>
      </c>
      <c r="J459">
        <v>626942.71</v>
      </c>
      <c r="K459">
        <v>0</v>
      </c>
      <c r="L459">
        <v>1141299.43</v>
      </c>
      <c r="M459">
        <v>0</v>
      </c>
      <c r="N459">
        <v>468815.03</v>
      </c>
      <c r="O459">
        <v>394016.12</v>
      </c>
      <c r="P459">
        <v>354792.61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874587.13</v>
      </c>
      <c r="W459">
        <v>0</v>
      </c>
      <c r="X459">
        <v>0</v>
      </c>
      <c r="Y459">
        <v>0</v>
      </c>
      <c r="Z459">
        <v>43737.51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241882.4</v>
      </c>
      <c r="AH459">
        <v>0</v>
      </c>
      <c r="AI459">
        <v>0</v>
      </c>
      <c r="AJ459">
        <v>2984038942.5895901</v>
      </c>
    </row>
    <row r="460" spans="1:36" x14ac:dyDescent="0.25">
      <c r="A460" t="s">
        <v>377</v>
      </c>
      <c r="B460" t="s">
        <v>23</v>
      </c>
      <c r="D460">
        <v>4623.16</v>
      </c>
      <c r="E460">
        <v>1619.42</v>
      </c>
      <c r="G460">
        <v>2.4129000000000001E-2</v>
      </c>
      <c r="H460">
        <v>0</v>
      </c>
      <c r="I460">
        <v>253537.07</v>
      </c>
      <c r="J460">
        <v>94437.9</v>
      </c>
      <c r="K460">
        <v>0</v>
      </c>
      <c r="L460">
        <v>258328.15</v>
      </c>
      <c r="M460">
        <v>0</v>
      </c>
      <c r="N460">
        <v>265274.09999999998</v>
      </c>
      <c r="O460">
        <v>20220.84</v>
      </c>
      <c r="P460">
        <v>21983.29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126427.68</v>
      </c>
      <c r="W460">
        <v>0</v>
      </c>
      <c r="X460">
        <v>0</v>
      </c>
      <c r="Y460">
        <v>0</v>
      </c>
      <c r="Z460">
        <v>64094.3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204201.06</v>
      </c>
      <c r="AH460">
        <v>0</v>
      </c>
      <c r="AI460">
        <v>0</v>
      </c>
      <c r="AJ460">
        <v>832264405.61660302</v>
      </c>
    </row>
    <row r="461" spans="1:36" x14ac:dyDescent="0.25">
      <c r="A461" t="s">
        <v>378</v>
      </c>
      <c r="B461" t="s">
        <v>23</v>
      </c>
      <c r="D461">
        <v>64879.25</v>
      </c>
      <c r="E461">
        <v>22726.17</v>
      </c>
      <c r="G461">
        <v>0.33861400000000003</v>
      </c>
      <c r="H461">
        <v>0</v>
      </c>
      <c r="I461">
        <v>2323159.13</v>
      </c>
      <c r="J461">
        <v>643032.05000000005</v>
      </c>
      <c r="K461">
        <v>0</v>
      </c>
      <c r="L461">
        <v>3553012.2</v>
      </c>
      <c r="M461">
        <v>0</v>
      </c>
      <c r="N461">
        <v>1207425.29</v>
      </c>
      <c r="O461">
        <v>309865.96000000002</v>
      </c>
      <c r="P461">
        <v>324778.65000000002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1328988.2</v>
      </c>
      <c r="W461">
        <v>0</v>
      </c>
      <c r="X461">
        <v>0</v>
      </c>
      <c r="Y461">
        <v>0</v>
      </c>
      <c r="Z461">
        <v>127428.8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647645.59</v>
      </c>
      <c r="AH461">
        <v>0</v>
      </c>
      <c r="AI461">
        <v>0</v>
      </c>
      <c r="AJ461">
        <v>6370996952.3000898</v>
      </c>
    </row>
    <row r="462" spans="1:36" x14ac:dyDescent="0.25">
      <c r="A462" t="s">
        <v>379</v>
      </c>
      <c r="B462" t="s">
        <v>23</v>
      </c>
      <c r="C462">
        <v>1619.42</v>
      </c>
      <c r="D462">
        <v>4623.16</v>
      </c>
      <c r="G462">
        <v>2.4129000000000001E-2</v>
      </c>
      <c r="H462">
        <v>0</v>
      </c>
      <c r="I462">
        <v>303516.92</v>
      </c>
      <c r="J462">
        <v>94437.9</v>
      </c>
      <c r="K462">
        <v>0</v>
      </c>
      <c r="L462">
        <v>258328.15</v>
      </c>
      <c r="M462">
        <v>0</v>
      </c>
      <c r="N462">
        <v>265251.34999999998</v>
      </c>
      <c r="O462">
        <v>23648.31</v>
      </c>
      <c r="P462">
        <v>22086.82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126164.76</v>
      </c>
      <c r="W462">
        <v>0</v>
      </c>
      <c r="X462">
        <v>0</v>
      </c>
      <c r="Y462">
        <v>0</v>
      </c>
      <c r="Z462">
        <v>64094.3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204198.84</v>
      </c>
      <c r="AH462">
        <v>0</v>
      </c>
      <c r="AI462">
        <v>0</v>
      </c>
      <c r="AJ462">
        <v>911075877.73142302</v>
      </c>
    </row>
    <row r="463" spans="1:36" x14ac:dyDescent="0.25">
      <c r="A463" t="s">
        <v>380</v>
      </c>
      <c r="B463" t="s">
        <v>23</v>
      </c>
      <c r="C463">
        <v>22726.17</v>
      </c>
      <c r="D463">
        <v>64879.25</v>
      </c>
      <c r="G463">
        <v>0.33861400000000003</v>
      </c>
      <c r="H463">
        <v>0</v>
      </c>
      <c r="I463">
        <v>2850866.64</v>
      </c>
      <c r="J463">
        <v>643032.05000000005</v>
      </c>
      <c r="K463">
        <v>0</v>
      </c>
      <c r="L463">
        <v>3553012.2</v>
      </c>
      <c r="M463">
        <v>0</v>
      </c>
      <c r="N463">
        <v>1207123.1599999999</v>
      </c>
      <c r="O463">
        <v>355267.86</v>
      </c>
      <c r="P463">
        <v>326210.36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1334637.52</v>
      </c>
      <c r="W463">
        <v>0</v>
      </c>
      <c r="X463">
        <v>0</v>
      </c>
      <c r="Y463">
        <v>0</v>
      </c>
      <c r="Z463">
        <v>127428.8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647621.04</v>
      </c>
      <c r="AH463">
        <v>0</v>
      </c>
      <c r="AI463">
        <v>0</v>
      </c>
      <c r="AJ463">
        <v>6493868594.1099796</v>
      </c>
    </row>
    <row r="464" spans="1:36" x14ac:dyDescent="0.25">
      <c r="A464" t="s">
        <v>381</v>
      </c>
      <c r="B464" t="s">
        <v>23</v>
      </c>
      <c r="D464">
        <v>31077.47</v>
      </c>
      <c r="E464">
        <v>10885.94</v>
      </c>
      <c r="G464">
        <v>0.16219800000000001</v>
      </c>
      <c r="H464">
        <v>0</v>
      </c>
      <c r="I464">
        <v>729331.83</v>
      </c>
      <c r="J464">
        <v>163686.57</v>
      </c>
      <c r="K464">
        <v>0</v>
      </c>
      <c r="L464">
        <v>936314.72</v>
      </c>
      <c r="M464">
        <v>0</v>
      </c>
      <c r="N464">
        <v>340195.79</v>
      </c>
      <c r="O464">
        <v>238223.71</v>
      </c>
      <c r="P464">
        <v>251702.26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313242.25</v>
      </c>
      <c r="W464">
        <v>0</v>
      </c>
      <c r="X464">
        <v>0</v>
      </c>
      <c r="Y464">
        <v>0</v>
      </c>
      <c r="Z464">
        <v>68627.600000000006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424441.65</v>
      </c>
      <c r="AH464">
        <v>0</v>
      </c>
      <c r="AI464">
        <v>0</v>
      </c>
      <c r="AJ464">
        <v>1921315381.44715</v>
      </c>
    </row>
    <row r="465" spans="1:36" x14ac:dyDescent="0.25">
      <c r="A465" t="s">
        <v>382</v>
      </c>
      <c r="B465" t="s">
        <v>23</v>
      </c>
      <c r="C465">
        <v>10885.94</v>
      </c>
      <c r="D465">
        <v>31077.47</v>
      </c>
      <c r="G465">
        <v>0.16219800000000001</v>
      </c>
      <c r="H465">
        <v>0</v>
      </c>
      <c r="I465">
        <v>1230716.32</v>
      </c>
      <c r="J465">
        <v>163686.57</v>
      </c>
      <c r="K465">
        <v>0</v>
      </c>
      <c r="L465">
        <v>936314.72</v>
      </c>
      <c r="M465">
        <v>0</v>
      </c>
      <c r="N465">
        <v>340387.05</v>
      </c>
      <c r="O465">
        <v>284660.38</v>
      </c>
      <c r="P465">
        <v>260136.23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313123.95</v>
      </c>
      <c r="W465">
        <v>0</v>
      </c>
      <c r="X465">
        <v>0</v>
      </c>
      <c r="Y465">
        <v>0</v>
      </c>
      <c r="Z465">
        <v>68627.600000000006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424443.34</v>
      </c>
      <c r="AH465">
        <v>0</v>
      </c>
      <c r="AI465">
        <v>0</v>
      </c>
      <c r="AJ465">
        <v>2327306014.9421401</v>
      </c>
    </row>
    <row r="466" spans="1:36" x14ac:dyDescent="0.25">
      <c r="A466" t="s">
        <v>582</v>
      </c>
      <c r="B466" t="s">
        <v>23</v>
      </c>
      <c r="D466">
        <v>5150.04</v>
      </c>
      <c r="E466">
        <v>1803.98</v>
      </c>
      <c r="G466">
        <v>2.6879E-2</v>
      </c>
      <c r="H466">
        <v>0</v>
      </c>
      <c r="I466">
        <v>246553.97</v>
      </c>
      <c r="J466">
        <v>125722.95</v>
      </c>
      <c r="K466">
        <v>0</v>
      </c>
      <c r="L466">
        <v>179632.92</v>
      </c>
      <c r="M466">
        <v>0</v>
      </c>
      <c r="N466">
        <v>89902.25</v>
      </c>
      <c r="O466">
        <v>27404.74</v>
      </c>
      <c r="P466">
        <v>28954.85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128378.19</v>
      </c>
      <c r="W466">
        <v>0</v>
      </c>
      <c r="X466">
        <v>0</v>
      </c>
      <c r="Y466">
        <v>0</v>
      </c>
      <c r="Z466">
        <v>25988.9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10573.56</v>
      </c>
      <c r="AH466">
        <v>0</v>
      </c>
      <c r="AI466">
        <v>0</v>
      </c>
      <c r="AJ466">
        <v>732573305.16424406</v>
      </c>
    </row>
    <row r="467" spans="1:36" x14ac:dyDescent="0.25">
      <c r="A467" t="s">
        <v>584</v>
      </c>
      <c r="B467" t="s">
        <v>23</v>
      </c>
      <c r="C467">
        <v>1803.98</v>
      </c>
      <c r="D467">
        <v>5150.04</v>
      </c>
      <c r="G467">
        <v>2.6879E-2</v>
      </c>
      <c r="H467">
        <v>0</v>
      </c>
      <c r="I467">
        <v>314839.34000000003</v>
      </c>
      <c r="J467">
        <v>125722.95</v>
      </c>
      <c r="K467">
        <v>0</v>
      </c>
      <c r="L467">
        <v>179632.92</v>
      </c>
      <c r="M467">
        <v>0</v>
      </c>
      <c r="N467">
        <v>89854.13</v>
      </c>
      <c r="O467">
        <v>32055.55</v>
      </c>
      <c r="P467">
        <v>29266.5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127567.56</v>
      </c>
      <c r="W467">
        <v>0</v>
      </c>
      <c r="X467">
        <v>0</v>
      </c>
      <c r="Y467">
        <v>0</v>
      </c>
      <c r="Z467">
        <v>25988.9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10568.12</v>
      </c>
      <c r="AH467">
        <v>0</v>
      </c>
      <c r="AI467">
        <v>0</v>
      </c>
      <c r="AJ467">
        <v>795306813.98017395</v>
      </c>
    </row>
    <row r="468" spans="1:36" x14ac:dyDescent="0.25">
      <c r="A468" t="s">
        <v>612</v>
      </c>
      <c r="B468" t="s">
        <v>23</v>
      </c>
      <c r="D468">
        <v>4521.82</v>
      </c>
      <c r="E468">
        <v>1583.92</v>
      </c>
      <c r="G468">
        <v>2.3599999999999999E-2</v>
      </c>
      <c r="H468">
        <v>0</v>
      </c>
      <c r="I468">
        <v>195080.51</v>
      </c>
      <c r="J468">
        <v>125722.95</v>
      </c>
      <c r="K468">
        <v>0</v>
      </c>
      <c r="L468">
        <v>179632.92</v>
      </c>
      <c r="M468">
        <v>0</v>
      </c>
      <c r="N468">
        <v>74775.539999999994</v>
      </c>
      <c r="O468">
        <v>23804.46</v>
      </c>
      <c r="P468">
        <v>25296.84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112889.15</v>
      </c>
      <c r="W468">
        <v>0</v>
      </c>
      <c r="X468">
        <v>0</v>
      </c>
      <c r="Y468">
        <v>0</v>
      </c>
      <c r="Z468">
        <v>25988.9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10563.33</v>
      </c>
      <c r="AH468">
        <v>0</v>
      </c>
      <c r="AI468">
        <v>0</v>
      </c>
      <c r="AJ468">
        <v>613110395.49066806</v>
      </c>
    </row>
    <row r="469" spans="1:36" x14ac:dyDescent="0.25">
      <c r="A469" t="s">
        <v>614</v>
      </c>
      <c r="B469" t="s">
        <v>23</v>
      </c>
      <c r="C469">
        <v>1583.92</v>
      </c>
      <c r="D469">
        <v>4521.82</v>
      </c>
      <c r="G469">
        <v>2.3599999999999999E-2</v>
      </c>
      <c r="H469">
        <v>0</v>
      </c>
      <c r="I469">
        <v>257903.84</v>
      </c>
      <c r="J469">
        <v>125722.95</v>
      </c>
      <c r="K469">
        <v>0</v>
      </c>
      <c r="L469">
        <v>179632.92</v>
      </c>
      <c r="M469">
        <v>0</v>
      </c>
      <c r="N469">
        <v>74757.41</v>
      </c>
      <c r="O469">
        <v>28081.25</v>
      </c>
      <c r="P469">
        <v>25624.14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112613.94</v>
      </c>
      <c r="W469">
        <v>0</v>
      </c>
      <c r="X469">
        <v>0</v>
      </c>
      <c r="Y469">
        <v>0</v>
      </c>
      <c r="Z469">
        <v>25988.9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10534.92</v>
      </c>
      <c r="AH469">
        <v>0</v>
      </c>
      <c r="AI469">
        <v>0</v>
      </c>
      <c r="AJ469">
        <v>676485940.14308596</v>
      </c>
    </row>
    <row r="470" spans="1:36" x14ac:dyDescent="0.25">
      <c r="A470" t="s">
        <v>93</v>
      </c>
      <c r="B470" t="s">
        <v>24</v>
      </c>
      <c r="D470">
        <v>25977.47</v>
      </c>
      <c r="E470">
        <v>9099.49</v>
      </c>
      <c r="G470">
        <v>0.13558000000000001</v>
      </c>
      <c r="H470">
        <v>0</v>
      </c>
      <c r="I470">
        <v>915358.96</v>
      </c>
      <c r="J470">
        <v>774617.57</v>
      </c>
      <c r="K470">
        <v>0</v>
      </c>
      <c r="L470">
        <v>436518</v>
      </c>
      <c r="M470">
        <v>0</v>
      </c>
      <c r="N470">
        <v>357862.02</v>
      </c>
      <c r="O470">
        <v>137632.85999999999</v>
      </c>
      <c r="P470">
        <v>135772.32999999999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640509.26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147592.87</v>
      </c>
      <c r="AH470">
        <v>0</v>
      </c>
      <c r="AI470">
        <v>0</v>
      </c>
      <c r="AJ470">
        <v>2767851166.4725299</v>
      </c>
    </row>
    <row r="471" spans="1:36" x14ac:dyDescent="0.25">
      <c r="A471" t="s">
        <v>95</v>
      </c>
      <c r="B471" t="s">
        <v>24</v>
      </c>
      <c r="C471">
        <v>9099.49</v>
      </c>
      <c r="D471">
        <v>25977.47</v>
      </c>
      <c r="G471">
        <v>0.13558000000000001</v>
      </c>
      <c r="H471">
        <v>0</v>
      </c>
      <c r="I471">
        <v>1044978.87</v>
      </c>
      <c r="J471">
        <v>774617.57</v>
      </c>
      <c r="K471">
        <v>0</v>
      </c>
      <c r="L471">
        <v>436518</v>
      </c>
      <c r="M471">
        <v>0</v>
      </c>
      <c r="N471">
        <v>357877.24</v>
      </c>
      <c r="O471">
        <v>158384.14000000001</v>
      </c>
      <c r="P471">
        <v>138347.34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640006.87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147596.97</v>
      </c>
      <c r="AH471">
        <v>0</v>
      </c>
      <c r="AI471">
        <v>0</v>
      </c>
      <c r="AJ471">
        <v>2735289380.9762702</v>
      </c>
    </row>
    <row r="472" spans="1:36" x14ac:dyDescent="0.25">
      <c r="A472" t="s">
        <v>97</v>
      </c>
      <c r="B472" t="s">
        <v>24</v>
      </c>
      <c r="D472">
        <v>2691.48</v>
      </c>
      <c r="E472">
        <v>942.78</v>
      </c>
      <c r="G472">
        <v>1.4047E-2</v>
      </c>
      <c r="H472">
        <v>0</v>
      </c>
      <c r="I472">
        <v>71483.850000000006</v>
      </c>
      <c r="J472">
        <v>23792.959999999999</v>
      </c>
      <c r="K472">
        <v>0</v>
      </c>
      <c r="L472">
        <v>29466.65</v>
      </c>
      <c r="M472">
        <v>0</v>
      </c>
      <c r="N472">
        <v>132534.9</v>
      </c>
      <c r="O472">
        <v>14605.25</v>
      </c>
      <c r="P472">
        <v>15215.25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1042.01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4007.76</v>
      </c>
      <c r="AH472">
        <v>0</v>
      </c>
      <c r="AI472">
        <v>0</v>
      </c>
      <c r="AJ472">
        <v>210120937.20763499</v>
      </c>
    </row>
    <row r="473" spans="1:36" x14ac:dyDescent="0.25">
      <c r="A473" t="s">
        <v>98</v>
      </c>
      <c r="B473" t="s">
        <v>24</v>
      </c>
      <c r="D473">
        <v>35984.33</v>
      </c>
      <c r="E473">
        <v>12604.74</v>
      </c>
      <c r="G473">
        <v>0.187807</v>
      </c>
      <c r="H473">
        <v>0</v>
      </c>
      <c r="I473">
        <v>1145528.07</v>
      </c>
      <c r="J473">
        <v>463682.79</v>
      </c>
      <c r="K473">
        <v>0</v>
      </c>
      <c r="L473">
        <v>831153.37</v>
      </c>
      <c r="M473">
        <v>0</v>
      </c>
      <c r="N473">
        <v>331001.19</v>
      </c>
      <c r="O473">
        <v>277805.01</v>
      </c>
      <c r="P473">
        <v>281558.06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832937.64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96586.85</v>
      </c>
      <c r="AH473">
        <v>0</v>
      </c>
      <c r="AI473">
        <v>0</v>
      </c>
      <c r="AJ473">
        <v>2325253241.5953302</v>
      </c>
    </row>
    <row r="474" spans="1:36" x14ac:dyDescent="0.25">
      <c r="A474" t="s">
        <v>99</v>
      </c>
      <c r="B474" t="s">
        <v>24</v>
      </c>
      <c r="C474">
        <v>942.78</v>
      </c>
      <c r="D474">
        <v>2691.48</v>
      </c>
      <c r="G474">
        <v>1.4047E-2</v>
      </c>
      <c r="H474">
        <v>0</v>
      </c>
      <c r="I474">
        <v>107241.87</v>
      </c>
      <c r="J474">
        <v>23792.959999999999</v>
      </c>
      <c r="K474">
        <v>0</v>
      </c>
      <c r="L474">
        <v>29466.65</v>
      </c>
      <c r="M474">
        <v>0</v>
      </c>
      <c r="N474">
        <v>132531.29</v>
      </c>
      <c r="O474">
        <v>19742.09</v>
      </c>
      <c r="P474">
        <v>16092.28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1042.01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4007.76</v>
      </c>
      <c r="AH474">
        <v>0</v>
      </c>
      <c r="AI474">
        <v>0</v>
      </c>
      <c r="AJ474">
        <v>248381441.41617399</v>
      </c>
    </row>
    <row r="475" spans="1:36" x14ac:dyDescent="0.25">
      <c r="A475" t="s">
        <v>100</v>
      </c>
      <c r="B475" t="s">
        <v>24</v>
      </c>
      <c r="D475">
        <v>5861.97</v>
      </c>
      <c r="E475">
        <v>2053.36</v>
      </c>
      <c r="G475">
        <v>3.0594E-2</v>
      </c>
      <c r="H475">
        <v>0</v>
      </c>
      <c r="I475">
        <v>345999.72</v>
      </c>
      <c r="J475">
        <v>201226.15</v>
      </c>
      <c r="K475">
        <v>0</v>
      </c>
      <c r="L475">
        <v>282049.05</v>
      </c>
      <c r="M475">
        <v>0</v>
      </c>
      <c r="N475">
        <v>182474.13</v>
      </c>
      <c r="O475">
        <v>29690.09</v>
      </c>
      <c r="P475">
        <v>30333.119999999999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268889.81</v>
      </c>
      <c r="W475">
        <v>0</v>
      </c>
      <c r="X475">
        <v>0</v>
      </c>
      <c r="Y475">
        <v>0</v>
      </c>
      <c r="Z475">
        <v>65854.75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105316.32</v>
      </c>
      <c r="AH475">
        <v>0</v>
      </c>
      <c r="AI475">
        <v>0</v>
      </c>
      <c r="AJ475">
        <v>755212440.04663205</v>
      </c>
    </row>
    <row r="476" spans="1:36" x14ac:dyDescent="0.25">
      <c r="A476" t="s">
        <v>101</v>
      </c>
      <c r="B476" t="s">
        <v>24</v>
      </c>
      <c r="C476">
        <v>2053.36</v>
      </c>
      <c r="D476">
        <v>5861.97</v>
      </c>
      <c r="G476">
        <v>3.0594E-2</v>
      </c>
      <c r="H476">
        <v>0</v>
      </c>
      <c r="I476">
        <v>402758.54</v>
      </c>
      <c r="J476">
        <v>201226.15</v>
      </c>
      <c r="K476">
        <v>0</v>
      </c>
      <c r="L476">
        <v>282049.05</v>
      </c>
      <c r="M476">
        <v>0</v>
      </c>
      <c r="N476">
        <v>182469.21</v>
      </c>
      <c r="O476">
        <v>33562.129999999997</v>
      </c>
      <c r="P476">
        <v>30417.119999999999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268693.42</v>
      </c>
      <c r="W476">
        <v>0</v>
      </c>
      <c r="X476">
        <v>0</v>
      </c>
      <c r="Y476">
        <v>0</v>
      </c>
      <c r="Z476">
        <v>65854.75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105318.83</v>
      </c>
      <c r="AH476">
        <v>0</v>
      </c>
      <c r="AI476">
        <v>0</v>
      </c>
      <c r="AJ476">
        <v>812767710.19093597</v>
      </c>
    </row>
    <row r="477" spans="1:36" x14ac:dyDescent="0.25">
      <c r="A477" t="s">
        <v>102</v>
      </c>
      <c r="B477" t="s">
        <v>24</v>
      </c>
      <c r="C477">
        <v>12604.74</v>
      </c>
      <c r="D477">
        <v>35984.33</v>
      </c>
      <c r="G477">
        <v>0.187807</v>
      </c>
      <c r="H477">
        <v>0</v>
      </c>
      <c r="I477">
        <v>1636288.68</v>
      </c>
      <c r="J477">
        <v>463682.79</v>
      </c>
      <c r="K477">
        <v>0</v>
      </c>
      <c r="L477">
        <v>831153.37</v>
      </c>
      <c r="M477">
        <v>0</v>
      </c>
      <c r="N477">
        <v>331829.28000000003</v>
      </c>
      <c r="O477">
        <v>321146.09999999998</v>
      </c>
      <c r="P477">
        <v>285395.38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831844.21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96591.039999999994</v>
      </c>
      <c r="AH477">
        <v>0</v>
      </c>
      <c r="AI477">
        <v>0</v>
      </c>
      <c r="AJ477">
        <v>2925555293.1602302</v>
      </c>
    </row>
    <row r="478" spans="1:36" x14ac:dyDescent="0.25">
      <c r="A478" t="s">
        <v>103</v>
      </c>
      <c r="B478" t="s">
        <v>24</v>
      </c>
      <c r="C478">
        <v>15353.69</v>
      </c>
      <c r="D478">
        <v>43832.1</v>
      </c>
      <c r="G478">
        <v>0.228766</v>
      </c>
      <c r="H478">
        <v>0</v>
      </c>
      <c r="I478">
        <v>2211146.7999999998</v>
      </c>
      <c r="J478">
        <v>857863.39</v>
      </c>
      <c r="K478">
        <v>0</v>
      </c>
      <c r="L478">
        <v>1141299.43</v>
      </c>
      <c r="M478">
        <v>0</v>
      </c>
      <c r="N478">
        <v>750738.96</v>
      </c>
      <c r="O478">
        <v>477233.94</v>
      </c>
      <c r="P478">
        <v>389189.39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1544955.31</v>
      </c>
      <c r="W478">
        <v>0</v>
      </c>
      <c r="X478">
        <v>0</v>
      </c>
      <c r="Y478">
        <v>0</v>
      </c>
      <c r="Z478">
        <v>43737.51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229429.89</v>
      </c>
      <c r="AH478">
        <v>0</v>
      </c>
      <c r="AI478">
        <v>0</v>
      </c>
      <c r="AJ478">
        <v>3552688032.8490901</v>
      </c>
    </row>
    <row r="479" spans="1:36" x14ac:dyDescent="0.25">
      <c r="A479" t="s">
        <v>104</v>
      </c>
      <c r="B479" t="s">
        <v>24</v>
      </c>
      <c r="D479">
        <v>38835.19</v>
      </c>
      <c r="E479">
        <v>13603.35</v>
      </c>
      <c r="G479">
        <v>0.20268600000000001</v>
      </c>
      <c r="H479">
        <v>0</v>
      </c>
      <c r="I479">
        <v>1212739.6499999999</v>
      </c>
      <c r="J479">
        <v>350734.07</v>
      </c>
      <c r="K479">
        <v>0</v>
      </c>
      <c r="L479">
        <v>936314.72</v>
      </c>
      <c r="M479">
        <v>0</v>
      </c>
      <c r="N479">
        <v>472857.76</v>
      </c>
      <c r="O479">
        <v>324292.39</v>
      </c>
      <c r="P479">
        <v>316034.03999999998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384436.96</v>
      </c>
      <c r="W479">
        <v>0</v>
      </c>
      <c r="X479">
        <v>0</v>
      </c>
      <c r="Y479">
        <v>0</v>
      </c>
      <c r="Z479">
        <v>68627.600000000006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401652.56</v>
      </c>
      <c r="AH479">
        <v>0</v>
      </c>
      <c r="AI479">
        <v>0</v>
      </c>
      <c r="AJ479">
        <v>2878056649.1214299</v>
      </c>
    </row>
    <row r="480" spans="1:36" x14ac:dyDescent="0.25">
      <c r="A480" t="s">
        <v>105</v>
      </c>
      <c r="B480" t="s">
        <v>24</v>
      </c>
      <c r="C480">
        <v>30916.82</v>
      </c>
      <c r="D480">
        <v>88262.12</v>
      </c>
      <c r="G480">
        <v>0.46065200000000001</v>
      </c>
      <c r="H480">
        <v>0</v>
      </c>
      <c r="I480">
        <v>4173564.69</v>
      </c>
      <c r="J480">
        <v>1274541.22</v>
      </c>
      <c r="K480">
        <v>0</v>
      </c>
      <c r="L480">
        <v>3553012.2</v>
      </c>
      <c r="M480">
        <v>0</v>
      </c>
      <c r="N480">
        <v>1727422.6</v>
      </c>
      <c r="O480">
        <v>576251.93000000005</v>
      </c>
      <c r="P480">
        <v>522611.81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2204419.4700000002</v>
      </c>
      <c r="W480">
        <v>0</v>
      </c>
      <c r="X480">
        <v>0</v>
      </c>
      <c r="Y480">
        <v>0</v>
      </c>
      <c r="Z480">
        <v>127428.8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613916.1</v>
      </c>
      <c r="AH480">
        <v>0</v>
      </c>
      <c r="AI480">
        <v>0</v>
      </c>
      <c r="AJ480">
        <v>8407444915.02528</v>
      </c>
    </row>
    <row r="481" spans="1:36" x14ac:dyDescent="0.25">
      <c r="A481" t="s">
        <v>106</v>
      </c>
      <c r="B481" t="s">
        <v>24</v>
      </c>
      <c r="D481">
        <v>6314.01</v>
      </c>
      <c r="E481">
        <v>2211.6999999999998</v>
      </c>
      <c r="G481">
        <v>3.2953999999999997E-2</v>
      </c>
      <c r="H481">
        <v>0</v>
      </c>
      <c r="I481">
        <v>409116.65</v>
      </c>
      <c r="J481">
        <v>197273.03</v>
      </c>
      <c r="K481">
        <v>0</v>
      </c>
      <c r="L481">
        <v>258328.15</v>
      </c>
      <c r="M481">
        <v>0</v>
      </c>
      <c r="N481">
        <v>365369.48</v>
      </c>
      <c r="O481">
        <v>33175.94</v>
      </c>
      <c r="P481">
        <v>34515.879999999997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105052.67</v>
      </c>
      <c r="W481">
        <v>0</v>
      </c>
      <c r="X481">
        <v>0</v>
      </c>
      <c r="Y481">
        <v>0</v>
      </c>
      <c r="Z481">
        <v>64094.3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193650.81</v>
      </c>
      <c r="AH481">
        <v>0</v>
      </c>
      <c r="AI481">
        <v>0</v>
      </c>
      <c r="AJ481">
        <v>1262012700.53579</v>
      </c>
    </row>
    <row r="482" spans="1:36" x14ac:dyDescent="0.25">
      <c r="A482" t="s">
        <v>107</v>
      </c>
      <c r="B482" t="s">
        <v>24</v>
      </c>
      <c r="D482">
        <v>43832.1</v>
      </c>
      <c r="E482">
        <v>15353.69</v>
      </c>
      <c r="G482">
        <v>0.228766</v>
      </c>
      <c r="H482">
        <v>0</v>
      </c>
      <c r="I482">
        <v>1896796.55</v>
      </c>
      <c r="J482">
        <v>857863.39</v>
      </c>
      <c r="K482">
        <v>0</v>
      </c>
      <c r="L482">
        <v>1141299.43</v>
      </c>
      <c r="M482">
        <v>0</v>
      </c>
      <c r="N482">
        <v>749790.37</v>
      </c>
      <c r="O482">
        <v>413101.43</v>
      </c>
      <c r="P482">
        <v>374721.68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1551138.23</v>
      </c>
      <c r="W482">
        <v>0</v>
      </c>
      <c r="X482">
        <v>0</v>
      </c>
      <c r="Y482">
        <v>0</v>
      </c>
      <c r="Z482">
        <v>43737.51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229435.5</v>
      </c>
      <c r="AH482">
        <v>0</v>
      </c>
      <c r="AI482">
        <v>0</v>
      </c>
      <c r="AJ482">
        <v>3492488613.85044</v>
      </c>
    </row>
    <row r="483" spans="1:36" x14ac:dyDescent="0.25">
      <c r="A483" t="s">
        <v>108</v>
      </c>
      <c r="B483" t="s">
        <v>24</v>
      </c>
      <c r="C483">
        <v>2211.6999999999998</v>
      </c>
      <c r="D483">
        <v>6314.01</v>
      </c>
      <c r="G483">
        <v>3.2953999999999997E-2</v>
      </c>
      <c r="H483">
        <v>0</v>
      </c>
      <c r="I483">
        <v>466822.67</v>
      </c>
      <c r="J483">
        <v>197273.03</v>
      </c>
      <c r="K483">
        <v>0</v>
      </c>
      <c r="L483">
        <v>258328.15</v>
      </c>
      <c r="M483">
        <v>0</v>
      </c>
      <c r="N483">
        <v>365315.58</v>
      </c>
      <c r="O483">
        <v>37763.089999999997</v>
      </c>
      <c r="P483">
        <v>34653.82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104848.17</v>
      </c>
      <c r="W483">
        <v>0</v>
      </c>
      <c r="X483">
        <v>0</v>
      </c>
      <c r="Y483">
        <v>0</v>
      </c>
      <c r="Z483">
        <v>64094.3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193654.7</v>
      </c>
      <c r="AH483">
        <v>0</v>
      </c>
      <c r="AI483">
        <v>0</v>
      </c>
      <c r="AJ483">
        <v>1318220881.64289</v>
      </c>
    </row>
    <row r="484" spans="1:36" x14ac:dyDescent="0.25">
      <c r="A484" t="s">
        <v>109</v>
      </c>
      <c r="B484" t="s">
        <v>24</v>
      </c>
      <c r="D484">
        <v>88262.12</v>
      </c>
      <c r="E484">
        <v>30916.82</v>
      </c>
      <c r="G484">
        <v>0.46065200000000001</v>
      </c>
      <c r="H484">
        <v>0</v>
      </c>
      <c r="I484">
        <v>3477293.55</v>
      </c>
      <c r="J484">
        <v>1274541.22</v>
      </c>
      <c r="K484">
        <v>0</v>
      </c>
      <c r="L484">
        <v>3553012.2</v>
      </c>
      <c r="M484">
        <v>0</v>
      </c>
      <c r="N484">
        <v>1724917.88</v>
      </c>
      <c r="O484">
        <v>507380.43</v>
      </c>
      <c r="P484">
        <v>520033.51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2213217.35</v>
      </c>
      <c r="W484">
        <v>0</v>
      </c>
      <c r="X484">
        <v>0</v>
      </c>
      <c r="Y484">
        <v>0</v>
      </c>
      <c r="Z484">
        <v>127428.8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613927.17000000004</v>
      </c>
      <c r="AH484">
        <v>0</v>
      </c>
      <c r="AI484">
        <v>0</v>
      </c>
      <c r="AJ484">
        <v>7884496368.0049</v>
      </c>
    </row>
    <row r="485" spans="1:36" x14ac:dyDescent="0.25">
      <c r="A485" t="s">
        <v>110</v>
      </c>
      <c r="B485" t="s">
        <v>24</v>
      </c>
      <c r="C485">
        <v>13603.35</v>
      </c>
      <c r="D485">
        <v>38835.19</v>
      </c>
      <c r="G485">
        <v>0.20268600000000001</v>
      </c>
      <c r="H485">
        <v>0</v>
      </c>
      <c r="I485">
        <v>1602828.5</v>
      </c>
      <c r="J485">
        <v>350734.07</v>
      </c>
      <c r="K485">
        <v>0</v>
      </c>
      <c r="L485">
        <v>936314.72</v>
      </c>
      <c r="M485">
        <v>0</v>
      </c>
      <c r="N485">
        <v>472883.81</v>
      </c>
      <c r="O485">
        <v>376914.8</v>
      </c>
      <c r="P485">
        <v>326649.93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385069.44</v>
      </c>
      <c r="W485">
        <v>0</v>
      </c>
      <c r="X485">
        <v>0</v>
      </c>
      <c r="Y485">
        <v>0</v>
      </c>
      <c r="Z485">
        <v>68627.600000000006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401659.96</v>
      </c>
      <c r="AH485">
        <v>0</v>
      </c>
      <c r="AI485">
        <v>0</v>
      </c>
      <c r="AJ485">
        <v>2959232760.5162101</v>
      </c>
    </row>
    <row r="486" spans="1:36" x14ac:dyDescent="0.25">
      <c r="A486" t="s">
        <v>351</v>
      </c>
      <c r="B486" t="s">
        <v>24</v>
      </c>
      <c r="C486">
        <v>6612.95</v>
      </c>
      <c r="D486">
        <v>18878.810000000001</v>
      </c>
      <c r="G486">
        <v>9.8530999999999994E-2</v>
      </c>
      <c r="H486">
        <v>0</v>
      </c>
      <c r="I486">
        <v>751911.91</v>
      </c>
      <c r="J486">
        <v>394508.4</v>
      </c>
      <c r="K486">
        <v>0</v>
      </c>
      <c r="L486">
        <v>436518</v>
      </c>
      <c r="M486">
        <v>0</v>
      </c>
      <c r="N486">
        <v>272682.28999999998</v>
      </c>
      <c r="O486">
        <v>106582.41</v>
      </c>
      <c r="P486">
        <v>96403.45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416607.48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147585.1</v>
      </c>
      <c r="AH486">
        <v>0</v>
      </c>
      <c r="AI486">
        <v>0</v>
      </c>
      <c r="AJ486">
        <v>1987655965.57847</v>
      </c>
    </row>
    <row r="487" spans="1:36" x14ac:dyDescent="0.25">
      <c r="A487" t="s">
        <v>352</v>
      </c>
      <c r="B487" t="s">
        <v>24</v>
      </c>
      <c r="D487">
        <v>18878.810000000001</v>
      </c>
      <c r="E487">
        <v>6612.95</v>
      </c>
      <c r="G487">
        <v>9.8530999999999994E-2</v>
      </c>
      <c r="H487">
        <v>0</v>
      </c>
      <c r="I487">
        <v>704919.83</v>
      </c>
      <c r="J487">
        <v>394508.4</v>
      </c>
      <c r="K487">
        <v>0</v>
      </c>
      <c r="L487">
        <v>436518</v>
      </c>
      <c r="M487">
        <v>0</v>
      </c>
      <c r="N487">
        <v>272794.68</v>
      </c>
      <c r="O487">
        <v>94753.93</v>
      </c>
      <c r="P487">
        <v>95228.01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416772.6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147586.16</v>
      </c>
      <c r="AH487">
        <v>0</v>
      </c>
      <c r="AI487">
        <v>0</v>
      </c>
      <c r="AJ487">
        <v>2021376522.39557</v>
      </c>
    </row>
    <row r="488" spans="1:36" x14ac:dyDescent="0.25">
      <c r="A488" t="s">
        <v>353</v>
      </c>
      <c r="B488" t="s">
        <v>24</v>
      </c>
      <c r="C488">
        <v>538.54</v>
      </c>
      <c r="D488">
        <v>1537.43</v>
      </c>
      <c r="G488">
        <v>8.0239999999999999E-3</v>
      </c>
      <c r="H488">
        <v>0</v>
      </c>
      <c r="I488">
        <v>54836.49</v>
      </c>
      <c r="J488">
        <v>12134.67</v>
      </c>
      <c r="K488">
        <v>0</v>
      </c>
      <c r="L488">
        <v>29466.65</v>
      </c>
      <c r="M488">
        <v>0</v>
      </c>
      <c r="N488">
        <v>67613.539999999994</v>
      </c>
      <c r="O488">
        <v>9475.86</v>
      </c>
      <c r="P488">
        <v>7886.64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2025.77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4007.89</v>
      </c>
      <c r="AH488">
        <v>0</v>
      </c>
      <c r="AI488">
        <v>0</v>
      </c>
      <c r="AJ488">
        <v>130458969.02923401</v>
      </c>
    </row>
    <row r="489" spans="1:36" x14ac:dyDescent="0.25">
      <c r="A489" t="s">
        <v>354</v>
      </c>
      <c r="B489" t="s">
        <v>24</v>
      </c>
      <c r="D489">
        <v>1537.43</v>
      </c>
      <c r="E489">
        <v>538.54</v>
      </c>
      <c r="G489">
        <v>8.0239999999999999E-3</v>
      </c>
      <c r="H489">
        <v>0</v>
      </c>
      <c r="I489">
        <v>37932.18</v>
      </c>
      <c r="J489">
        <v>12134.67</v>
      </c>
      <c r="K489">
        <v>0</v>
      </c>
      <c r="L489">
        <v>29466.65</v>
      </c>
      <c r="M489">
        <v>0</v>
      </c>
      <c r="N489">
        <v>67612.63</v>
      </c>
      <c r="O489">
        <v>7195</v>
      </c>
      <c r="P489">
        <v>7552.7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2025.77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4007.9</v>
      </c>
      <c r="AH489">
        <v>0</v>
      </c>
      <c r="AI489">
        <v>0</v>
      </c>
      <c r="AJ489">
        <v>112459958.26387</v>
      </c>
    </row>
    <row r="490" spans="1:36" x14ac:dyDescent="0.25">
      <c r="A490" t="s">
        <v>355</v>
      </c>
      <c r="B490" t="s">
        <v>24</v>
      </c>
      <c r="D490">
        <v>24382.16</v>
      </c>
      <c r="E490">
        <v>8540.68</v>
      </c>
      <c r="G490">
        <v>0.12725400000000001</v>
      </c>
      <c r="H490">
        <v>0</v>
      </c>
      <c r="I490">
        <v>840501.8</v>
      </c>
      <c r="J490">
        <v>239542.44</v>
      </c>
      <c r="K490">
        <v>0</v>
      </c>
      <c r="L490">
        <v>831153.37</v>
      </c>
      <c r="M490">
        <v>0</v>
      </c>
      <c r="N490">
        <v>274164.83</v>
      </c>
      <c r="O490">
        <v>190087.66</v>
      </c>
      <c r="P490">
        <v>192051.02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529321.26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96582.98</v>
      </c>
      <c r="AH490">
        <v>0</v>
      </c>
      <c r="AI490">
        <v>0</v>
      </c>
      <c r="AJ490">
        <v>1677361084.73858</v>
      </c>
    </row>
    <row r="491" spans="1:36" x14ac:dyDescent="0.25">
      <c r="A491" t="s">
        <v>356</v>
      </c>
      <c r="B491" t="s">
        <v>24</v>
      </c>
      <c r="C491">
        <v>8540.68</v>
      </c>
      <c r="D491">
        <v>24382.16</v>
      </c>
      <c r="G491">
        <v>0.12725400000000001</v>
      </c>
      <c r="H491">
        <v>0</v>
      </c>
      <c r="I491">
        <v>1116393.99</v>
      </c>
      <c r="J491">
        <v>239542.44</v>
      </c>
      <c r="K491">
        <v>0</v>
      </c>
      <c r="L491">
        <v>831153.37</v>
      </c>
      <c r="M491">
        <v>0</v>
      </c>
      <c r="N491">
        <v>274347.33</v>
      </c>
      <c r="O491">
        <v>219618.24</v>
      </c>
      <c r="P491">
        <v>196257.99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527010.09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96576.08</v>
      </c>
      <c r="AH491">
        <v>0</v>
      </c>
      <c r="AI491">
        <v>0</v>
      </c>
      <c r="AJ491">
        <v>2001485280.69718</v>
      </c>
    </row>
    <row r="492" spans="1:36" x14ac:dyDescent="0.25">
      <c r="A492" t="s">
        <v>357</v>
      </c>
      <c r="B492" t="s">
        <v>24</v>
      </c>
      <c r="D492">
        <v>4393.43</v>
      </c>
      <c r="E492">
        <v>1538.95</v>
      </c>
      <c r="G492">
        <v>2.2929999999999999E-2</v>
      </c>
      <c r="H492">
        <v>0</v>
      </c>
      <c r="I492">
        <v>251536.02</v>
      </c>
      <c r="J492">
        <v>103288.37</v>
      </c>
      <c r="K492">
        <v>0</v>
      </c>
      <c r="L492">
        <v>282049.05</v>
      </c>
      <c r="M492">
        <v>0</v>
      </c>
      <c r="N492">
        <v>123814.96</v>
      </c>
      <c r="O492">
        <v>21660.36</v>
      </c>
      <c r="P492">
        <v>22088.09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164815.10999999999</v>
      </c>
      <c r="W492">
        <v>0</v>
      </c>
      <c r="X492">
        <v>0</v>
      </c>
      <c r="Y492">
        <v>0</v>
      </c>
      <c r="Z492">
        <v>65854.75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105307.15</v>
      </c>
      <c r="AH492">
        <v>0</v>
      </c>
      <c r="AI492">
        <v>0</v>
      </c>
      <c r="AJ492">
        <v>606608544.89424205</v>
      </c>
    </row>
    <row r="493" spans="1:36" x14ac:dyDescent="0.25">
      <c r="A493" t="s">
        <v>358</v>
      </c>
      <c r="B493" t="s">
        <v>24</v>
      </c>
      <c r="C493">
        <v>1538.95</v>
      </c>
      <c r="D493">
        <v>4393.43</v>
      </c>
      <c r="G493">
        <v>2.2929999999999999E-2</v>
      </c>
      <c r="H493">
        <v>0</v>
      </c>
      <c r="I493">
        <v>289654.77</v>
      </c>
      <c r="J493">
        <v>103288.37</v>
      </c>
      <c r="K493">
        <v>0</v>
      </c>
      <c r="L493">
        <v>282049.05</v>
      </c>
      <c r="M493">
        <v>0</v>
      </c>
      <c r="N493">
        <v>123815.03</v>
      </c>
      <c r="O493">
        <v>24475.18</v>
      </c>
      <c r="P493">
        <v>22157.06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164774.57</v>
      </c>
      <c r="W493">
        <v>0</v>
      </c>
      <c r="X493">
        <v>0</v>
      </c>
      <c r="Y493">
        <v>0</v>
      </c>
      <c r="Z493">
        <v>65854.75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105305.45</v>
      </c>
      <c r="AH493">
        <v>0</v>
      </c>
      <c r="AI493">
        <v>0</v>
      </c>
      <c r="AJ493">
        <v>616368118.246243</v>
      </c>
    </row>
    <row r="494" spans="1:36" x14ac:dyDescent="0.25">
      <c r="A494" t="s">
        <v>359</v>
      </c>
      <c r="B494" t="s">
        <v>24</v>
      </c>
      <c r="D494">
        <v>36675.480000000003</v>
      </c>
      <c r="E494">
        <v>12846.84</v>
      </c>
      <c r="G494">
        <v>0.191414</v>
      </c>
      <c r="H494">
        <v>0</v>
      </c>
      <c r="I494">
        <v>1464828.52</v>
      </c>
      <c r="J494">
        <v>626942.71</v>
      </c>
      <c r="K494">
        <v>0</v>
      </c>
      <c r="L494">
        <v>1141299.43</v>
      </c>
      <c r="M494">
        <v>0</v>
      </c>
      <c r="N494">
        <v>543318.24</v>
      </c>
      <c r="O494">
        <v>343549.08</v>
      </c>
      <c r="P494">
        <v>311400.78999999998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992148.83</v>
      </c>
      <c r="W494">
        <v>0</v>
      </c>
      <c r="X494">
        <v>0</v>
      </c>
      <c r="Y494">
        <v>0</v>
      </c>
      <c r="Z494">
        <v>43737.51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229425.69</v>
      </c>
      <c r="AH494">
        <v>0</v>
      </c>
      <c r="AI494">
        <v>0</v>
      </c>
      <c r="AJ494">
        <v>2794979850.74335</v>
      </c>
    </row>
    <row r="495" spans="1:36" x14ac:dyDescent="0.25">
      <c r="A495" t="s">
        <v>360</v>
      </c>
      <c r="B495" t="s">
        <v>24</v>
      </c>
      <c r="C495">
        <v>12846.84</v>
      </c>
      <c r="D495">
        <v>36675.480000000003</v>
      </c>
      <c r="G495">
        <v>0.191414</v>
      </c>
      <c r="H495">
        <v>0</v>
      </c>
      <c r="I495">
        <v>1816356.06</v>
      </c>
      <c r="J495">
        <v>626942.71</v>
      </c>
      <c r="K495">
        <v>0</v>
      </c>
      <c r="L495">
        <v>1141299.43</v>
      </c>
      <c r="M495">
        <v>0</v>
      </c>
      <c r="N495">
        <v>543575.62</v>
      </c>
      <c r="O495">
        <v>398604.79999999999</v>
      </c>
      <c r="P495">
        <v>324910.26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989086.16</v>
      </c>
      <c r="W495">
        <v>0</v>
      </c>
      <c r="X495">
        <v>0</v>
      </c>
      <c r="Y495">
        <v>0</v>
      </c>
      <c r="Z495">
        <v>43737.51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229429.63</v>
      </c>
      <c r="AH495">
        <v>0</v>
      </c>
      <c r="AI495">
        <v>0</v>
      </c>
      <c r="AJ495">
        <v>2843665340.7523699</v>
      </c>
    </row>
    <row r="496" spans="1:36" x14ac:dyDescent="0.25">
      <c r="A496" t="s">
        <v>361</v>
      </c>
      <c r="B496" t="s">
        <v>24</v>
      </c>
      <c r="D496">
        <v>4633.75</v>
      </c>
      <c r="E496">
        <v>1623.13</v>
      </c>
      <c r="G496">
        <v>2.4184000000000001E-2</v>
      </c>
      <c r="H496">
        <v>0</v>
      </c>
      <c r="I496">
        <v>323984.40999999997</v>
      </c>
      <c r="J496">
        <v>94437.9</v>
      </c>
      <c r="K496">
        <v>0</v>
      </c>
      <c r="L496">
        <v>258328.15</v>
      </c>
      <c r="M496">
        <v>0</v>
      </c>
      <c r="N496">
        <v>277118.28000000003</v>
      </c>
      <c r="O496">
        <v>23220.49</v>
      </c>
      <c r="P496">
        <v>24279.32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94582.57</v>
      </c>
      <c r="W496">
        <v>0</v>
      </c>
      <c r="X496">
        <v>0</v>
      </c>
      <c r="Y496">
        <v>0</v>
      </c>
      <c r="Z496">
        <v>64094.3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193649.34</v>
      </c>
      <c r="AH496">
        <v>0</v>
      </c>
      <c r="AI496">
        <v>0</v>
      </c>
      <c r="AJ496">
        <v>982298707.75665402</v>
      </c>
    </row>
    <row r="497" spans="1:36" x14ac:dyDescent="0.25">
      <c r="A497" t="s">
        <v>362</v>
      </c>
      <c r="B497" t="s">
        <v>24</v>
      </c>
      <c r="D497">
        <v>65093.21</v>
      </c>
      <c r="E497">
        <v>22801.119999999999</v>
      </c>
      <c r="G497">
        <v>0.33972999999999998</v>
      </c>
      <c r="H497">
        <v>0</v>
      </c>
      <c r="I497">
        <v>2656087.79</v>
      </c>
      <c r="J497">
        <v>643032.05000000005</v>
      </c>
      <c r="K497">
        <v>0</v>
      </c>
      <c r="L497">
        <v>3553012.2</v>
      </c>
      <c r="M497">
        <v>0</v>
      </c>
      <c r="N497">
        <v>1394596.58</v>
      </c>
      <c r="O497">
        <v>346885.58</v>
      </c>
      <c r="P497">
        <v>354064.32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1488907.51</v>
      </c>
      <c r="W497">
        <v>0</v>
      </c>
      <c r="X497">
        <v>0</v>
      </c>
      <c r="Y497">
        <v>0</v>
      </c>
      <c r="Z497">
        <v>127428.8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613687.43000000005</v>
      </c>
      <c r="AH497">
        <v>0</v>
      </c>
      <c r="AI497">
        <v>0</v>
      </c>
      <c r="AJ497">
        <v>6253360517.8979301</v>
      </c>
    </row>
    <row r="498" spans="1:36" x14ac:dyDescent="0.25">
      <c r="A498" t="s">
        <v>363</v>
      </c>
      <c r="B498" t="s">
        <v>24</v>
      </c>
      <c r="C498">
        <v>10873.51</v>
      </c>
      <c r="D498">
        <v>31041.97</v>
      </c>
      <c r="G498">
        <v>0.16201199999999999</v>
      </c>
      <c r="H498">
        <v>0</v>
      </c>
      <c r="I498">
        <v>1253686.06</v>
      </c>
      <c r="J498">
        <v>163686.57</v>
      </c>
      <c r="K498">
        <v>0</v>
      </c>
      <c r="L498">
        <v>936314.72</v>
      </c>
      <c r="M498">
        <v>0</v>
      </c>
      <c r="N498">
        <v>382964.68</v>
      </c>
      <c r="O498">
        <v>298354.52</v>
      </c>
      <c r="P498">
        <v>258526.03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298904.5</v>
      </c>
      <c r="W498">
        <v>0</v>
      </c>
      <c r="X498">
        <v>0</v>
      </c>
      <c r="Y498">
        <v>0</v>
      </c>
      <c r="Z498">
        <v>68627.600000000006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401522.39</v>
      </c>
      <c r="AH498">
        <v>0</v>
      </c>
      <c r="AI498">
        <v>0</v>
      </c>
      <c r="AJ498">
        <v>2235630369.0612998</v>
      </c>
    </row>
    <row r="499" spans="1:36" x14ac:dyDescent="0.25">
      <c r="A499" t="s">
        <v>364</v>
      </c>
      <c r="B499" t="s">
        <v>24</v>
      </c>
      <c r="C499">
        <v>22801.119999999999</v>
      </c>
      <c r="D499">
        <v>65093.21</v>
      </c>
      <c r="G499">
        <v>0.33972999999999998</v>
      </c>
      <c r="H499">
        <v>0</v>
      </c>
      <c r="I499">
        <v>3043881.34</v>
      </c>
      <c r="J499">
        <v>643032.05000000005</v>
      </c>
      <c r="K499">
        <v>0</v>
      </c>
      <c r="L499">
        <v>3553012.2</v>
      </c>
      <c r="M499">
        <v>0</v>
      </c>
      <c r="N499">
        <v>1395210.57</v>
      </c>
      <c r="O499">
        <v>390944.19</v>
      </c>
      <c r="P499">
        <v>355898.69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1487238.3</v>
      </c>
      <c r="W499">
        <v>0</v>
      </c>
      <c r="X499">
        <v>0</v>
      </c>
      <c r="Y499">
        <v>0</v>
      </c>
      <c r="Z499">
        <v>127428.8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613688.38</v>
      </c>
      <c r="AH499">
        <v>0</v>
      </c>
      <c r="AI499">
        <v>0</v>
      </c>
      <c r="AJ499">
        <v>6390408987.4767303</v>
      </c>
    </row>
    <row r="500" spans="1:36" x14ac:dyDescent="0.25">
      <c r="A500" t="s">
        <v>365</v>
      </c>
      <c r="B500" t="s">
        <v>24</v>
      </c>
      <c r="D500">
        <v>31041.97</v>
      </c>
      <c r="E500">
        <v>10873.51</v>
      </c>
      <c r="G500">
        <v>0.16201199999999999</v>
      </c>
      <c r="H500">
        <v>0</v>
      </c>
      <c r="I500">
        <v>873798.69</v>
      </c>
      <c r="J500">
        <v>163686.57</v>
      </c>
      <c r="K500">
        <v>0</v>
      </c>
      <c r="L500">
        <v>936314.72</v>
      </c>
      <c r="M500">
        <v>0</v>
      </c>
      <c r="N500">
        <v>383142</v>
      </c>
      <c r="O500">
        <v>254739.46</v>
      </c>
      <c r="P500">
        <v>248275.17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297470.88</v>
      </c>
      <c r="W500">
        <v>0</v>
      </c>
      <c r="X500">
        <v>0</v>
      </c>
      <c r="Y500">
        <v>0</v>
      </c>
      <c r="Z500">
        <v>68627.600000000006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401519.71</v>
      </c>
      <c r="AH500">
        <v>0</v>
      </c>
      <c r="AI500">
        <v>0</v>
      </c>
      <c r="AJ500">
        <v>1973696644.87447</v>
      </c>
    </row>
    <row r="501" spans="1:36" x14ac:dyDescent="0.25">
      <c r="A501" t="s">
        <v>366</v>
      </c>
      <c r="B501" t="s">
        <v>24</v>
      </c>
      <c r="C501">
        <v>1623.13</v>
      </c>
      <c r="D501">
        <v>4633.75</v>
      </c>
      <c r="G501">
        <v>2.4184000000000001E-2</v>
      </c>
      <c r="H501">
        <v>0</v>
      </c>
      <c r="I501">
        <v>352111.44</v>
      </c>
      <c r="J501">
        <v>94437.9</v>
      </c>
      <c r="K501">
        <v>0</v>
      </c>
      <c r="L501">
        <v>258328.15</v>
      </c>
      <c r="M501">
        <v>0</v>
      </c>
      <c r="N501">
        <v>277100.73</v>
      </c>
      <c r="O501">
        <v>26122.41</v>
      </c>
      <c r="P501">
        <v>24392.1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94126.7</v>
      </c>
      <c r="W501">
        <v>0</v>
      </c>
      <c r="X501">
        <v>0</v>
      </c>
      <c r="Y501">
        <v>0</v>
      </c>
      <c r="Z501">
        <v>64094.3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193633.24</v>
      </c>
      <c r="AH501">
        <v>0</v>
      </c>
      <c r="AI501">
        <v>0</v>
      </c>
      <c r="AJ501">
        <v>1016677483.17325</v>
      </c>
    </row>
    <row r="502" spans="1:36" x14ac:dyDescent="0.25">
      <c r="A502" t="s">
        <v>579</v>
      </c>
      <c r="B502" t="s">
        <v>24</v>
      </c>
      <c r="C502">
        <v>1784.58</v>
      </c>
      <c r="D502">
        <v>5094.66</v>
      </c>
      <c r="G502">
        <v>2.6589999999999999E-2</v>
      </c>
      <c r="H502">
        <v>0</v>
      </c>
      <c r="I502">
        <v>327065.45</v>
      </c>
      <c r="J502">
        <v>125722.95</v>
      </c>
      <c r="K502">
        <v>0</v>
      </c>
      <c r="L502">
        <v>179632.92</v>
      </c>
      <c r="M502">
        <v>0</v>
      </c>
      <c r="N502">
        <v>102850.54</v>
      </c>
      <c r="O502">
        <v>34307.22</v>
      </c>
      <c r="P502">
        <v>31084.97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111912.84</v>
      </c>
      <c r="W502">
        <v>0</v>
      </c>
      <c r="X502">
        <v>0</v>
      </c>
      <c r="Y502">
        <v>0</v>
      </c>
      <c r="Z502">
        <v>25988.9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10061.32</v>
      </c>
      <c r="AH502">
        <v>0</v>
      </c>
      <c r="AI502">
        <v>0</v>
      </c>
      <c r="AJ502">
        <v>814175516.42428899</v>
      </c>
    </row>
    <row r="503" spans="1:36" x14ac:dyDescent="0.25">
      <c r="A503" t="s">
        <v>580</v>
      </c>
      <c r="B503" t="s">
        <v>24</v>
      </c>
      <c r="D503">
        <v>5094.66</v>
      </c>
      <c r="E503">
        <v>1784.58</v>
      </c>
      <c r="G503">
        <v>2.6589999999999999E-2</v>
      </c>
      <c r="H503">
        <v>0</v>
      </c>
      <c r="I503">
        <v>299614.90999999997</v>
      </c>
      <c r="J503">
        <v>125722.95</v>
      </c>
      <c r="K503">
        <v>0</v>
      </c>
      <c r="L503">
        <v>179632.92</v>
      </c>
      <c r="M503">
        <v>0</v>
      </c>
      <c r="N503">
        <v>102820.75</v>
      </c>
      <c r="O503">
        <v>30463.86</v>
      </c>
      <c r="P503">
        <v>30826.62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111852.1</v>
      </c>
      <c r="W503">
        <v>0</v>
      </c>
      <c r="X503">
        <v>0</v>
      </c>
      <c r="Y503">
        <v>0</v>
      </c>
      <c r="Z503">
        <v>25988.9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10025.379999999999</v>
      </c>
      <c r="AH503">
        <v>0</v>
      </c>
      <c r="AI503">
        <v>0</v>
      </c>
      <c r="AJ503">
        <v>821948522.28135097</v>
      </c>
    </row>
    <row r="504" spans="1:36" x14ac:dyDescent="0.25">
      <c r="A504" t="s">
        <v>611</v>
      </c>
      <c r="B504" t="s">
        <v>24</v>
      </c>
      <c r="D504">
        <v>4541.03</v>
      </c>
      <c r="E504">
        <v>1590.65</v>
      </c>
      <c r="G504">
        <v>2.3699999999999999E-2</v>
      </c>
      <c r="H504">
        <v>0</v>
      </c>
      <c r="I504">
        <v>247032.05</v>
      </c>
      <c r="J504">
        <v>125722.95</v>
      </c>
      <c r="K504">
        <v>0</v>
      </c>
      <c r="L504">
        <v>179632.92</v>
      </c>
      <c r="M504">
        <v>0</v>
      </c>
      <c r="N504">
        <v>86266.02</v>
      </c>
      <c r="O504">
        <v>27124.01</v>
      </c>
      <c r="P504">
        <v>27417.41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106898.38</v>
      </c>
      <c r="W504">
        <v>0</v>
      </c>
      <c r="X504">
        <v>0</v>
      </c>
      <c r="Y504">
        <v>0</v>
      </c>
      <c r="Z504">
        <v>25988.9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10040.52</v>
      </c>
      <c r="AH504">
        <v>0</v>
      </c>
      <c r="AI504">
        <v>0</v>
      </c>
      <c r="AJ504">
        <v>705188573.83920205</v>
      </c>
    </row>
    <row r="505" spans="1:36" x14ac:dyDescent="0.25">
      <c r="A505" t="s">
        <v>613</v>
      </c>
      <c r="B505" t="s">
        <v>24</v>
      </c>
      <c r="C505">
        <v>1590.65</v>
      </c>
      <c r="D505">
        <v>4541.03</v>
      </c>
      <c r="G505">
        <v>2.3699999999999999E-2</v>
      </c>
      <c r="H505">
        <v>0</v>
      </c>
      <c r="I505">
        <v>270749.40999999997</v>
      </c>
      <c r="J505">
        <v>125722.95</v>
      </c>
      <c r="K505">
        <v>0</v>
      </c>
      <c r="L505">
        <v>179632.92</v>
      </c>
      <c r="M505">
        <v>0</v>
      </c>
      <c r="N505">
        <v>86274.32</v>
      </c>
      <c r="O505">
        <v>30550.37</v>
      </c>
      <c r="P505">
        <v>27678.25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106881.05</v>
      </c>
      <c r="W505">
        <v>0</v>
      </c>
      <c r="X505">
        <v>0</v>
      </c>
      <c r="Y505">
        <v>0</v>
      </c>
      <c r="Z505">
        <v>25988.9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10008.469999999999</v>
      </c>
      <c r="AH505">
        <v>0</v>
      </c>
      <c r="AI505">
        <v>0</v>
      </c>
      <c r="AJ505">
        <v>696725166.22914195</v>
      </c>
    </row>
    <row r="506" spans="1:36" x14ac:dyDescent="0.25">
      <c r="A506" t="s">
        <v>77</v>
      </c>
      <c r="B506" t="s">
        <v>25</v>
      </c>
      <c r="C506">
        <v>9590.6200000000008</v>
      </c>
      <c r="D506">
        <v>27379.55</v>
      </c>
      <c r="G506">
        <v>0.142898</v>
      </c>
      <c r="H506">
        <v>0</v>
      </c>
      <c r="I506">
        <v>1546709.45</v>
      </c>
      <c r="J506">
        <v>774617.57</v>
      </c>
      <c r="K506">
        <v>0</v>
      </c>
      <c r="L506">
        <v>436518</v>
      </c>
      <c r="M506">
        <v>0</v>
      </c>
      <c r="N506">
        <v>391157.53</v>
      </c>
      <c r="O506">
        <v>186086.39999999999</v>
      </c>
      <c r="P506">
        <v>171961.53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701647.79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131094.74</v>
      </c>
      <c r="AH506">
        <v>0</v>
      </c>
      <c r="AI506">
        <v>0</v>
      </c>
      <c r="AJ506">
        <v>2889927851.07829</v>
      </c>
    </row>
    <row r="507" spans="1:36" x14ac:dyDescent="0.25">
      <c r="A507" t="s">
        <v>78</v>
      </c>
      <c r="B507" t="s">
        <v>25</v>
      </c>
      <c r="D507">
        <v>2706.52</v>
      </c>
      <c r="E507">
        <v>948.05</v>
      </c>
      <c r="G507">
        <v>1.4126E-2</v>
      </c>
      <c r="H507">
        <v>0</v>
      </c>
      <c r="I507">
        <v>94668.41</v>
      </c>
      <c r="J507">
        <v>23792.959999999999</v>
      </c>
      <c r="K507">
        <v>0</v>
      </c>
      <c r="L507">
        <v>29466.65</v>
      </c>
      <c r="M507">
        <v>0</v>
      </c>
      <c r="N507">
        <v>125442.71</v>
      </c>
      <c r="O507">
        <v>16365.99</v>
      </c>
      <c r="P507">
        <v>18273.57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137.41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3626.13</v>
      </c>
      <c r="AH507">
        <v>0</v>
      </c>
      <c r="AI507">
        <v>0</v>
      </c>
      <c r="AJ507">
        <v>199077234.62180901</v>
      </c>
    </row>
    <row r="508" spans="1:36" x14ac:dyDescent="0.25">
      <c r="A508" t="s">
        <v>80</v>
      </c>
      <c r="B508" t="s">
        <v>25</v>
      </c>
      <c r="D508">
        <v>27379.55</v>
      </c>
      <c r="E508">
        <v>9590.6200000000008</v>
      </c>
      <c r="G508">
        <v>0.142898</v>
      </c>
      <c r="H508">
        <v>0</v>
      </c>
      <c r="I508">
        <v>1380122.23</v>
      </c>
      <c r="J508">
        <v>774617.57</v>
      </c>
      <c r="K508">
        <v>0</v>
      </c>
      <c r="L508">
        <v>436518</v>
      </c>
      <c r="M508">
        <v>0</v>
      </c>
      <c r="N508">
        <v>391301.15</v>
      </c>
      <c r="O508">
        <v>167086.42000000001</v>
      </c>
      <c r="P508">
        <v>170242.47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701091.3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131096.70000000001</v>
      </c>
      <c r="AH508">
        <v>0</v>
      </c>
      <c r="AI508">
        <v>0</v>
      </c>
      <c r="AJ508">
        <v>2884618993.0973101</v>
      </c>
    </row>
    <row r="509" spans="1:36" x14ac:dyDescent="0.25">
      <c r="A509" t="s">
        <v>82</v>
      </c>
      <c r="B509" t="s">
        <v>25</v>
      </c>
      <c r="D509">
        <v>36391.519999999997</v>
      </c>
      <c r="E509">
        <v>12747.37</v>
      </c>
      <c r="G509">
        <v>0.18993199999999999</v>
      </c>
      <c r="H509">
        <v>0</v>
      </c>
      <c r="I509">
        <v>1641863.19</v>
      </c>
      <c r="J509">
        <v>463682.79</v>
      </c>
      <c r="K509">
        <v>0</v>
      </c>
      <c r="L509">
        <v>831153.37</v>
      </c>
      <c r="M509">
        <v>0</v>
      </c>
      <c r="N509">
        <v>341911.19</v>
      </c>
      <c r="O509">
        <v>317239.77</v>
      </c>
      <c r="P509">
        <v>333997.09999999998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821168.66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85804.77</v>
      </c>
      <c r="AH509">
        <v>0</v>
      </c>
      <c r="AI509">
        <v>0</v>
      </c>
      <c r="AJ509">
        <v>2554955441.8734698</v>
      </c>
    </row>
    <row r="510" spans="1:36" x14ac:dyDescent="0.25">
      <c r="A510" t="s">
        <v>83</v>
      </c>
      <c r="B510" t="s">
        <v>25</v>
      </c>
      <c r="C510">
        <v>948.05</v>
      </c>
      <c r="D510">
        <v>2706.52</v>
      </c>
      <c r="G510">
        <v>1.4126E-2</v>
      </c>
      <c r="H510">
        <v>0</v>
      </c>
      <c r="I510">
        <v>151916.57</v>
      </c>
      <c r="J510">
        <v>23792.959999999999</v>
      </c>
      <c r="K510">
        <v>0</v>
      </c>
      <c r="L510">
        <v>29466.65</v>
      </c>
      <c r="M510">
        <v>0</v>
      </c>
      <c r="N510">
        <v>125442.81</v>
      </c>
      <c r="O510">
        <v>21271.37</v>
      </c>
      <c r="P510">
        <v>18786.400000000001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137.41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3626.13</v>
      </c>
      <c r="AH510">
        <v>0</v>
      </c>
      <c r="AI510">
        <v>0</v>
      </c>
      <c r="AJ510">
        <v>259595687.763156</v>
      </c>
    </row>
    <row r="511" spans="1:36" x14ac:dyDescent="0.25">
      <c r="A511" t="s">
        <v>84</v>
      </c>
      <c r="B511" t="s">
        <v>25</v>
      </c>
      <c r="C511">
        <v>12747.37</v>
      </c>
      <c r="D511">
        <v>36391.519999999997</v>
      </c>
      <c r="G511">
        <v>0.18993199999999999</v>
      </c>
      <c r="H511">
        <v>0</v>
      </c>
      <c r="I511">
        <v>2302710.56</v>
      </c>
      <c r="J511">
        <v>463682.79</v>
      </c>
      <c r="K511">
        <v>0</v>
      </c>
      <c r="L511">
        <v>831153.37</v>
      </c>
      <c r="M511">
        <v>0</v>
      </c>
      <c r="N511">
        <v>343092.47</v>
      </c>
      <c r="O511">
        <v>363200.67</v>
      </c>
      <c r="P511">
        <v>336778.5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821250.33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85800.69</v>
      </c>
      <c r="AH511">
        <v>0</v>
      </c>
      <c r="AI511">
        <v>0</v>
      </c>
      <c r="AJ511">
        <v>3082045787.5496402</v>
      </c>
    </row>
    <row r="512" spans="1:36" x14ac:dyDescent="0.25">
      <c r="A512" t="s">
        <v>85</v>
      </c>
      <c r="B512" t="s">
        <v>25</v>
      </c>
      <c r="D512">
        <v>6007.07</v>
      </c>
      <c r="E512">
        <v>2104.1799999999998</v>
      </c>
      <c r="G512">
        <v>3.1351999999999998E-2</v>
      </c>
      <c r="H512">
        <v>0</v>
      </c>
      <c r="I512">
        <v>444924.68</v>
      </c>
      <c r="J512">
        <v>201226.15</v>
      </c>
      <c r="K512">
        <v>0</v>
      </c>
      <c r="L512">
        <v>282049.05</v>
      </c>
      <c r="M512">
        <v>0</v>
      </c>
      <c r="N512">
        <v>202301.37</v>
      </c>
      <c r="O512">
        <v>33837.33</v>
      </c>
      <c r="P512">
        <v>36952.79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290438.45</v>
      </c>
      <c r="W512">
        <v>0</v>
      </c>
      <c r="X512">
        <v>0</v>
      </c>
      <c r="Y512">
        <v>0</v>
      </c>
      <c r="Z512">
        <v>65854.75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93542.73</v>
      </c>
      <c r="AH512">
        <v>0</v>
      </c>
      <c r="AI512">
        <v>0</v>
      </c>
      <c r="AJ512">
        <v>732216872.05424404</v>
      </c>
    </row>
    <row r="513" spans="1:36" x14ac:dyDescent="0.25">
      <c r="A513" t="s">
        <v>86</v>
      </c>
      <c r="B513" t="s">
        <v>25</v>
      </c>
      <c r="C513">
        <v>2104.1799999999998</v>
      </c>
      <c r="D513">
        <v>6007.07</v>
      </c>
      <c r="G513">
        <v>3.1351999999999998E-2</v>
      </c>
      <c r="H513">
        <v>0</v>
      </c>
      <c r="I513">
        <v>561257.47</v>
      </c>
      <c r="J513">
        <v>201226.15</v>
      </c>
      <c r="K513">
        <v>0</v>
      </c>
      <c r="L513">
        <v>282049.05</v>
      </c>
      <c r="M513">
        <v>0</v>
      </c>
      <c r="N513">
        <v>202284.48</v>
      </c>
      <c r="O513">
        <v>39780.68</v>
      </c>
      <c r="P513">
        <v>36981.57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289748.03999999998</v>
      </c>
      <c r="W513">
        <v>0</v>
      </c>
      <c r="X513">
        <v>0</v>
      </c>
      <c r="Y513">
        <v>0</v>
      </c>
      <c r="Z513">
        <v>65854.75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93543.25</v>
      </c>
      <c r="AH513">
        <v>0</v>
      </c>
      <c r="AI513">
        <v>0</v>
      </c>
      <c r="AJ513">
        <v>828668743.67681003</v>
      </c>
    </row>
    <row r="514" spans="1:36" x14ac:dyDescent="0.25">
      <c r="A514" t="s">
        <v>87</v>
      </c>
      <c r="B514" t="s">
        <v>25</v>
      </c>
      <c r="C514">
        <v>15846.95</v>
      </c>
      <c r="D514">
        <v>45240.28</v>
      </c>
      <c r="G514">
        <v>0.23611499999999999</v>
      </c>
      <c r="H514">
        <v>0</v>
      </c>
      <c r="I514">
        <v>3074388.43</v>
      </c>
      <c r="J514">
        <v>857863.39</v>
      </c>
      <c r="K514">
        <v>0</v>
      </c>
      <c r="L514">
        <v>1141299.43</v>
      </c>
      <c r="M514">
        <v>0</v>
      </c>
      <c r="N514">
        <v>801564.47</v>
      </c>
      <c r="O514">
        <v>493171.75</v>
      </c>
      <c r="P514">
        <v>444161.65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1648602.24</v>
      </c>
      <c r="W514">
        <v>0</v>
      </c>
      <c r="X514">
        <v>0</v>
      </c>
      <c r="Y514">
        <v>0</v>
      </c>
      <c r="Z514">
        <v>43737.51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203701.21</v>
      </c>
      <c r="AH514">
        <v>0</v>
      </c>
      <c r="AI514">
        <v>0</v>
      </c>
      <c r="AJ514">
        <v>3768833553.5721798</v>
      </c>
    </row>
    <row r="515" spans="1:36" x14ac:dyDescent="0.25">
      <c r="A515" t="s">
        <v>88</v>
      </c>
      <c r="B515" t="s">
        <v>25</v>
      </c>
      <c r="C515">
        <v>2283.14</v>
      </c>
      <c r="D515">
        <v>6517.96</v>
      </c>
      <c r="G515">
        <v>3.4018E-2</v>
      </c>
      <c r="H515">
        <v>0</v>
      </c>
      <c r="I515">
        <v>668848.80000000005</v>
      </c>
      <c r="J515">
        <v>197273.03</v>
      </c>
      <c r="K515">
        <v>0</v>
      </c>
      <c r="L515">
        <v>258328.15</v>
      </c>
      <c r="M515">
        <v>0</v>
      </c>
      <c r="N515">
        <v>336701.08</v>
      </c>
      <c r="O515">
        <v>45208.4</v>
      </c>
      <c r="P515">
        <v>42323.56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135305.94</v>
      </c>
      <c r="W515">
        <v>0</v>
      </c>
      <c r="X515">
        <v>0</v>
      </c>
      <c r="Y515">
        <v>0</v>
      </c>
      <c r="Z515">
        <v>64094.3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171950.26</v>
      </c>
      <c r="AH515">
        <v>0</v>
      </c>
      <c r="AI515">
        <v>0</v>
      </c>
      <c r="AJ515">
        <v>1338483184.43471</v>
      </c>
    </row>
    <row r="516" spans="1:36" x14ac:dyDescent="0.25">
      <c r="A516" t="s">
        <v>89</v>
      </c>
      <c r="B516" t="s">
        <v>25</v>
      </c>
      <c r="D516">
        <v>6517.96</v>
      </c>
      <c r="E516">
        <v>2283.14</v>
      </c>
      <c r="G516">
        <v>3.4018E-2</v>
      </c>
      <c r="H516">
        <v>0</v>
      </c>
      <c r="I516">
        <v>551564.56000000006</v>
      </c>
      <c r="J516">
        <v>197273.03</v>
      </c>
      <c r="K516">
        <v>0</v>
      </c>
      <c r="L516">
        <v>258328.15</v>
      </c>
      <c r="M516">
        <v>0</v>
      </c>
      <c r="N516">
        <v>336762.78</v>
      </c>
      <c r="O516">
        <v>38609.82</v>
      </c>
      <c r="P516">
        <v>42226.09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135462.46</v>
      </c>
      <c r="W516">
        <v>0</v>
      </c>
      <c r="X516">
        <v>0</v>
      </c>
      <c r="Y516">
        <v>0</v>
      </c>
      <c r="Z516">
        <v>64094.3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171951.25</v>
      </c>
      <c r="AH516">
        <v>0</v>
      </c>
      <c r="AI516">
        <v>0</v>
      </c>
      <c r="AJ516">
        <v>1230253438.4623301</v>
      </c>
    </row>
    <row r="517" spans="1:36" x14ac:dyDescent="0.25">
      <c r="A517" t="s">
        <v>90</v>
      </c>
      <c r="B517" t="s">
        <v>25</v>
      </c>
      <c r="D517">
        <v>45240.28</v>
      </c>
      <c r="E517">
        <v>15846.95</v>
      </c>
      <c r="G517">
        <v>0.23611499999999999</v>
      </c>
      <c r="H517">
        <v>0</v>
      </c>
      <c r="I517">
        <v>2648698.7000000002</v>
      </c>
      <c r="J517">
        <v>857863.39</v>
      </c>
      <c r="K517">
        <v>0</v>
      </c>
      <c r="L517">
        <v>1141299.43</v>
      </c>
      <c r="M517">
        <v>0</v>
      </c>
      <c r="N517">
        <v>800963.7</v>
      </c>
      <c r="O517">
        <v>436766.56</v>
      </c>
      <c r="P517">
        <v>436992.18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1647927.23</v>
      </c>
      <c r="W517">
        <v>0</v>
      </c>
      <c r="X517">
        <v>0</v>
      </c>
      <c r="Y517">
        <v>0</v>
      </c>
      <c r="Z517">
        <v>43737.51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203717.46</v>
      </c>
      <c r="AH517">
        <v>0</v>
      </c>
      <c r="AI517">
        <v>0</v>
      </c>
      <c r="AJ517">
        <v>3738674031.3622799</v>
      </c>
    </row>
    <row r="518" spans="1:36" x14ac:dyDescent="0.25">
      <c r="A518" t="s">
        <v>91</v>
      </c>
      <c r="B518" t="s">
        <v>25</v>
      </c>
      <c r="D518">
        <v>40201.160000000003</v>
      </c>
      <c r="E518">
        <v>14081.83</v>
      </c>
      <c r="G518">
        <v>0.209815</v>
      </c>
      <c r="H518">
        <v>0</v>
      </c>
      <c r="I518">
        <v>1696450.86</v>
      </c>
      <c r="J518">
        <v>350734.07</v>
      </c>
      <c r="K518">
        <v>0</v>
      </c>
      <c r="L518">
        <v>936314.72</v>
      </c>
      <c r="M518">
        <v>0</v>
      </c>
      <c r="N518">
        <v>648097.88</v>
      </c>
      <c r="O518">
        <v>350214.15</v>
      </c>
      <c r="P518">
        <v>371772.12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905391.09</v>
      </c>
      <c r="W518">
        <v>0</v>
      </c>
      <c r="X518">
        <v>0</v>
      </c>
      <c r="Y518">
        <v>0</v>
      </c>
      <c r="Z518">
        <v>68627.600000000006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356277.67</v>
      </c>
      <c r="AH518">
        <v>0</v>
      </c>
      <c r="AI518">
        <v>0</v>
      </c>
      <c r="AJ518">
        <v>3081273625.5281</v>
      </c>
    </row>
    <row r="519" spans="1:36" x14ac:dyDescent="0.25">
      <c r="A519" t="s">
        <v>92</v>
      </c>
      <c r="B519" t="s">
        <v>25</v>
      </c>
      <c r="C519">
        <v>14081.83</v>
      </c>
      <c r="D519">
        <v>40201.160000000003</v>
      </c>
      <c r="G519">
        <v>0.209815</v>
      </c>
      <c r="H519">
        <v>0</v>
      </c>
      <c r="I519">
        <v>2329438.9900000002</v>
      </c>
      <c r="J519">
        <v>350734.07</v>
      </c>
      <c r="K519">
        <v>0</v>
      </c>
      <c r="L519">
        <v>936314.72</v>
      </c>
      <c r="M519">
        <v>0</v>
      </c>
      <c r="N519">
        <v>648412.54</v>
      </c>
      <c r="O519">
        <v>413338.84</v>
      </c>
      <c r="P519">
        <v>380803.4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905455.41</v>
      </c>
      <c r="W519">
        <v>0</v>
      </c>
      <c r="X519">
        <v>0</v>
      </c>
      <c r="Y519">
        <v>0</v>
      </c>
      <c r="Z519">
        <v>68627.600000000006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356253.98</v>
      </c>
      <c r="AH519">
        <v>0</v>
      </c>
      <c r="AI519">
        <v>0</v>
      </c>
      <c r="AJ519">
        <v>3342317486.2094402</v>
      </c>
    </row>
    <row r="520" spans="1:36" x14ac:dyDescent="0.25">
      <c r="A520" t="s">
        <v>94</v>
      </c>
      <c r="B520" t="s">
        <v>25</v>
      </c>
      <c r="D520">
        <v>90247.38</v>
      </c>
      <c r="E520">
        <v>31612.22</v>
      </c>
      <c r="G520">
        <v>0.47101300000000001</v>
      </c>
      <c r="H520">
        <v>0</v>
      </c>
      <c r="I520">
        <v>4934346.07</v>
      </c>
      <c r="J520">
        <v>1274541.22</v>
      </c>
      <c r="K520">
        <v>0</v>
      </c>
      <c r="L520">
        <v>3553012.2</v>
      </c>
      <c r="M520">
        <v>0</v>
      </c>
      <c r="N520">
        <v>1929019.36</v>
      </c>
      <c r="O520">
        <v>601249.78</v>
      </c>
      <c r="P520">
        <v>635158.69999999995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2807747.73</v>
      </c>
      <c r="W520">
        <v>0</v>
      </c>
      <c r="X520">
        <v>0</v>
      </c>
      <c r="Y520">
        <v>0</v>
      </c>
      <c r="Z520">
        <v>127428.8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544716.48</v>
      </c>
      <c r="AH520">
        <v>0</v>
      </c>
      <c r="AI520">
        <v>0</v>
      </c>
      <c r="AJ520">
        <v>8677080461.8987503</v>
      </c>
    </row>
    <row r="521" spans="1:36" x14ac:dyDescent="0.25">
      <c r="A521" t="s">
        <v>96</v>
      </c>
      <c r="B521" t="s">
        <v>25</v>
      </c>
      <c r="C521">
        <v>31612.22</v>
      </c>
      <c r="D521">
        <v>90247.38</v>
      </c>
      <c r="G521">
        <v>0.47101300000000001</v>
      </c>
      <c r="H521">
        <v>0</v>
      </c>
      <c r="I521">
        <v>5932097.0300000003</v>
      </c>
      <c r="J521">
        <v>1274541.22</v>
      </c>
      <c r="K521">
        <v>0</v>
      </c>
      <c r="L521">
        <v>3553012.2</v>
      </c>
      <c r="M521">
        <v>0</v>
      </c>
      <c r="N521">
        <v>1929368.26</v>
      </c>
      <c r="O521">
        <v>683428.28</v>
      </c>
      <c r="P521">
        <v>637035.03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2819014.85</v>
      </c>
      <c r="W521">
        <v>0</v>
      </c>
      <c r="X521">
        <v>0</v>
      </c>
      <c r="Y521">
        <v>0</v>
      </c>
      <c r="Z521">
        <v>127428.8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544675.36</v>
      </c>
      <c r="AH521">
        <v>0</v>
      </c>
      <c r="AI521">
        <v>0</v>
      </c>
      <c r="AJ521">
        <v>8931884578.1089096</v>
      </c>
    </row>
    <row r="522" spans="1:36" x14ac:dyDescent="0.25">
      <c r="A522" t="s">
        <v>335</v>
      </c>
      <c r="B522" t="s">
        <v>25</v>
      </c>
      <c r="D522">
        <v>20093.740000000002</v>
      </c>
      <c r="E522">
        <v>7038.52</v>
      </c>
      <c r="G522">
        <v>0.10487200000000001</v>
      </c>
      <c r="H522">
        <v>0</v>
      </c>
      <c r="I522">
        <v>888791.81</v>
      </c>
      <c r="J522">
        <v>394508.4</v>
      </c>
      <c r="K522">
        <v>0</v>
      </c>
      <c r="L522">
        <v>436518</v>
      </c>
      <c r="M522">
        <v>0</v>
      </c>
      <c r="N522">
        <v>286195.78000000003</v>
      </c>
      <c r="O522">
        <v>110612.39</v>
      </c>
      <c r="P522">
        <v>120288.59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517143.24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131086.93</v>
      </c>
      <c r="AH522">
        <v>0</v>
      </c>
      <c r="AI522">
        <v>0</v>
      </c>
      <c r="AJ522">
        <v>1993810024.6878901</v>
      </c>
    </row>
    <row r="523" spans="1:36" x14ac:dyDescent="0.25">
      <c r="A523" t="s">
        <v>336</v>
      </c>
      <c r="B523" t="s">
        <v>25</v>
      </c>
      <c r="C523">
        <v>7038.52</v>
      </c>
      <c r="D523">
        <v>20093.740000000002</v>
      </c>
      <c r="G523">
        <v>0.10487200000000001</v>
      </c>
      <c r="H523">
        <v>0</v>
      </c>
      <c r="I523">
        <v>1129241.1200000001</v>
      </c>
      <c r="J523">
        <v>394508.4</v>
      </c>
      <c r="K523">
        <v>0</v>
      </c>
      <c r="L523">
        <v>436518</v>
      </c>
      <c r="M523">
        <v>0</v>
      </c>
      <c r="N523">
        <v>286168.71999999997</v>
      </c>
      <c r="O523">
        <v>130843.86</v>
      </c>
      <c r="P523">
        <v>121094.37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517154.21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131080.06</v>
      </c>
      <c r="AH523">
        <v>0</v>
      </c>
      <c r="AI523">
        <v>0</v>
      </c>
      <c r="AJ523">
        <v>2023067740.10272</v>
      </c>
    </row>
    <row r="524" spans="1:36" x14ac:dyDescent="0.25">
      <c r="A524" t="s">
        <v>337</v>
      </c>
      <c r="B524" t="s">
        <v>25</v>
      </c>
      <c r="C524">
        <v>554.16</v>
      </c>
      <c r="D524">
        <v>1582.03</v>
      </c>
      <c r="G524">
        <v>8.2570000000000005E-3</v>
      </c>
      <c r="H524">
        <v>0</v>
      </c>
      <c r="I524">
        <v>80643.62</v>
      </c>
      <c r="J524">
        <v>12134.67</v>
      </c>
      <c r="K524">
        <v>0</v>
      </c>
      <c r="L524">
        <v>29466.65</v>
      </c>
      <c r="M524">
        <v>0</v>
      </c>
      <c r="N524">
        <v>64331.57</v>
      </c>
      <c r="O524">
        <v>10731.29</v>
      </c>
      <c r="P524">
        <v>9519.86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281.20999999999998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3625.94</v>
      </c>
      <c r="AH524">
        <v>0</v>
      </c>
      <c r="AI524">
        <v>0</v>
      </c>
      <c r="AJ524">
        <v>137459290.766525</v>
      </c>
    </row>
    <row r="525" spans="1:36" x14ac:dyDescent="0.25">
      <c r="A525" t="s">
        <v>338</v>
      </c>
      <c r="B525" t="s">
        <v>25</v>
      </c>
      <c r="D525">
        <v>1582.03</v>
      </c>
      <c r="E525">
        <v>554.16</v>
      </c>
      <c r="G525">
        <v>8.2570000000000005E-3</v>
      </c>
      <c r="H525">
        <v>0</v>
      </c>
      <c r="I525">
        <v>52956.92</v>
      </c>
      <c r="J525">
        <v>12134.67</v>
      </c>
      <c r="K525">
        <v>0</v>
      </c>
      <c r="L525">
        <v>29466.65</v>
      </c>
      <c r="M525">
        <v>0</v>
      </c>
      <c r="N525">
        <v>64331.92</v>
      </c>
      <c r="O525">
        <v>8442.65</v>
      </c>
      <c r="P525">
        <v>9375.57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281.20999999999998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3625.94</v>
      </c>
      <c r="AH525">
        <v>0</v>
      </c>
      <c r="AI525">
        <v>0</v>
      </c>
      <c r="AJ525">
        <v>110520113.167178</v>
      </c>
    </row>
    <row r="526" spans="1:36" x14ac:dyDescent="0.25">
      <c r="A526" t="s">
        <v>339</v>
      </c>
      <c r="B526" t="s">
        <v>25</v>
      </c>
      <c r="C526">
        <v>8821.4</v>
      </c>
      <c r="D526">
        <v>25183.55</v>
      </c>
      <c r="G526">
        <v>0.131436</v>
      </c>
      <c r="H526">
        <v>0</v>
      </c>
      <c r="I526">
        <v>1590061.86</v>
      </c>
      <c r="J526">
        <v>239542.44</v>
      </c>
      <c r="K526">
        <v>0</v>
      </c>
      <c r="L526">
        <v>831153.37</v>
      </c>
      <c r="M526">
        <v>0</v>
      </c>
      <c r="N526">
        <v>300747.93</v>
      </c>
      <c r="O526">
        <v>252888.16</v>
      </c>
      <c r="P526">
        <v>234195.13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573458.73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85791.48</v>
      </c>
      <c r="AH526">
        <v>0</v>
      </c>
      <c r="AI526">
        <v>0</v>
      </c>
      <c r="AJ526">
        <v>2181159678.1631699</v>
      </c>
    </row>
    <row r="527" spans="1:36" x14ac:dyDescent="0.25">
      <c r="A527" t="s">
        <v>340</v>
      </c>
      <c r="B527" t="s">
        <v>25</v>
      </c>
      <c r="D527">
        <v>25183.55</v>
      </c>
      <c r="E527">
        <v>8821.4</v>
      </c>
      <c r="G527">
        <v>0.131436</v>
      </c>
      <c r="H527">
        <v>0</v>
      </c>
      <c r="I527">
        <v>1263618.04</v>
      </c>
      <c r="J527">
        <v>239542.44</v>
      </c>
      <c r="K527">
        <v>0</v>
      </c>
      <c r="L527">
        <v>831153.37</v>
      </c>
      <c r="M527">
        <v>0</v>
      </c>
      <c r="N527">
        <v>300591.07</v>
      </c>
      <c r="O527">
        <v>223110.86</v>
      </c>
      <c r="P527">
        <v>232098.66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574715.15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85790.84</v>
      </c>
      <c r="AH527">
        <v>0</v>
      </c>
      <c r="AI527">
        <v>0</v>
      </c>
      <c r="AJ527">
        <v>2001829337.6762199</v>
      </c>
    </row>
    <row r="528" spans="1:36" x14ac:dyDescent="0.25">
      <c r="A528" t="s">
        <v>341</v>
      </c>
      <c r="B528" t="s">
        <v>25</v>
      </c>
      <c r="D528">
        <v>4536.17</v>
      </c>
      <c r="E528">
        <v>1588.95</v>
      </c>
      <c r="G528">
        <v>2.3675000000000002E-2</v>
      </c>
      <c r="H528">
        <v>0</v>
      </c>
      <c r="I528">
        <v>328760.46000000002</v>
      </c>
      <c r="J528">
        <v>103288.37</v>
      </c>
      <c r="K528">
        <v>0</v>
      </c>
      <c r="L528">
        <v>282049.05</v>
      </c>
      <c r="M528">
        <v>0</v>
      </c>
      <c r="N528">
        <v>133726.07</v>
      </c>
      <c r="O528">
        <v>24703.63</v>
      </c>
      <c r="P528">
        <v>27058.48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176357.29</v>
      </c>
      <c r="W528">
        <v>0</v>
      </c>
      <c r="X528">
        <v>0</v>
      </c>
      <c r="Y528">
        <v>0</v>
      </c>
      <c r="Z528">
        <v>65854.75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93548.4</v>
      </c>
      <c r="AH528">
        <v>0</v>
      </c>
      <c r="AI528">
        <v>0</v>
      </c>
      <c r="AJ528">
        <v>550657431.56746197</v>
      </c>
    </row>
    <row r="529" spans="1:36" x14ac:dyDescent="0.25">
      <c r="A529" t="s">
        <v>342</v>
      </c>
      <c r="B529" t="s">
        <v>25</v>
      </c>
      <c r="C529">
        <v>1588.95</v>
      </c>
      <c r="D529">
        <v>4536.17</v>
      </c>
      <c r="G529">
        <v>2.3675000000000002E-2</v>
      </c>
      <c r="H529">
        <v>0</v>
      </c>
      <c r="I529">
        <v>408190.59</v>
      </c>
      <c r="J529">
        <v>103288.37</v>
      </c>
      <c r="K529">
        <v>0</v>
      </c>
      <c r="L529">
        <v>282049.05</v>
      </c>
      <c r="M529">
        <v>0</v>
      </c>
      <c r="N529">
        <v>133711.67999999999</v>
      </c>
      <c r="O529">
        <v>29049.43</v>
      </c>
      <c r="P529">
        <v>27056.21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175973.67</v>
      </c>
      <c r="W529">
        <v>0</v>
      </c>
      <c r="X529">
        <v>0</v>
      </c>
      <c r="Y529">
        <v>0</v>
      </c>
      <c r="Z529">
        <v>65854.75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93535.42</v>
      </c>
      <c r="AH529">
        <v>0</v>
      </c>
      <c r="AI529">
        <v>0</v>
      </c>
      <c r="AJ529">
        <v>590499642.07194197</v>
      </c>
    </row>
    <row r="530" spans="1:36" x14ac:dyDescent="0.25">
      <c r="A530" t="s">
        <v>343</v>
      </c>
      <c r="B530" t="s">
        <v>25</v>
      </c>
      <c r="D530">
        <v>37973.300000000003</v>
      </c>
      <c r="E530">
        <v>13301.44</v>
      </c>
      <c r="G530">
        <v>0.198188</v>
      </c>
      <c r="H530">
        <v>0</v>
      </c>
      <c r="I530">
        <v>2004178.25</v>
      </c>
      <c r="J530">
        <v>626942.71</v>
      </c>
      <c r="K530">
        <v>0</v>
      </c>
      <c r="L530">
        <v>1141299.43</v>
      </c>
      <c r="M530">
        <v>0</v>
      </c>
      <c r="N530">
        <v>564387.06999999995</v>
      </c>
      <c r="O530">
        <v>360468.93</v>
      </c>
      <c r="P530">
        <v>365590.39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1089913.95</v>
      </c>
      <c r="W530">
        <v>0</v>
      </c>
      <c r="X530">
        <v>0</v>
      </c>
      <c r="Y530">
        <v>0</v>
      </c>
      <c r="Z530">
        <v>43737.51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203695.1</v>
      </c>
      <c r="AH530">
        <v>0</v>
      </c>
      <c r="AI530">
        <v>0</v>
      </c>
      <c r="AJ530">
        <v>2974385555.7600899</v>
      </c>
    </row>
    <row r="531" spans="1:36" x14ac:dyDescent="0.25">
      <c r="A531" t="s">
        <v>344</v>
      </c>
      <c r="B531" t="s">
        <v>25</v>
      </c>
      <c r="C531">
        <v>13301.44</v>
      </c>
      <c r="D531">
        <v>37973.300000000003</v>
      </c>
      <c r="G531">
        <v>0.198188</v>
      </c>
      <c r="H531">
        <v>0</v>
      </c>
      <c r="I531">
        <v>2528656.0299999998</v>
      </c>
      <c r="J531">
        <v>626942.71</v>
      </c>
      <c r="K531">
        <v>0</v>
      </c>
      <c r="L531">
        <v>1141299.43</v>
      </c>
      <c r="M531">
        <v>0</v>
      </c>
      <c r="N531">
        <v>565129.56000000006</v>
      </c>
      <c r="O531">
        <v>413918.81</v>
      </c>
      <c r="P531">
        <v>372581.02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1091891.68</v>
      </c>
      <c r="W531">
        <v>0</v>
      </c>
      <c r="X531">
        <v>0</v>
      </c>
      <c r="Y531">
        <v>0</v>
      </c>
      <c r="Z531">
        <v>43737.51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203675.6</v>
      </c>
      <c r="AH531">
        <v>0</v>
      </c>
      <c r="AI531">
        <v>0</v>
      </c>
      <c r="AJ531">
        <v>3036834628.7740102</v>
      </c>
    </row>
    <row r="532" spans="1:36" x14ac:dyDescent="0.25">
      <c r="A532" t="s">
        <v>345</v>
      </c>
      <c r="B532" t="s">
        <v>25</v>
      </c>
      <c r="D532">
        <v>4873.3</v>
      </c>
      <c r="E532">
        <v>1707.04</v>
      </c>
      <c r="G532">
        <v>2.5433999999999998E-2</v>
      </c>
      <c r="H532">
        <v>0</v>
      </c>
      <c r="I532">
        <v>450931.81</v>
      </c>
      <c r="J532">
        <v>94437.9</v>
      </c>
      <c r="K532">
        <v>0</v>
      </c>
      <c r="L532">
        <v>258328.15</v>
      </c>
      <c r="M532">
        <v>0</v>
      </c>
      <c r="N532">
        <v>265236.01</v>
      </c>
      <c r="O532">
        <v>28012.18</v>
      </c>
      <c r="P532">
        <v>30503.1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118574.18</v>
      </c>
      <c r="W532">
        <v>0</v>
      </c>
      <c r="X532">
        <v>0</v>
      </c>
      <c r="Y532">
        <v>0</v>
      </c>
      <c r="Z532">
        <v>64094.3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171935.8</v>
      </c>
      <c r="AH532">
        <v>0</v>
      </c>
      <c r="AI532">
        <v>0</v>
      </c>
      <c r="AJ532">
        <v>1001561714.49554</v>
      </c>
    </row>
    <row r="533" spans="1:36" x14ac:dyDescent="0.25">
      <c r="A533" t="s">
        <v>346</v>
      </c>
      <c r="B533" t="s">
        <v>25</v>
      </c>
      <c r="C533">
        <v>1707.04</v>
      </c>
      <c r="D533">
        <v>4873.3</v>
      </c>
      <c r="G533">
        <v>2.5433999999999998E-2</v>
      </c>
      <c r="H533">
        <v>0</v>
      </c>
      <c r="I533">
        <v>510699.2</v>
      </c>
      <c r="J533">
        <v>94437.9</v>
      </c>
      <c r="K533">
        <v>0</v>
      </c>
      <c r="L533">
        <v>258328.15</v>
      </c>
      <c r="M533">
        <v>0</v>
      </c>
      <c r="N533">
        <v>265196.11</v>
      </c>
      <c r="O533">
        <v>32642.76</v>
      </c>
      <c r="P533">
        <v>30576.23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118486.32</v>
      </c>
      <c r="W533">
        <v>0</v>
      </c>
      <c r="X533">
        <v>0</v>
      </c>
      <c r="Y533">
        <v>0</v>
      </c>
      <c r="Z533">
        <v>64094.3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171935.84</v>
      </c>
      <c r="AH533">
        <v>0</v>
      </c>
      <c r="AI533">
        <v>0</v>
      </c>
      <c r="AJ533">
        <v>1033009077.63665</v>
      </c>
    </row>
    <row r="534" spans="1:36" x14ac:dyDescent="0.25">
      <c r="A534" t="s">
        <v>347</v>
      </c>
      <c r="B534" t="s">
        <v>25</v>
      </c>
      <c r="D534">
        <v>67545.41</v>
      </c>
      <c r="E534">
        <v>23660.080000000002</v>
      </c>
      <c r="G534">
        <v>0.35252899999999998</v>
      </c>
      <c r="H534">
        <v>0</v>
      </c>
      <c r="I534">
        <v>3353886.4</v>
      </c>
      <c r="J534">
        <v>643032.05000000005</v>
      </c>
      <c r="K534">
        <v>0</v>
      </c>
      <c r="L534">
        <v>3553012.2</v>
      </c>
      <c r="M534">
        <v>0</v>
      </c>
      <c r="N534">
        <v>1511282.7</v>
      </c>
      <c r="O534">
        <v>402608.77</v>
      </c>
      <c r="P534">
        <v>439948.81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1873152.45</v>
      </c>
      <c r="W534">
        <v>0</v>
      </c>
      <c r="X534">
        <v>0</v>
      </c>
      <c r="Y534">
        <v>0</v>
      </c>
      <c r="Z534">
        <v>127428.8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544402.32999999996</v>
      </c>
      <c r="AH534">
        <v>0</v>
      </c>
      <c r="AI534">
        <v>0</v>
      </c>
      <c r="AJ534">
        <v>6497749283.7636299</v>
      </c>
    </row>
    <row r="535" spans="1:36" x14ac:dyDescent="0.25">
      <c r="A535" t="s">
        <v>348</v>
      </c>
      <c r="B535" t="s">
        <v>25</v>
      </c>
      <c r="D535">
        <v>32400.32</v>
      </c>
      <c r="E535">
        <v>11349.32</v>
      </c>
      <c r="G535">
        <v>0.169102</v>
      </c>
      <c r="H535">
        <v>0</v>
      </c>
      <c r="I535">
        <v>1280759.68</v>
      </c>
      <c r="J535">
        <v>163686.57</v>
      </c>
      <c r="K535">
        <v>0</v>
      </c>
      <c r="L535">
        <v>936314.72</v>
      </c>
      <c r="M535">
        <v>0</v>
      </c>
      <c r="N535">
        <v>501293.56</v>
      </c>
      <c r="O535">
        <v>277722.13</v>
      </c>
      <c r="P535">
        <v>294280.64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641920.99</v>
      </c>
      <c r="W535">
        <v>0</v>
      </c>
      <c r="X535">
        <v>0</v>
      </c>
      <c r="Y535">
        <v>0</v>
      </c>
      <c r="Z535">
        <v>68627.600000000006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356141.8</v>
      </c>
      <c r="AH535">
        <v>0</v>
      </c>
      <c r="AI535">
        <v>0</v>
      </c>
      <c r="AJ535">
        <v>2496649665.9562998</v>
      </c>
    </row>
    <row r="536" spans="1:36" x14ac:dyDescent="0.25">
      <c r="A536" t="s">
        <v>349</v>
      </c>
      <c r="B536" t="s">
        <v>25</v>
      </c>
      <c r="C536">
        <v>11349.32</v>
      </c>
      <c r="D536">
        <v>32400.32</v>
      </c>
      <c r="G536">
        <v>0.169102</v>
      </c>
      <c r="H536">
        <v>0</v>
      </c>
      <c r="I536">
        <v>1801267.05</v>
      </c>
      <c r="J536">
        <v>163686.57</v>
      </c>
      <c r="K536">
        <v>0</v>
      </c>
      <c r="L536">
        <v>936314.72</v>
      </c>
      <c r="M536">
        <v>0</v>
      </c>
      <c r="N536">
        <v>501162.28</v>
      </c>
      <c r="O536">
        <v>327880.90999999997</v>
      </c>
      <c r="P536">
        <v>301248.27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641581.07999999996</v>
      </c>
      <c r="W536">
        <v>0</v>
      </c>
      <c r="X536">
        <v>0</v>
      </c>
      <c r="Y536">
        <v>0</v>
      </c>
      <c r="Z536">
        <v>68627.600000000006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356152.64</v>
      </c>
      <c r="AH536">
        <v>0</v>
      </c>
      <c r="AI536">
        <v>0</v>
      </c>
      <c r="AJ536">
        <v>2514794924.2470398</v>
      </c>
    </row>
    <row r="537" spans="1:36" x14ac:dyDescent="0.25">
      <c r="A537" t="s">
        <v>350</v>
      </c>
      <c r="B537" t="s">
        <v>25</v>
      </c>
      <c r="C537">
        <v>23660.080000000002</v>
      </c>
      <c r="D537">
        <v>67545.41</v>
      </c>
      <c r="G537">
        <v>0.35252899999999998</v>
      </c>
      <c r="H537">
        <v>0</v>
      </c>
      <c r="I537">
        <v>4362973.42</v>
      </c>
      <c r="J537">
        <v>643032.05000000005</v>
      </c>
      <c r="K537">
        <v>0</v>
      </c>
      <c r="L537">
        <v>3553012.2</v>
      </c>
      <c r="M537">
        <v>0</v>
      </c>
      <c r="N537">
        <v>1511317.08</v>
      </c>
      <c r="O537">
        <v>473025.49</v>
      </c>
      <c r="P537">
        <v>441343.09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1873151.32</v>
      </c>
      <c r="W537">
        <v>0</v>
      </c>
      <c r="X537">
        <v>0</v>
      </c>
      <c r="Y537">
        <v>0</v>
      </c>
      <c r="Z537">
        <v>127428.8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544305.18999999994</v>
      </c>
      <c r="AH537">
        <v>0</v>
      </c>
      <c r="AI537">
        <v>0</v>
      </c>
      <c r="AJ537">
        <v>6773888755.4277096</v>
      </c>
    </row>
    <row r="538" spans="1:36" x14ac:dyDescent="0.25">
      <c r="A538" t="s">
        <v>577</v>
      </c>
      <c r="B538" t="s">
        <v>25</v>
      </c>
      <c r="C538">
        <v>1847.44</v>
      </c>
      <c r="D538">
        <v>5274.1</v>
      </c>
      <c r="G538">
        <v>2.7525999999999998E-2</v>
      </c>
      <c r="H538">
        <v>0</v>
      </c>
      <c r="I538">
        <v>460163.45</v>
      </c>
      <c r="J538">
        <v>125722.95</v>
      </c>
      <c r="K538">
        <v>0</v>
      </c>
      <c r="L538">
        <v>179632.92</v>
      </c>
      <c r="M538">
        <v>0</v>
      </c>
      <c r="N538">
        <v>113955.08</v>
      </c>
      <c r="O538">
        <v>41259.96</v>
      </c>
      <c r="P538">
        <v>38463.839999999997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131080.57999999999</v>
      </c>
      <c r="W538">
        <v>0</v>
      </c>
      <c r="X538">
        <v>0</v>
      </c>
      <c r="Y538">
        <v>0</v>
      </c>
      <c r="Z538">
        <v>25988.9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9051.49</v>
      </c>
      <c r="AH538">
        <v>0</v>
      </c>
      <c r="AI538">
        <v>0</v>
      </c>
      <c r="AJ538">
        <v>827114020.915869</v>
      </c>
    </row>
    <row r="539" spans="1:36" x14ac:dyDescent="0.25">
      <c r="A539" t="s">
        <v>578</v>
      </c>
      <c r="B539" t="s">
        <v>25</v>
      </c>
      <c r="D539">
        <v>5274.1</v>
      </c>
      <c r="E539">
        <v>1847.44</v>
      </c>
      <c r="G539">
        <v>2.7525999999999998E-2</v>
      </c>
      <c r="H539">
        <v>0</v>
      </c>
      <c r="I539">
        <v>372803.68</v>
      </c>
      <c r="J539">
        <v>125722.95</v>
      </c>
      <c r="K539">
        <v>0</v>
      </c>
      <c r="L539">
        <v>179632.92</v>
      </c>
      <c r="M539">
        <v>0</v>
      </c>
      <c r="N539">
        <v>113951.3</v>
      </c>
      <c r="O539">
        <v>35130.410000000003</v>
      </c>
      <c r="P539">
        <v>38249.57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132021.42000000001</v>
      </c>
      <c r="W539">
        <v>0</v>
      </c>
      <c r="X539">
        <v>0</v>
      </c>
      <c r="Y539">
        <v>0</v>
      </c>
      <c r="Z539">
        <v>25988.9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9028.48</v>
      </c>
      <c r="AH539">
        <v>0</v>
      </c>
      <c r="AI539">
        <v>0</v>
      </c>
      <c r="AJ539">
        <v>790513946.93565297</v>
      </c>
    </row>
    <row r="540" spans="1:36" x14ac:dyDescent="0.25">
      <c r="A540" t="s">
        <v>609</v>
      </c>
      <c r="B540" t="s">
        <v>25</v>
      </c>
      <c r="D540">
        <v>4678.63</v>
      </c>
      <c r="E540">
        <v>1638.85</v>
      </c>
      <c r="G540">
        <v>2.4417999999999999E-2</v>
      </c>
      <c r="H540">
        <v>0</v>
      </c>
      <c r="I540">
        <v>308378.55</v>
      </c>
      <c r="J540">
        <v>125722.95</v>
      </c>
      <c r="K540">
        <v>0</v>
      </c>
      <c r="L540">
        <v>179632.92</v>
      </c>
      <c r="M540">
        <v>0</v>
      </c>
      <c r="N540">
        <v>94833.34</v>
      </c>
      <c r="O540">
        <v>30956.82</v>
      </c>
      <c r="P540">
        <v>33884.9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126384.18</v>
      </c>
      <c r="W540">
        <v>0</v>
      </c>
      <c r="X540">
        <v>0</v>
      </c>
      <c r="Y540">
        <v>0</v>
      </c>
      <c r="Z540">
        <v>25988.9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9025.39</v>
      </c>
      <c r="AH540">
        <v>0</v>
      </c>
      <c r="AI540">
        <v>0</v>
      </c>
      <c r="AJ540">
        <v>683402726.19143498</v>
      </c>
    </row>
    <row r="541" spans="1:36" x14ac:dyDescent="0.25">
      <c r="A541" t="s">
        <v>610</v>
      </c>
      <c r="B541" t="s">
        <v>25</v>
      </c>
      <c r="C541">
        <v>1638.85</v>
      </c>
      <c r="D541">
        <v>4678.63</v>
      </c>
      <c r="G541">
        <v>2.4417999999999999E-2</v>
      </c>
      <c r="H541">
        <v>0</v>
      </c>
      <c r="I541">
        <v>382912.15</v>
      </c>
      <c r="J541">
        <v>125722.95</v>
      </c>
      <c r="K541">
        <v>0</v>
      </c>
      <c r="L541">
        <v>179632.92</v>
      </c>
      <c r="M541">
        <v>0</v>
      </c>
      <c r="N541">
        <v>94837.84</v>
      </c>
      <c r="O541">
        <v>36593.43</v>
      </c>
      <c r="P541">
        <v>34096.11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126345.02</v>
      </c>
      <c r="W541">
        <v>0</v>
      </c>
      <c r="X541">
        <v>0</v>
      </c>
      <c r="Y541">
        <v>0</v>
      </c>
      <c r="Z541">
        <v>25988.9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9031.5499999999993</v>
      </c>
      <c r="AH541">
        <v>0</v>
      </c>
      <c r="AI541">
        <v>0</v>
      </c>
      <c r="AJ541">
        <v>712673989.05169106</v>
      </c>
    </row>
    <row r="542" spans="1:36" x14ac:dyDescent="0.25">
      <c r="A542" t="s">
        <v>63</v>
      </c>
      <c r="B542" t="s">
        <v>26</v>
      </c>
      <c r="C542">
        <v>7896.37</v>
      </c>
      <c r="D542">
        <v>22542.75</v>
      </c>
      <c r="G542">
        <v>0.11765399999999999</v>
      </c>
      <c r="H542">
        <v>0</v>
      </c>
      <c r="I542">
        <v>714504.28</v>
      </c>
      <c r="J542">
        <v>774617.57</v>
      </c>
      <c r="K542">
        <v>0</v>
      </c>
      <c r="L542">
        <v>436518</v>
      </c>
      <c r="M542">
        <v>0</v>
      </c>
      <c r="N542">
        <v>435609.15</v>
      </c>
      <c r="O542">
        <v>137053.93</v>
      </c>
      <c r="P542">
        <v>102131.14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805901.84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174067.02</v>
      </c>
      <c r="AH542">
        <v>0</v>
      </c>
      <c r="AI542">
        <v>0</v>
      </c>
      <c r="AJ542">
        <v>2175412275.6562901</v>
      </c>
    </row>
    <row r="543" spans="1:36" x14ac:dyDescent="0.25">
      <c r="A543" t="s">
        <v>64</v>
      </c>
      <c r="B543" t="s">
        <v>26</v>
      </c>
      <c r="D543">
        <v>22542.75</v>
      </c>
      <c r="E543">
        <v>7896.37</v>
      </c>
      <c r="G543">
        <v>0.11765399999999999</v>
      </c>
      <c r="H543">
        <v>0</v>
      </c>
      <c r="I543">
        <v>610630.74</v>
      </c>
      <c r="J543">
        <v>774617.57</v>
      </c>
      <c r="K543">
        <v>0</v>
      </c>
      <c r="L543">
        <v>436518</v>
      </c>
      <c r="M543">
        <v>0</v>
      </c>
      <c r="N543">
        <v>435476</v>
      </c>
      <c r="O543">
        <v>118153.94</v>
      </c>
      <c r="P543">
        <v>100432.22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806652.59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174071.63</v>
      </c>
      <c r="AH543">
        <v>0</v>
      </c>
      <c r="AI543">
        <v>0</v>
      </c>
      <c r="AJ543">
        <v>2096476695.2878301</v>
      </c>
    </row>
    <row r="544" spans="1:36" x14ac:dyDescent="0.25">
      <c r="A544" t="s">
        <v>65</v>
      </c>
      <c r="B544" t="s">
        <v>26</v>
      </c>
      <c r="D544">
        <v>2485.41</v>
      </c>
      <c r="E544">
        <v>870.6</v>
      </c>
      <c r="G544">
        <v>1.2971999999999999E-2</v>
      </c>
      <c r="H544">
        <v>0</v>
      </c>
      <c r="I544">
        <v>46039.41</v>
      </c>
      <c r="J544">
        <v>23792.959999999999</v>
      </c>
      <c r="K544">
        <v>0</v>
      </c>
      <c r="L544">
        <v>29466.65</v>
      </c>
      <c r="M544">
        <v>0</v>
      </c>
      <c r="N544">
        <v>133201.28</v>
      </c>
      <c r="O544">
        <v>12004.48</v>
      </c>
      <c r="P544">
        <v>10101.049999999999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6209.76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4620.76</v>
      </c>
      <c r="AH544">
        <v>0</v>
      </c>
      <c r="AI544">
        <v>0</v>
      </c>
      <c r="AJ544">
        <v>168308373.736523</v>
      </c>
    </row>
    <row r="545" spans="1:36" x14ac:dyDescent="0.25">
      <c r="A545" t="s">
        <v>66</v>
      </c>
      <c r="B545" t="s">
        <v>26</v>
      </c>
      <c r="D545">
        <v>5141.88</v>
      </c>
      <c r="E545">
        <v>1801.12</v>
      </c>
      <c r="G545">
        <v>2.6835999999999999E-2</v>
      </c>
      <c r="H545">
        <v>0</v>
      </c>
      <c r="I545">
        <v>240593.34</v>
      </c>
      <c r="J545">
        <v>201226.15</v>
      </c>
      <c r="K545">
        <v>0</v>
      </c>
      <c r="L545">
        <v>282049.05</v>
      </c>
      <c r="M545">
        <v>0</v>
      </c>
      <c r="N545">
        <v>181145.4</v>
      </c>
      <c r="O545">
        <v>24923.18</v>
      </c>
      <c r="P545">
        <v>21471.64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390516.18</v>
      </c>
      <c r="W545">
        <v>0</v>
      </c>
      <c r="X545">
        <v>0</v>
      </c>
      <c r="Y545">
        <v>0</v>
      </c>
      <c r="Z545">
        <v>65854.75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124220.75</v>
      </c>
      <c r="AH545">
        <v>0</v>
      </c>
      <c r="AI545">
        <v>0</v>
      </c>
      <c r="AJ545">
        <v>571220287.34349406</v>
      </c>
    </row>
    <row r="546" spans="1:36" x14ac:dyDescent="0.25">
      <c r="A546" t="s">
        <v>67</v>
      </c>
      <c r="B546" t="s">
        <v>26</v>
      </c>
      <c r="D546">
        <v>33199.050000000003</v>
      </c>
      <c r="E546">
        <v>11629.1</v>
      </c>
      <c r="G546">
        <v>0.17327000000000001</v>
      </c>
      <c r="H546">
        <v>0</v>
      </c>
      <c r="I546">
        <v>846168.71</v>
      </c>
      <c r="J546">
        <v>463682.79</v>
      </c>
      <c r="K546">
        <v>0</v>
      </c>
      <c r="L546">
        <v>831153.37</v>
      </c>
      <c r="M546">
        <v>0</v>
      </c>
      <c r="N546">
        <v>342339.08</v>
      </c>
      <c r="O546">
        <v>251405.55</v>
      </c>
      <c r="P546">
        <v>199238.75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1111746.06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113906.4</v>
      </c>
      <c r="AH546">
        <v>0</v>
      </c>
      <c r="AI546">
        <v>0</v>
      </c>
      <c r="AJ546">
        <v>1791733580.9113801</v>
      </c>
    </row>
    <row r="547" spans="1:36" x14ac:dyDescent="0.25">
      <c r="A547" t="s">
        <v>68</v>
      </c>
      <c r="B547" t="s">
        <v>26</v>
      </c>
      <c r="C547">
        <v>870.6</v>
      </c>
      <c r="D547">
        <v>2485.41</v>
      </c>
      <c r="G547">
        <v>1.2971999999999999E-2</v>
      </c>
      <c r="H547">
        <v>0</v>
      </c>
      <c r="I547">
        <v>65825.39</v>
      </c>
      <c r="J547">
        <v>23792.959999999999</v>
      </c>
      <c r="K547">
        <v>0</v>
      </c>
      <c r="L547">
        <v>29466.65</v>
      </c>
      <c r="M547">
        <v>0</v>
      </c>
      <c r="N547">
        <v>133201.43</v>
      </c>
      <c r="O547">
        <v>16410.830000000002</v>
      </c>
      <c r="P547">
        <v>10753.92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6209.84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4620.75</v>
      </c>
      <c r="AH547">
        <v>0</v>
      </c>
      <c r="AI547">
        <v>0</v>
      </c>
      <c r="AJ547">
        <v>202982562.87209699</v>
      </c>
    </row>
    <row r="548" spans="1:36" x14ac:dyDescent="0.25">
      <c r="A548" t="s">
        <v>69</v>
      </c>
      <c r="B548" t="s">
        <v>26</v>
      </c>
      <c r="C548">
        <v>11629.1</v>
      </c>
      <c r="D548">
        <v>33199.050000000003</v>
      </c>
      <c r="G548">
        <v>0.17327000000000001</v>
      </c>
      <c r="H548">
        <v>0</v>
      </c>
      <c r="I548">
        <v>1180296.33</v>
      </c>
      <c r="J548">
        <v>463682.79</v>
      </c>
      <c r="K548">
        <v>0</v>
      </c>
      <c r="L548">
        <v>831153.37</v>
      </c>
      <c r="M548">
        <v>0</v>
      </c>
      <c r="N548">
        <v>342895.24</v>
      </c>
      <c r="O548">
        <v>294170.28999999998</v>
      </c>
      <c r="P548">
        <v>205776.92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1106076.08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113905.1</v>
      </c>
      <c r="AH548">
        <v>0</v>
      </c>
      <c r="AI548">
        <v>0</v>
      </c>
      <c r="AJ548">
        <v>2292616083.85043</v>
      </c>
    </row>
    <row r="549" spans="1:36" x14ac:dyDescent="0.25">
      <c r="A549" t="s">
        <v>70</v>
      </c>
      <c r="B549" t="s">
        <v>26</v>
      </c>
      <c r="C549">
        <v>1801.12</v>
      </c>
      <c r="D549">
        <v>5141.88</v>
      </c>
      <c r="G549">
        <v>2.6835999999999999E-2</v>
      </c>
      <c r="H549">
        <v>0</v>
      </c>
      <c r="I549">
        <v>274607.51</v>
      </c>
      <c r="J549">
        <v>201226.15</v>
      </c>
      <c r="K549">
        <v>0</v>
      </c>
      <c r="L549">
        <v>282049.05</v>
      </c>
      <c r="M549">
        <v>0</v>
      </c>
      <c r="N549">
        <v>181160.18</v>
      </c>
      <c r="O549">
        <v>28413.71</v>
      </c>
      <c r="P549">
        <v>21550.91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390558.22</v>
      </c>
      <c r="W549">
        <v>0</v>
      </c>
      <c r="X549">
        <v>0</v>
      </c>
      <c r="Y549">
        <v>0</v>
      </c>
      <c r="Z549">
        <v>65854.75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124220.06</v>
      </c>
      <c r="AH549">
        <v>0</v>
      </c>
      <c r="AI549">
        <v>0</v>
      </c>
      <c r="AJ549">
        <v>622621425.76215303</v>
      </c>
    </row>
    <row r="550" spans="1:36" x14ac:dyDescent="0.25">
      <c r="A550" t="s">
        <v>71</v>
      </c>
      <c r="B550" t="s">
        <v>26</v>
      </c>
      <c r="C550">
        <v>13909.61</v>
      </c>
      <c r="D550">
        <v>39709.5</v>
      </c>
      <c r="G550">
        <v>0.20724899999999999</v>
      </c>
      <c r="H550">
        <v>0</v>
      </c>
      <c r="I550">
        <v>1615680.5</v>
      </c>
      <c r="J550">
        <v>857863.39</v>
      </c>
      <c r="K550">
        <v>0</v>
      </c>
      <c r="L550">
        <v>1141299.43</v>
      </c>
      <c r="M550">
        <v>0</v>
      </c>
      <c r="N550">
        <v>794392.67</v>
      </c>
      <c r="O550">
        <v>434750.09</v>
      </c>
      <c r="P550">
        <v>274551.58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1729955.96</v>
      </c>
      <c r="W550">
        <v>0</v>
      </c>
      <c r="X550">
        <v>0</v>
      </c>
      <c r="Y550">
        <v>0</v>
      </c>
      <c r="Z550">
        <v>43737.51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270731.51</v>
      </c>
      <c r="AH550">
        <v>0</v>
      </c>
      <c r="AI550">
        <v>0</v>
      </c>
      <c r="AJ550">
        <v>2954414684.7699399</v>
      </c>
    </row>
    <row r="551" spans="1:36" x14ac:dyDescent="0.25">
      <c r="A551" t="s">
        <v>72</v>
      </c>
      <c r="B551" t="s">
        <v>26</v>
      </c>
      <c r="D551">
        <v>39709.5</v>
      </c>
      <c r="E551">
        <v>13909.61</v>
      </c>
      <c r="G551">
        <v>0.20724899999999999</v>
      </c>
      <c r="H551">
        <v>0</v>
      </c>
      <c r="I551">
        <v>1278898.54</v>
      </c>
      <c r="J551">
        <v>857863.39</v>
      </c>
      <c r="K551">
        <v>0</v>
      </c>
      <c r="L551">
        <v>1141299.43</v>
      </c>
      <c r="M551">
        <v>0</v>
      </c>
      <c r="N551">
        <v>791718.12</v>
      </c>
      <c r="O551">
        <v>371625.91</v>
      </c>
      <c r="P551">
        <v>261948.75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1739640.58</v>
      </c>
      <c r="W551">
        <v>0</v>
      </c>
      <c r="X551">
        <v>0</v>
      </c>
      <c r="Y551">
        <v>0</v>
      </c>
      <c r="Z551">
        <v>43737.51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270719.35999999999</v>
      </c>
      <c r="AH551">
        <v>0</v>
      </c>
      <c r="AI551">
        <v>0</v>
      </c>
      <c r="AJ551">
        <v>2550418303.8057399</v>
      </c>
    </row>
    <row r="552" spans="1:36" x14ac:dyDescent="0.25">
      <c r="A552" t="s">
        <v>73</v>
      </c>
      <c r="B552" t="s">
        <v>26</v>
      </c>
      <c r="D552">
        <v>80049.440000000002</v>
      </c>
      <c r="E552">
        <v>28040.05</v>
      </c>
      <c r="G552">
        <v>0.41778900000000002</v>
      </c>
      <c r="H552">
        <v>0</v>
      </c>
      <c r="I552">
        <v>2524321.64</v>
      </c>
      <c r="J552">
        <v>1274541.22</v>
      </c>
      <c r="K552">
        <v>0</v>
      </c>
      <c r="L552">
        <v>3553012.2</v>
      </c>
      <c r="M552">
        <v>0</v>
      </c>
      <c r="N552">
        <v>1859200.42</v>
      </c>
      <c r="O552">
        <v>450012.08</v>
      </c>
      <c r="P552">
        <v>379411.13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2814811.35</v>
      </c>
      <c r="W552">
        <v>0</v>
      </c>
      <c r="X552">
        <v>0</v>
      </c>
      <c r="Y552">
        <v>0</v>
      </c>
      <c r="Z552">
        <v>127428.8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725832.77</v>
      </c>
      <c r="AH552">
        <v>0</v>
      </c>
      <c r="AI552">
        <v>0</v>
      </c>
      <c r="AJ552">
        <v>6489795638.3838701</v>
      </c>
    </row>
    <row r="553" spans="1:36" x14ac:dyDescent="0.25">
      <c r="A553" t="s">
        <v>74</v>
      </c>
      <c r="B553" t="s">
        <v>26</v>
      </c>
      <c r="D553">
        <v>5522.32</v>
      </c>
      <c r="E553">
        <v>1934.38</v>
      </c>
      <c r="G553">
        <v>2.8822E-2</v>
      </c>
      <c r="H553">
        <v>0</v>
      </c>
      <c r="I553">
        <v>278503.46000000002</v>
      </c>
      <c r="J553">
        <v>197273.03</v>
      </c>
      <c r="K553">
        <v>0</v>
      </c>
      <c r="L553">
        <v>258328.15</v>
      </c>
      <c r="M553">
        <v>0</v>
      </c>
      <c r="N553">
        <v>410184.4</v>
      </c>
      <c r="O553">
        <v>28220.74</v>
      </c>
      <c r="P553">
        <v>24622.23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241664.99</v>
      </c>
      <c r="W553">
        <v>0</v>
      </c>
      <c r="X553">
        <v>0</v>
      </c>
      <c r="Y553">
        <v>0</v>
      </c>
      <c r="Z553">
        <v>64094.3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228586.75</v>
      </c>
      <c r="AH553">
        <v>0</v>
      </c>
      <c r="AI553">
        <v>0</v>
      </c>
      <c r="AJ553">
        <v>838737985.06535804</v>
      </c>
    </row>
    <row r="554" spans="1:36" x14ac:dyDescent="0.25">
      <c r="A554" t="s">
        <v>75</v>
      </c>
      <c r="B554" t="s">
        <v>26</v>
      </c>
      <c r="C554">
        <v>1934.38</v>
      </c>
      <c r="D554">
        <v>5522.32</v>
      </c>
      <c r="G554">
        <v>2.8822E-2</v>
      </c>
      <c r="H554">
        <v>0</v>
      </c>
      <c r="I554">
        <v>303894.69</v>
      </c>
      <c r="J554">
        <v>197273.03</v>
      </c>
      <c r="K554">
        <v>0</v>
      </c>
      <c r="L554">
        <v>258328.15</v>
      </c>
      <c r="M554">
        <v>0</v>
      </c>
      <c r="N554">
        <v>410092.9</v>
      </c>
      <c r="O554">
        <v>31825.33</v>
      </c>
      <c r="P554">
        <v>24666.93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240480.02</v>
      </c>
      <c r="W554">
        <v>0</v>
      </c>
      <c r="X554">
        <v>0</v>
      </c>
      <c r="Y554">
        <v>0</v>
      </c>
      <c r="Z554">
        <v>64094.3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228588.07</v>
      </c>
      <c r="AH554">
        <v>0</v>
      </c>
      <c r="AI554">
        <v>0</v>
      </c>
      <c r="AJ554">
        <v>924446410.67916</v>
      </c>
    </row>
    <row r="555" spans="1:36" x14ac:dyDescent="0.25">
      <c r="A555" t="s">
        <v>76</v>
      </c>
      <c r="B555" t="s">
        <v>26</v>
      </c>
      <c r="D555">
        <v>34098.03</v>
      </c>
      <c r="E555">
        <v>11944</v>
      </c>
      <c r="G555">
        <v>0.17796200000000001</v>
      </c>
      <c r="H555">
        <v>0</v>
      </c>
      <c r="I555">
        <v>959178.39</v>
      </c>
      <c r="J555">
        <v>350734.07</v>
      </c>
      <c r="K555">
        <v>0</v>
      </c>
      <c r="L555">
        <v>936314.72</v>
      </c>
      <c r="M555">
        <v>0</v>
      </c>
      <c r="N555">
        <v>573903.31000000006</v>
      </c>
      <c r="O555">
        <v>273988.26</v>
      </c>
      <c r="P555">
        <v>210598.36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796036.92</v>
      </c>
      <c r="W555">
        <v>0</v>
      </c>
      <c r="X555">
        <v>0</v>
      </c>
      <c r="Y555">
        <v>0</v>
      </c>
      <c r="Z555">
        <v>68627.600000000006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475884.17</v>
      </c>
      <c r="AH555">
        <v>0</v>
      </c>
      <c r="AI555">
        <v>0</v>
      </c>
      <c r="AJ555">
        <v>1453463093.5112</v>
      </c>
    </row>
    <row r="556" spans="1:36" x14ac:dyDescent="0.25">
      <c r="A556" t="s">
        <v>79</v>
      </c>
      <c r="B556" t="s">
        <v>26</v>
      </c>
      <c r="C556">
        <v>28040.05</v>
      </c>
      <c r="D556">
        <v>80049.440000000002</v>
      </c>
      <c r="G556">
        <v>0.41778900000000002</v>
      </c>
      <c r="H556">
        <v>0</v>
      </c>
      <c r="I556">
        <v>2943990.37</v>
      </c>
      <c r="J556">
        <v>1274541.22</v>
      </c>
      <c r="K556">
        <v>0</v>
      </c>
      <c r="L556">
        <v>3553012.2</v>
      </c>
      <c r="M556">
        <v>0</v>
      </c>
      <c r="N556">
        <v>1861189.15</v>
      </c>
      <c r="O556">
        <v>508781.92</v>
      </c>
      <c r="P556">
        <v>380878.38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2770397.04</v>
      </c>
      <c r="W556">
        <v>0</v>
      </c>
      <c r="X556">
        <v>0</v>
      </c>
      <c r="Y556">
        <v>0</v>
      </c>
      <c r="Z556">
        <v>127428.8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725891.87</v>
      </c>
      <c r="AH556">
        <v>0</v>
      </c>
      <c r="AI556">
        <v>0</v>
      </c>
      <c r="AJ556">
        <v>7458735780.9167805</v>
      </c>
    </row>
    <row r="557" spans="1:36" x14ac:dyDescent="0.25">
      <c r="A557" t="s">
        <v>81</v>
      </c>
      <c r="B557" t="s">
        <v>26</v>
      </c>
      <c r="C557">
        <v>11944</v>
      </c>
      <c r="D557">
        <v>34098.03</v>
      </c>
      <c r="G557">
        <v>0.17796200000000001</v>
      </c>
      <c r="H557">
        <v>0</v>
      </c>
      <c r="I557">
        <v>1156077.73</v>
      </c>
      <c r="J557">
        <v>350734.07</v>
      </c>
      <c r="K557">
        <v>0</v>
      </c>
      <c r="L557">
        <v>936314.72</v>
      </c>
      <c r="M557">
        <v>0</v>
      </c>
      <c r="N557">
        <v>573970.5</v>
      </c>
      <c r="O557">
        <v>319589.51</v>
      </c>
      <c r="P557">
        <v>223343.81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790912.52</v>
      </c>
      <c r="W557">
        <v>0</v>
      </c>
      <c r="X557">
        <v>0</v>
      </c>
      <c r="Y557">
        <v>0</v>
      </c>
      <c r="Z557">
        <v>68627.600000000006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475864.26</v>
      </c>
      <c r="AH557">
        <v>0</v>
      </c>
      <c r="AI557">
        <v>0</v>
      </c>
      <c r="AJ557">
        <v>1553111871.39235</v>
      </c>
    </row>
    <row r="558" spans="1:36" x14ac:dyDescent="0.25">
      <c r="A558" t="s">
        <v>319</v>
      </c>
      <c r="B558" t="s">
        <v>26</v>
      </c>
      <c r="D558">
        <v>15946.91</v>
      </c>
      <c r="E558">
        <v>5585.95</v>
      </c>
      <c r="G558">
        <v>8.3228999999999997E-2</v>
      </c>
      <c r="H558">
        <v>0</v>
      </c>
      <c r="I558">
        <v>449048.38</v>
      </c>
      <c r="J558">
        <v>394508.4</v>
      </c>
      <c r="K558">
        <v>0</v>
      </c>
      <c r="L558">
        <v>436518</v>
      </c>
      <c r="M558">
        <v>0</v>
      </c>
      <c r="N558">
        <v>288004.57</v>
      </c>
      <c r="O558">
        <v>72943</v>
      </c>
      <c r="P558">
        <v>67436.649999999994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578239.31999999995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174059.91</v>
      </c>
      <c r="AH558">
        <v>0</v>
      </c>
      <c r="AI558">
        <v>0</v>
      </c>
      <c r="AJ558">
        <v>1636597668.1107399</v>
      </c>
    </row>
    <row r="559" spans="1:36" x14ac:dyDescent="0.25">
      <c r="A559" t="s">
        <v>320</v>
      </c>
      <c r="B559" t="s">
        <v>26</v>
      </c>
      <c r="C559">
        <v>5585.95</v>
      </c>
      <c r="D559">
        <v>15946.91</v>
      </c>
      <c r="G559">
        <v>8.3228999999999997E-2</v>
      </c>
      <c r="H559">
        <v>0</v>
      </c>
      <c r="I559">
        <v>491944.21</v>
      </c>
      <c r="J559">
        <v>394508.4</v>
      </c>
      <c r="K559">
        <v>0</v>
      </c>
      <c r="L559">
        <v>436518</v>
      </c>
      <c r="M559">
        <v>0</v>
      </c>
      <c r="N559">
        <v>288113.90999999997</v>
      </c>
      <c r="O559">
        <v>83854.570000000007</v>
      </c>
      <c r="P559">
        <v>68196.649999999994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577616.27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174058.49</v>
      </c>
      <c r="AH559">
        <v>0</v>
      </c>
      <c r="AI559">
        <v>0</v>
      </c>
      <c r="AJ559">
        <v>1620367272.70275</v>
      </c>
    </row>
    <row r="560" spans="1:36" x14ac:dyDescent="0.25">
      <c r="A560" t="s">
        <v>321</v>
      </c>
      <c r="B560" t="s">
        <v>26</v>
      </c>
      <c r="D560">
        <v>1394.09</v>
      </c>
      <c r="E560">
        <v>488.33</v>
      </c>
      <c r="G560">
        <v>7.2760000000000003E-3</v>
      </c>
      <c r="H560">
        <v>0</v>
      </c>
      <c r="I560">
        <v>22357.07</v>
      </c>
      <c r="J560">
        <v>12134.67</v>
      </c>
      <c r="K560">
        <v>0</v>
      </c>
      <c r="L560">
        <v>29466.65</v>
      </c>
      <c r="M560">
        <v>0</v>
      </c>
      <c r="N560">
        <v>69147.899999999994</v>
      </c>
      <c r="O560">
        <v>5562.3</v>
      </c>
      <c r="P560">
        <v>5097.45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9275.7900000000009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4620.5200000000004</v>
      </c>
      <c r="AH560">
        <v>0</v>
      </c>
      <c r="AI560">
        <v>0</v>
      </c>
      <c r="AJ560">
        <v>88952786.016296506</v>
      </c>
    </row>
    <row r="561" spans="1:36" x14ac:dyDescent="0.25">
      <c r="A561" t="s">
        <v>322</v>
      </c>
      <c r="B561" t="s">
        <v>26</v>
      </c>
      <c r="C561">
        <v>488.33</v>
      </c>
      <c r="D561">
        <v>1394.09</v>
      </c>
      <c r="G561">
        <v>7.2760000000000003E-3</v>
      </c>
      <c r="H561">
        <v>0</v>
      </c>
      <c r="I561">
        <v>31931.71</v>
      </c>
      <c r="J561">
        <v>12134.67</v>
      </c>
      <c r="K561">
        <v>0</v>
      </c>
      <c r="L561">
        <v>29466.65</v>
      </c>
      <c r="M561">
        <v>0</v>
      </c>
      <c r="N561">
        <v>69147.66</v>
      </c>
      <c r="O561">
        <v>7470.68</v>
      </c>
      <c r="P561">
        <v>5360.73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9275.7999999999993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4620.5200000000004</v>
      </c>
      <c r="AH561">
        <v>0</v>
      </c>
      <c r="AI561">
        <v>0</v>
      </c>
      <c r="AJ561">
        <v>104036318.550659</v>
      </c>
    </row>
    <row r="562" spans="1:36" x14ac:dyDescent="0.25">
      <c r="A562" t="s">
        <v>323</v>
      </c>
      <c r="B562" t="s">
        <v>26</v>
      </c>
      <c r="D562">
        <v>3790.34</v>
      </c>
      <c r="E562">
        <v>1327.7</v>
      </c>
      <c r="G562">
        <v>1.9782000000000001E-2</v>
      </c>
      <c r="H562">
        <v>0</v>
      </c>
      <c r="I562">
        <v>164349.18</v>
      </c>
      <c r="J562">
        <v>103288.37</v>
      </c>
      <c r="K562">
        <v>0</v>
      </c>
      <c r="L562">
        <v>282049.05</v>
      </c>
      <c r="M562">
        <v>0</v>
      </c>
      <c r="N562">
        <v>125209.89</v>
      </c>
      <c r="O562">
        <v>16775.77</v>
      </c>
      <c r="P562">
        <v>15052.1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245110.14</v>
      </c>
      <c r="W562">
        <v>0</v>
      </c>
      <c r="X562">
        <v>0</v>
      </c>
      <c r="Y562">
        <v>0</v>
      </c>
      <c r="Z562">
        <v>65854.75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124214</v>
      </c>
      <c r="AH562">
        <v>0</v>
      </c>
      <c r="AI562">
        <v>0</v>
      </c>
      <c r="AJ562">
        <v>428303255.59432</v>
      </c>
    </row>
    <row r="563" spans="1:36" x14ac:dyDescent="0.25">
      <c r="A563" t="s">
        <v>324</v>
      </c>
      <c r="B563" t="s">
        <v>26</v>
      </c>
      <c r="C563">
        <v>7874.99</v>
      </c>
      <c r="D563">
        <v>22481.73</v>
      </c>
      <c r="G563">
        <v>0.11733499999999999</v>
      </c>
      <c r="H563">
        <v>0</v>
      </c>
      <c r="I563">
        <v>805347.41</v>
      </c>
      <c r="J563">
        <v>239542.44</v>
      </c>
      <c r="K563">
        <v>0</v>
      </c>
      <c r="L563">
        <v>831153.37</v>
      </c>
      <c r="M563">
        <v>0</v>
      </c>
      <c r="N563">
        <v>289853.27</v>
      </c>
      <c r="O563">
        <v>197835.26</v>
      </c>
      <c r="P563">
        <v>141716.65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715529.92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113887.82</v>
      </c>
      <c r="AH563">
        <v>0</v>
      </c>
      <c r="AI563">
        <v>0</v>
      </c>
      <c r="AJ563">
        <v>1614638558.0457201</v>
      </c>
    </row>
    <row r="564" spans="1:36" x14ac:dyDescent="0.25">
      <c r="A564" t="s">
        <v>325</v>
      </c>
      <c r="B564" t="s">
        <v>26</v>
      </c>
      <c r="D564">
        <v>22481.73</v>
      </c>
      <c r="E564">
        <v>7874.99</v>
      </c>
      <c r="G564">
        <v>0.11733499999999999</v>
      </c>
      <c r="H564">
        <v>0</v>
      </c>
      <c r="I564">
        <v>581058.64</v>
      </c>
      <c r="J564">
        <v>239542.44</v>
      </c>
      <c r="K564">
        <v>0</v>
      </c>
      <c r="L564">
        <v>831153.37</v>
      </c>
      <c r="M564">
        <v>0</v>
      </c>
      <c r="N564">
        <v>288562.93</v>
      </c>
      <c r="O564">
        <v>169262.38</v>
      </c>
      <c r="P564">
        <v>136379.17000000001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719090.96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113890.92</v>
      </c>
      <c r="AH564">
        <v>0</v>
      </c>
      <c r="AI564">
        <v>0</v>
      </c>
      <c r="AJ564">
        <v>1346592085.2354</v>
      </c>
    </row>
    <row r="565" spans="1:36" x14ac:dyDescent="0.25">
      <c r="A565" t="s">
        <v>326</v>
      </c>
      <c r="B565" t="s">
        <v>26</v>
      </c>
      <c r="C565">
        <v>1327.7</v>
      </c>
      <c r="D565">
        <v>3790.34</v>
      </c>
      <c r="G565">
        <v>1.9782000000000001E-2</v>
      </c>
      <c r="H565">
        <v>0</v>
      </c>
      <c r="I565">
        <v>188342.04</v>
      </c>
      <c r="J565">
        <v>103288.37</v>
      </c>
      <c r="K565">
        <v>0</v>
      </c>
      <c r="L565">
        <v>282049.05</v>
      </c>
      <c r="M565">
        <v>0</v>
      </c>
      <c r="N565">
        <v>125209.79</v>
      </c>
      <c r="O565">
        <v>19148.25</v>
      </c>
      <c r="P565">
        <v>15118.81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245108.68</v>
      </c>
      <c r="W565">
        <v>0</v>
      </c>
      <c r="X565">
        <v>0</v>
      </c>
      <c r="Y565">
        <v>0</v>
      </c>
      <c r="Z565">
        <v>65854.75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124209.22</v>
      </c>
      <c r="AH565">
        <v>0</v>
      </c>
      <c r="AI565">
        <v>0</v>
      </c>
      <c r="AJ565">
        <v>459421449.19784498</v>
      </c>
    </row>
    <row r="566" spans="1:36" x14ac:dyDescent="0.25">
      <c r="A566" t="s">
        <v>327</v>
      </c>
      <c r="B566" t="s">
        <v>26</v>
      </c>
      <c r="C566">
        <v>11658.98</v>
      </c>
      <c r="D566">
        <v>33284.370000000003</v>
      </c>
      <c r="G566">
        <v>0.17371600000000001</v>
      </c>
      <c r="H566">
        <v>0</v>
      </c>
      <c r="I566">
        <v>1334117.21</v>
      </c>
      <c r="J566">
        <v>626942.71</v>
      </c>
      <c r="K566">
        <v>0</v>
      </c>
      <c r="L566">
        <v>1141299.43</v>
      </c>
      <c r="M566">
        <v>0</v>
      </c>
      <c r="N566">
        <v>583063.53</v>
      </c>
      <c r="O566">
        <v>363344.01</v>
      </c>
      <c r="P566">
        <v>227542.72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1168821.8700000001</v>
      </c>
      <c r="W566">
        <v>0</v>
      </c>
      <c r="X566">
        <v>0</v>
      </c>
      <c r="Y566">
        <v>0</v>
      </c>
      <c r="Z566">
        <v>43737.51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270720.36</v>
      </c>
      <c r="AH566">
        <v>0</v>
      </c>
      <c r="AI566">
        <v>0</v>
      </c>
      <c r="AJ566">
        <v>2400106036.7550602</v>
      </c>
    </row>
    <row r="567" spans="1:36" x14ac:dyDescent="0.25">
      <c r="A567" t="s">
        <v>328</v>
      </c>
      <c r="B567" t="s">
        <v>26</v>
      </c>
      <c r="D567">
        <v>33284.370000000003</v>
      </c>
      <c r="E567">
        <v>11658.98</v>
      </c>
      <c r="G567">
        <v>0.17371600000000001</v>
      </c>
      <c r="H567">
        <v>0</v>
      </c>
      <c r="I567">
        <v>1003986.29</v>
      </c>
      <c r="J567">
        <v>626942.71</v>
      </c>
      <c r="K567">
        <v>0</v>
      </c>
      <c r="L567">
        <v>1141299.43</v>
      </c>
      <c r="M567">
        <v>0</v>
      </c>
      <c r="N567">
        <v>581284.98</v>
      </c>
      <c r="O567">
        <v>308962.59999999998</v>
      </c>
      <c r="P567">
        <v>214945.37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1178054.49</v>
      </c>
      <c r="W567">
        <v>0</v>
      </c>
      <c r="X567">
        <v>0</v>
      </c>
      <c r="Y567">
        <v>0</v>
      </c>
      <c r="Z567">
        <v>43737.51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270731.32</v>
      </c>
      <c r="AH567">
        <v>0</v>
      </c>
      <c r="AI567">
        <v>0</v>
      </c>
      <c r="AJ567">
        <v>2070555987.51105</v>
      </c>
    </row>
    <row r="568" spans="1:36" x14ac:dyDescent="0.25">
      <c r="A568" t="s">
        <v>329</v>
      </c>
      <c r="B568" t="s">
        <v>26</v>
      </c>
      <c r="D568">
        <v>57189.2</v>
      </c>
      <c r="E568">
        <v>20032.47</v>
      </c>
      <c r="G568">
        <v>0.29847800000000002</v>
      </c>
      <c r="H568">
        <v>0</v>
      </c>
      <c r="I568">
        <v>1935210.89</v>
      </c>
      <c r="J568">
        <v>643032.05000000005</v>
      </c>
      <c r="K568">
        <v>0</v>
      </c>
      <c r="L568">
        <v>3553012.2</v>
      </c>
      <c r="M568">
        <v>0</v>
      </c>
      <c r="N568">
        <v>1484769.12</v>
      </c>
      <c r="O568">
        <v>291393.5</v>
      </c>
      <c r="P568">
        <v>252147.33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1893842.12</v>
      </c>
      <c r="W568">
        <v>0</v>
      </c>
      <c r="X568">
        <v>0</v>
      </c>
      <c r="Y568">
        <v>0</v>
      </c>
      <c r="Z568">
        <v>127428.8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725541.67</v>
      </c>
      <c r="AH568">
        <v>0</v>
      </c>
      <c r="AI568">
        <v>0</v>
      </c>
      <c r="AJ568">
        <v>5226516405.3677197</v>
      </c>
    </row>
    <row r="569" spans="1:36" x14ac:dyDescent="0.25">
      <c r="A569" t="s">
        <v>330</v>
      </c>
      <c r="B569" t="s">
        <v>26</v>
      </c>
      <c r="C569">
        <v>20032.47</v>
      </c>
      <c r="D569">
        <v>57189.2</v>
      </c>
      <c r="G569">
        <v>0.29847800000000002</v>
      </c>
      <c r="H569">
        <v>0</v>
      </c>
      <c r="I569">
        <v>2112967.09</v>
      </c>
      <c r="J569">
        <v>643032.05000000005</v>
      </c>
      <c r="K569">
        <v>0</v>
      </c>
      <c r="L569">
        <v>3553012.2</v>
      </c>
      <c r="M569">
        <v>0</v>
      </c>
      <c r="N569">
        <v>1486055.13</v>
      </c>
      <c r="O569">
        <v>328535.53000000003</v>
      </c>
      <c r="P569">
        <v>253518.22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1870567.2</v>
      </c>
      <c r="W569">
        <v>0</v>
      </c>
      <c r="X569">
        <v>0</v>
      </c>
      <c r="Y569">
        <v>0</v>
      </c>
      <c r="Z569">
        <v>127428.8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725604.58</v>
      </c>
      <c r="AH569">
        <v>0</v>
      </c>
      <c r="AI569">
        <v>0</v>
      </c>
      <c r="AJ569">
        <v>5828930414.9104605</v>
      </c>
    </row>
    <row r="570" spans="1:36" x14ac:dyDescent="0.25">
      <c r="A570" t="s">
        <v>331</v>
      </c>
      <c r="B570" t="s">
        <v>26</v>
      </c>
      <c r="C570">
        <v>1381</v>
      </c>
      <c r="D570">
        <v>3942.52</v>
      </c>
      <c r="G570">
        <v>2.0577000000000002E-2</v>
      </c>
      <c r="H570">
        <v>0</v>
      </c>
      <c r="I570">
        <v>230278.93</v>
      </c>
      <c r="J570">
        <v>94437.9</v>
      </c>
      <c r="K570">
        <v>0</v>
      </c>
      <c r="L570">
        <v>258328.15</v>
      </c>
      <c r="M570">
        <v>0</v>
      </c>
      <c r="N570">
        <v>313869.53000000003</v>
      </c>
      <c r="O570">
        <v>21638.54</v>
      </c>
      <c r="P570">
        <v>17227.63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220257.29</v>
      </c>
      <c r="W570">
        <v>0</v>
      </c>
      <c r="X570">
        <v>0</v>
      </c>
      <c r="Y570">
        <v>0</v>
      </c>
      <c r="Z570">
        <v>64094.3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228583.29</v>
      </c>
      <c r="AH570">
        <v>0</v>
      </c>
      <c r="AI570">
        <v>0</v>
      </c>
      <c r="AJ570">
        <v>711432493.57096803</v>
      </c>
    </row>
    <row r="571" spans="1:36" x14ac:dyDescent="0.25">
      <c r="A571" t="s">
        <v>332</v>
      </c>
      <c r="B571" t="s">
        <v>26</v>
      </c>
      <c r="D571">
        <v>3942.52</v>
      </c>
      <c r="E571">
        <v>1381</v>
      </c>
      <c r="G571">
        <v>2.0577000000000002E-2</v>
      </c>
      <c r="H571">
        <v>0</v>
      </c>
      <c r="I571">
        <v>221238.5</v>
      </c>
      <c r="J571">
        <v>94437.9</v>
      </c>
      <c r="K571">
        <v>0</v>
      </c>
      <c r="L571">
        <v>258328.15</v>
      </c>
      <c r="M571">
        <v>0</v>
      </c>
      <c r="N571">
        <v>313770.64</v>
      </c>
      <c r="O571">
        <v>19482.86</v>
      </c>
      <c r="P571">
        <v>17164.150000000001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221631.69</v>
      </c>
      <c r="W571">
        <v>0</v>
      </c>
      <c r="X571">
        <v>0</v>
      </c>
      <c r="Y571">
        <v>0</v>
      </c>
      <c r="Z571">
        <v>64094.3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228585.62</v>
      </c>
      <c r="AH571">
        <v>0</v>
      </c>
      <c r="AI571">
        <v>0</v>
      </c>
      <c r="AJ571">
        <v>651789599.45631897</v>
      </c>
    </row>
    <row r="572" spans="1:36" x14ac:dyDescent="0.25">
      <c r="A572" t="s">
        <v>333</v>
      </c>
      <c r="B572" t="s">
        <v>26</v>
      </c>
      <c r="D572">
        <v>26982.63</v>
      </c>
      <c r="E572">
        <v>9451.59</v>
      </c>
      <c r="G572">
        <v>0.14082600000000001</v>
      </c>
      <c r="H572">
        <v>0</v>
      </c>
      <c r="I572">
        <v>726441.15</v>
      </c>
      <c r="J572">
        <v>163686.57</v>
      </c>
      <c r="K572">
        <v>0</v>
      </c>
      <c r="L572">
        <v>936314.72</v>
      </c>
      <c r="M572">
        <v>0</v>
      </c>
      <c r="N572">
        <v>459912.44</v>
      </c>
      <c r="O572">
        <v>213286.95</v>
      </c>
      <c r="P572">
        <v>164802.38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607325.55000000005</v>
      </c>
      <c r="W572">
        <v>0</v>
      </c>
      <c r="X572">
        <v>0</v>
      </c>
      <c r="Y572">
        <v>0</v>
      </c>
      <c r="Z572">
        <v>68627.600000000006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475751.74</v>
      </c>
      <c r="AH572">
        <v>0</v>
      </c>
      <c r="AI572">
        <v>0</v>
      </c>
      <c r="AJ572">
        <v>1166403286.2367499</v>
      </c>
    </row>
    <row r="573" spans="1:36" x14ac:dyDescent="0.25">
      <c r="A573" t="s">
        <v>334</v>
      </c>
      <c r="B573" t="s">
        <v>26</v>
      </c>
      <c r="C573">
        <v>9451.59</v>
      </c>
      <c r="D573">
        <v>26982.63</v>
      </c>
      <c r="G573">
        <v>0.14082600000000001</v>
      </c>
      <c r="H573">
        <v>0</v>
      </c>
      <c r="I573">
        <v>907795.04</v>
      </c>
      <c r="J573">
        <v>163686.57</v>
      </c>
      <c r="K573">
        <v>0</v>
      </c>
      <c r="L573">
        <v>936314.72</v>
      </c>
      <c r="M573">
        <v>0</v>
      </c>
      <c r="N573">
        <v>460086.64</v>
      </c>
      <c r="O573">
        <v>249061.9</v>
      </c>
      <c r="P573">
        <v>175146.01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600059.1</v>
      </c>
      <c r="W573">
        <v>0</v>
      </c>
      <c r="X573">
        <v>0</v>
      </c>
      <c r="Y573">
        <v>0</v>
      </c>
      <c r="Z573">
        <v>68627.600000000006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475756.57</v>
      </c>
      <c r="AH573">
        <v>0</v>
      </c>
      <c r="AI573">
        <v>0</v>
      </c>
      <c r="AJ573">
        <v>1209072466.4066999</v>
      </c>
    </row>
    <row r="574" spans="1:36" x14ac:dyDescent="0.25">
      <c r="A574" t="s">
        <v>575</v>
      </c>
      <c r="B574" t="s">
        <v>26</v>
      </c>
      <c r="C574">
        <v>1556.83</v>
      </c>
      <c r="D574">
        <v>4444.49</v>
      </c>
      <c r="G574">
        <v>2.3196000000000001E-2</v>
      </c>
      <c r="H574">
        <v>0</v>
      </c>
      <c r="I574">
        <v>222981.8</v>
      </c>
      <c r="J574">
        <v>125722.95</v>
      </c>
      <c r="K574">
        <v>0</v>
      </c>
      <c r="L574">
        <v>179632.92</v>
      </c>
      <c r="M574">
        <v>0</v>
      </c>
      <c r="N574">
        <v>102731.31</v>
      </c>
      <c r="O574">
        <v>29039.31</v>
      </c>
      <c r="P574">
        <v>22029.72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163901.23000000001</v>
      </c>
      <c r="W574">
        <v>0</v>
      </c>
      <c r="X574">
        <v>0</v>
      </c>
      <c r="Y574">
        <v>0</v>
      </c>
      <c r="Z574">
        <v>25988.9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11819.3</v>
      </c>
      <c r="AH574">
        <v>0</v>
      </c>
      <c r="AI574">
        <v>0</v>
      </c>
      <c r="AJ574">
        <v>627774788.17927301</v>
      </c>
    </row>
    <row r="575" spans="1:36" x14ac:dyDescent="0.25">
      <c r="A575" t="s">
        <v>576</v>
      </c>
      <c r="B575" t="s">
        <v>26</v>
      </c>
      <c r="D575">
        <v>4444.49</v>
      </c>
      <c r="E575">
        <v>1556.83</v>
      </c>
      <c r="G575">
        <v>2.3196000000000001E-2</v>
      </c>
      <c r="H575">
        <v>0</v>
      </c>
      <c r="I575">
        <v>206975.52</v>
      </c>
      <c r="J575">
        <v>125722.95</v>
      </c>
      <c r="K575">
        <v>0</v>
      </c>
      <c r="L575">
        <v>179632.92</v>
      </c>
      <c r="M575">
        <v>0</v>
      </c>
      <c r="N575">
        <v>102720.43</v>
      </c>
      <c r="O575">
        <v>25585.759999999998</v>
      </c>
      <c r="P575">
        <v>21760.25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165339.12</v>
      </c>
      <c r="W575">
        <v>0</v>
      </c>
      <c r="X575">
        <v>0</v>
      </c>
      <c r="Y575">
        <v>0</v>
      </c>
      <c r="Z575">
        <v>25988.9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11788.24</v>
      </c>
      <c r="AH575">
        <v>0</v>
      </c>
      <c r="AI575">
        <v>0</v>
      </c>
      <c r="AJ575">
        <v>616209022.06596005</v>
      </c>
    </row>
    <row r="576" spans="1:36" x14ac:dyDescent="0.25">
      <c r="A576" t="s">
        <v>607</v>
      </c>
      <c r="B576" t="s">
        <v>26</v>
      </c>
      <c r="D576">
        <v>3872.59</v>
      </c>
      <c r="E576">
        <v>1356.51</v>
      </c>
      <c r="G576">
        <v>2.0212000000000001E-2</v>
      </c>
      <c r="H576">
        <v>0</v>
      </c>
      <c r="I576">
        <v>167101.57999999999</v>
      </c>
      <c r="J576">
        <v>125722.95</v>
      </c>
      <c r="K576">
        <v>0</v>
      </c>
      <c r="L576">
        <v>179632.92</v>
      </c>
      <c r="M576">
        <v>0</v>
      </c>
      <c r="N576">
        <v>85529.46</v>
      </c>
      <c r="O576">
        <v>21958.82</v>
      </c>
      <c r="P576">
        <v>18679.89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140507.20000000001</v>
      </c>
      <c r="W576">
        <v>0</v>
      </c>
      <c r="X576">
        <v>0</v>
      </c>
      <c r="Y576">
        <v>0</v>
      </c>
      <c r="Z576">
        <v>25988.9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11672.67</v>
      </c>
      <c r="AH576">
        <v>0</v>
      </c>
      <c r="AI576">
        <v>0</v>
      </c>
      <c r="AJ576">
        <v>547967956.29374802</v>
      </c>
    </row>
    <row r="577" spans="1:36" x14ac:dyDescent="0.25">
      <c r="A577" t="s">
        <v>608</v>
      </c>
      <c r="B577" t="s">
        <v>26</v>
      </c>
      <c r="C577">
        <v>1356.51</v>
      </c>
      <c r="D577">
        <v>3872.59</v>
      </c>
      <c r="G577">
        <v>2.0212000000000001E-2</v>
      </c>
      <c r="H577">
        <v>0</v>
      </c>
      <c r="I577">
        <v>177328.57</v>
      </c>
      <c r="J577">
        <v>125722.95</v>
      </c>
      <c r="K577">
        <v>0</v>
      </c>
      <c r="L577">
        <v>179632.92</v>
      </c>
      <c r="M577">
        <v>0</v>
      </c>
      <c r="N577">
        <v>85533.759999999995</v>
      </c>
      <c r="O577">
        <v>25002.35</v>
      </c>
      <c r="P577">
        <v>18981.189999999999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139043.31</v>
      </c>
      <c r="W577">
        <v>0</v>
      </c>
      <c r="X577">
        <v>0</v>
      </c>
      <c r="Y577">
        <v>0</v>
      </c>
      <c r="Z577">
        <v>25988.9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11733.56</v>
      </c>
      <c r="AH577">
        <v>0</v>
      </c>
      <c r="AI577">
        <v>0</v>
      </c>
      <c r="AJ577">
        <v>545895568.74265599</v>
      </c>
    </row>
  </sheetData>
  <autoFilter ref="A1:AJ577" xr:uid="{67D41601-5353-4730-9813-FADF2E78CB7D}">
    <sortState xmlns:xlrd2="http://schemas.microsoft.com/office/spreadsheetml/2017/richdata2" ref="A2:AJ577">
      <sortCondition ref="B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02ADE-C8EF-420D-B7BE-D556FD67D19D}">
  <dimension ref="A1:AJ257"/>
  <sheetViews>
    <sheetView workbookViewId="0"/>
  </sheetViews>
  <sheetFormatPr defaultRowHeight="15" x14ac:dyDescent="0.25"/>
  <sheetData>
    <row r="1" spans="1:3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</row>
    <row r="2" spans="1:36" x14ac:dyDescent="0.25">
      <c r="A2" t="s">
        <v>63</v>
      </c>
      <c r="B2" t="s">
        <v>26</v>
      </c>
      <c r="C2">
        <v>7896.37</v>
      </c>
      <c r="D2">
        <v>22542.75</v>
      </c>
      <c r="G2">
        <v>0.11765399999999999</v>
      </c>
      <c r="H2">
        <v>0</v>
      </c>
      <c r="I2">
        <v>714504.28</v>
      </c>
      <c r="J2">
        <v>774617.57</v>
      </c>
      <c r="K2">
        <v>0</v>
      </c>
      <c r="L2">
        <v>436518</v>
      </c>
      <c r="M2">
        <v>0</v>
      </c>
      <c r="N2">
        <v>435609.15</v>
      </c>
      <c r="O2">
        <v>137053.93</v>
      </c>
      <c r="P2">
        <v>102131.14</v>
      </c>
      <c r="Q2">
        <v>0</v>
      </c>
      <c r="R2">
        <v>0</v>
      </c>
      <c r="S2">
        <v>0</v>
      </c>
      <c r="T2">
        <v>0</v>
      </c>
      <c r="U2">
        <v>0</v>
      </c>
      <c r="V2">
        <v>805901.84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174067.02</v>
      </c>
      <c r="AH2">
        <v>0</v>
      </c>
      <c r="AI2">
        <v>0</v>
      </c>
      <c r="AJ2">
        <v>2175412275.6562901</v>
      </c>
    </row>
    <row r="3" spans="1:36" x14ac:dyDescent="0.25">
      <c r="A3" t="s">
        <v>64</v>
      </c>
      <c r="B3" t="s">
        <v>26</v>
      </c>
      <c r="D3">
        <v>22542.75</v>
      </c>
      <c r="E3">
        <v>7896.37</v>
      </c>
      <c r="G3">
        <v>0.11765399999999999</v>
      </c>
      <c r="H3">
        <v>0</v>
      </c>
      <c r="I3">
        <v>610630.74</v>
      </c>
      <c r="J3">
        <v>774617.57</v>
      </c>
      <c r="K3">
        <v>0</v>
      </c>
      <c r="L3">
        <v>436518</v>
      </c>
      <c r="M3">
        <v>0</v>
      </c>
      <c r="N3">
        <v>435476</v>
      </c>
      <c r="O3">
        <v>118153.94</v>
      </c>
      <c r="P3">
        <v>100432.22</v>
      </c>
      <c r="Q3">
        <v>0</v>
      </c>
      <c r="R3">
        <v>0</v>
      </c>
      <c r="S3">
        <v>0</v>
      </c>
      <c r="T3">
        <v>0</v>
      </c>
      <c r="U3">
        <v>0</v>
      </c>
      <c r="V3">
        <v>806652.59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174071.63</v>
      </c>
      <c r="AH3">
        <v>0</v>
      </c>
      <c r="AI3">
        <v>0</v>
      </c>
      <c r="AJ3">
        <v>2096476695.2878301</v>
      </c>
    </row>
    <row r="4" spans="1:36" x14ac:dyDescent="0.25">
      <c r="A4" t="s">
        <v>65</v>
      </c>
      <c r="B4" t="s">
        <v>26</v>
      </c>
      <c r="D4">
        <v>2485.41</v>
      </c>
      <c r="E4">
        <v>870.6</v>
      </c>
      <c r="G4">
        <v>1.2971999999999999E-2</v>
      </c>
      <c r="H4">
        <v>0</v>
      </c>
      <c r="I4">
        <v>46039.41</v>
      </c>
      <c r="J4">
        <v>23792.959999999999</v>
      </c>
      <c r="K4">
        <v>0</v>
      </c>
      <c r="L4">
        <v>29466.65</v>
      </c>
      <c r="M4">
        <v>0</v>
      </c>
      <c r="N4">
        <v>133201.28</v>
      </c>
      <c r="O4">
        <v>12004.48</v>
      </c>
      <c r="P4">
        <v>10101.049999999999</v>
      </c>
      <c r="Q4">
        <v>0</v>
      </c>
      <c r="R4">
        <v>0</v>
      </c>
      <c r="S4">
        <v>0</v>
      </c>
      <c r="T4">
        <v>0</v>
      </c>
      <c r="U4">
        <v>0</v>
      </c>
      <c r="V4">
        <v>6209.76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4620.76</v>
      </c>
      <c r="AH4">
        <v>0</v>
      </c>
      <c r="AI4">
        <v>0</v>
      </c>
      <c r="AJ4">
        <v>168308373.736523</v>
      </c>
    </row>
    <row r="5" spans="1:36" x14ac:dyDescent="0.25">
      <c r="A5" t="s">
        <v>66</v>
      </c>
      <c r="B5" t="s">
        <v>26</v>
      </c>
      <c r="D5">
        <v>5141.88</v>
      </c>
      <c r="E5">
        <v>1801.12</v>
      </c>
      <c r="G5">
        <v>2.6835999999999999E-2</v>
      </c>
      <c r="H5">
        <v>0</v>
      </c>
      <c r="I5">
        <v>240593.34</v>
      </c>
      <c r="J5">
        <v>201226.15</v>
      </c>
      <c r="K5">
        <v>0</v>
      </c>
      <c r="L5">
        <v>282049.05</v>
      </c>
      <c r="M5">
        <v>0</v>
      </c>
      <c r="N5">
        <v>181145.4</v>
      </c>
      <c r="O5">
        <v>24923.18</v>
      </c>
      <c r="P5">
        <v>21471.64</v>
      </c>
      <c r="Q5">
        <v>0</v>
      </c>
      <c r="R5">
        <v>0</v>
      </c>
      <c r="S5">
        <v>0</v>
      </c>
      <c r="T5">
        <v>0</v>
      </c>
      <c r="U5">
        <v>0</v>
      </c>
      <c r="V5">
        <v>390516.18</v>
      </c>
      <c r="W5">
        <v>0</v>
      </c>
      <c r="X5">
        <v>0</v>
      </c>
      <c r="Y5">
        <v>0</v>
      </c>
      <c r="Z5">
        <v>65854.75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124220.75</v>
      </c>
      <c r="AH5">
        <v>0</v>
      </c>
      <c r="AI5">
        <v>0</v>
      </c>
      <c r="AJ5">
        <v>571220287.34349406</v>
      </c>
    </row>
    <row r="6" spans="1:36" x14ac:dyDescent="0.25">
      <c r="A6" t="s">
        <v>67</v>
      </c>
      <c r="B6" t="s">
        <v>26</v>
      </c>
      <c r="D6">
        <v>33199.050000000003</v>
      </c>
      <c r="E6">
        <v>11629.1</v>
      </c>
      <c r="G6">
        <v>0.17327000000000001</v>
      </c>
      <c r="H6">
        <v>0</v>
      </c>
      <c r="I6">
        <v>846168.71</v>
      </c>
      <c r="J6">
        <v>463682.79</v>
      </c>
      <c r="K6">
        <v>0</v>
      </c>
      <c r="L6">
        <v>831153.37</v>
      </c>
      <c r="M6">
        <v>0</v>
      </c>
      <c r="N6">
        <v>342339.08</v>
      </c>
      <c r="O6">
        <v>251405.55</v>
      </c>
      <c r="P6">
        <v>199238.75</v>
      </c>
      <c r="Q6">
        <v>0</v>
      </c>
      <c r="R6">
        <v>0</v>
      </c>
      <c r="S6">
        <v>0</v>
      </c>
      <c r="T6">
        <v>0</v>
      </c>
      <c r="U6">
        <v>0</v>
      </c>
      <c r="V6">
        <v>1111746.06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113906.4</v>
      </c>
      <c r="AH6">
        <v>0</v>
      </c>
      <c r="AI6">
        <v>0</v>
      </c>
      <c r="AJ6">
        <v>1791733580.9113801</v>
      </c>
    </row>
    <row r="7" spans="1:36" x14ac:dyDescent="0.25">
      <c r="A7" t="s">
        <v>68</v>
      </c>
      <c r="B7" t="s">
        <v>26</v>
      </c>
      <c r="C7">
        <v>870.6</v>
      </c>
      <c r="D7">
        <v>2485.41</v>
      </c>
      <c r="G7">
        <v>1.2971999999999999E-2</v>
      </c>
      <c r="H7">
        <v>0</v>
      </c>
      <c r="I7">
        <v>65825.39</v>
      </c>
      <c r="J7">
        <v>23792.959999999999</v>
      </c>
      <c r="K7">
        <v>0</v>
      </c>
      <c r="L7">
        <v>29466.65</v>
      </c>
      <c r="M7">
        <v>0</v>
      </c>
      <c r="N7">
        <v>133201.43</v>
      </c>
      <c r="O7">
        <v>16410.830000000002</v>
      </c>
      <c r="P7">
        <v>10753.92</v>
      </c>
      <c r="Q7">
        <v>0</v>
      </c>
      <c r="R7">
        <v>0</v>
      </c>
      <c r="S7">
        <v>0</v>
      </c>
      <c r="T7">
        <v>0</v>
      </c>
      <c r="U7">
        <v>0</v>
      </c>
      <c r="V7">
        <v>6209.84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4620.75</v>
      </c>
      <c r="AH7">
        <v>0</v>
      </c>
      <c r="AI7">
        <v>0</v>
      </c>
      <c r="AJ7">
        <v>202982562.87209699</v>
      </c>
    </row>
    <row r="8" spans="1:36" x14ac:dyDescent="0.25">
      <c r="A8" t="s">
        <v>69</v>
      </c>
      <c r="B8" t="s">
        <v>26</v>
      </c>
      <c r="C8">
        <v>11629.1</v>
      </c>
      <c r="D8">
        <v>33199.050000000003</v>
      </c>
      <c r="G8">
        <v>0.17327000000000001</v>
      </c>
      <c r="H8">
        <v>0</v>
      </c>
      <c r="I8">
        <v>1180296.33</v>
      </c>
      <c r="J8">
        <v>463682.79</v>
      </c>
      <c r="K8">
        <v>0</v>
      </c>
      <c r="L8">
        <v>831153.37</v>
      </c>
      <c r="M8">
        <v>0</v>
      </c>
      <c r="N8">
        <v>342895.24</v>
      </c>
      <c r="O8">
        <v>294170.28999999998</v>
      </c>
      <c r="P8">
        <v>205776.92</v>
      </c>
      <c r="Q8">
        <v>0</v>
      </c>
      <c r="R8">
        <v>0</v>
      </c>
      <c r="S8">
        <v>0</v>
      </c>
      <c r="T8">
        <v>0</v>
      </c>
      <c r="U8">
        <v>0</v>
      </c>
      <c r="V8">
        <v>1106076.08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113905.1</v>
      </c>
      <c r="AH8">
        <v>0</v>
      </c>
      <c r="AI8">
        <v>0</v>
      </c>
      <c r="AJ8">
        <v>2292616083.85043</v>
      </c>
    </row>
    <row r="9" spans="1:36" x14ac:dyDescent="0.25">
      <c r="A9" t="s">
        <v>70</v>
      </c>
      <c r="B9" t="s">
        <v>26</v>
      </c>
      <c r="C9">
        <v>1801.12</v>
      </c>
      <c r="D9">
        <v>5141.88</v>
      </c>
      <c r="G9">
        <v>2.6835999999999999E-2</v>
      </c>
      <c r="H9">
        <v>0</v>
      </c>
      <c r="I9">
        <v>274607.51</v>
      </c>
      <c r="J9">
        <v>201226.15</v>
      </c>
      <c r="K9">
        <v>0</v>
      </c>
      <c r="L9">
        <v>282049.05</v>
      </c>
      <c r="M9">
        <v>0</v>
      </c>
      <c r="N9">
        <v>181160.18</v>
      </c>
      <c r="O9">
        <v>28413.71</v>
      </c>
      <c r="P9">
        <v>21550.91</v>
      </c>
      <c r="Q9">
        <v>0</v>
      </c>
      <c r="R9">
        <v>0</v>
      </c>
      <c r="S9">
        <v>0</v>
      </c>
      <c r="T9">
        <v>0</v>
      </c>
      <c r="U9">
        <v>0</v>
      </c>
      <c r="V9">
        <v>390558.22</v>
      </c>
      <c r="W9">
        <v>0</v>
      </c>
      <c r="X9">
        <v>0</v>
      </c>
      <c r="Y9">
        <v>0</v>
      </c>
      <c r="Z9">
        <v>65854.75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124220.06</v>
      </c>
      <c r="AH9">
        <v>0</v>
      </c>
      <c r="AI9">
        <v>0</v>
      </c>
      <c r="AJ9">
        <v>622621425.76215303</v>
      </c>
    </row>
    <row r="10" spans="1:36" x14ac:dyDescent="0.25">
      <c r="A10" t="s">
        <v>71</v>
      </c>
      <c r="B10" t="s">
        <v>26</v>
      </c>
      <c r="C10">
        <v>13909.61</v>
      </c>
      <c r="D10">
        <v>39709.5</v>
      </c>
      <c r="G10">
        <v>0.20724899999999999</v>
      </c>
      <c r="H10">
        <v>0</v>
      </c>
      <c r="I10">
        <v>1615680.5</v>
      </c>
      <c r="J10">
        <v>857863.39</v>
      </c>
      <c r="K10">
        <v>0</v>
      </c>
      <c r="L10">
        <v>1141299.43</v>
      </c>
      <c r="M10">
        <v>0</v>
      </c>
      <c r="N10">
        <v>794392.67</v>
      </c>
      <c r="O10">
        <v>434750.09</v>
      </c>
      <c r="P10">
        <v>274551.58</v>
      </c>
      <c r="Q10">
        <v>0</v>
      </c>
      <c r="R10">
        <v>0</v>
      </c>
      <c r="S10">
        <v>0</v>
      </c>
      <c r="T10">
        <v>0</v>
      </c>
      <c r="U10">
        <v>0</v>
      </c>
      <c r="V10">
        <v>1729955.96</v>
      </c>
      <c r="W10">
        <v>0</v>
      </c>
      <c r="X10">
        <v>0</v>
      </c>
      <c r="Y10">
        <v>0</v>
      </c>
      <c r="Z10">
        <v>43737.51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270731.51</v>
      </c>
      <c r="AH10">
        <v>0</v>
      </c>
      <c r="AI10">
        <v>0</v>
      </c>
      <c r="AJ10">
        <v>2954414684.7699399</v>
      </c>
    </row>
    <row r="11" spans="1:36" x14ac:dyDescent="0.25">
      <c r="A11" t="s">
        <v>72</v>
      </c>
      <c r="B11" t="s">
        <v>26</v>
      </c>
      <c r="D11">
        <v>39709.5</v>
      </c>
      <c r="E11">
        <v>13909.61</v>
      </c>
      <c r="G11">
        <v>0.20724899999999999</v>
      </c>
      <c r="H11">
        <v>0</v>
      </c>
      <c r="I11">
        <v>1278898.54</v>
      </c>
      <c r="J11">
        <v>857863.39</v>
      </c>
      <c r="K11">
        <v>0</v>
      </c>
      <c r="L11">
        <v>1141299.43</v>
      </c>
      <c r="M11">
        <v>0</v>
      </c>
      <c r="N11">
        <v>791718.12</v>
      </c>
      <c r="O11">
        <v>371625.91</v>
      </c>
      <c r="P11">
        <v>261948.75</v>
      </c>
      <c r="Q11">
        <v>0</v>
      </c>
      <c r="R11">
        <v>0</v>
      </c>
      <c r="S11">
        <v>0</v>
      </c>
      <c r="T11">
        <v>0</v>
      </c>
      <c r="U11">
        <v>0</v>
      </c>
      <c r="V11">
        <v>1739640.58</v>
      </c>
      <c r="W11">
        <v>0</v>
      </c>
      <c r="X11">
        <v>0</v>
      </c>
      <c r="Y11">
        <v>0</v>
      </c>
      <c r="Z11">
        <v>43737.51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270719.35999999999</v>
      </c>
      <c r="AH11">
        <v>0</v>
      </c>
      <c r="AI11">
        <v>0</v>
      </c>
      <c r="AJ11">
        <v>2550418303.8057399</v>
      </c>
    </row>
    <row r="12" spans="1:36" x14ac:dyDescent="0.25">
      <c r="A12" t="s">
        <v>73</v>
      </c>
      <c r="B12" t="s">
        <v>26</v>
      </c>
      <c r="D12">
        <v>80049.440000000002</v>
      </c>
      <c r="E12">
        <v>28040.05</v>
      </c>
      <c r="G12">
        <v>0.41778900000000002</v>
      </c>
      <c r="H12">
        <v>0</v>
      </c>
      <c r="I12">
        <v>2524321.64</v>
      </c>
      <c r="J12">
        <v>1274541.22</v>
      </c>
      <c r="K12">
        <v>0</v>
      </c>
      <c r="L12">
        <v>3553012.2</v>
      </c>
      <c r="M12">
        <v>0</v>
      </c>
      <c r="N12">
        <v>1859200.42</v>
      </c>
      <c r="O12">
        <v>450012.08</v>
      </c>
      <c r="P12">
        <v>379411.13</v>
      </c>
      <c r="Q12">
        <v>0</v>
      </c>
      <c r="R12">
        <v>0</v>
      </c>
      <c r="S12">
        <v>0</v>
      </c>
      <c r="T12">
        <v>0</v>
      </c>
      <c r="U12">
        <v>0</v>
      </c>
      <c r="V12">
        <v>2814811.35</v>
      </c>
      <c r="W12">
        <v>0</v>
      </c>
      <c r="X12">
        <v>0</v>
      </c>
      <c r="Y12">
        <v>0</v>
      </c>
      <c r="Z12">
        <v>127428.8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725832.77</v>
      </c>
      <c r="AH12">
        <v>0</v>
      </c>
      <c r="AI12">
        <v>0</v>
      </c>
      <c r="AJ12">
        <v>6489795638.3838701</v>
      </c>
    </row>
    <row r="13" spans="1:36" x14ac:dyDescent="0.25">
      <c r="A13" t="s">
        <v>74</v>
      </c>
      <c r="B13" t="s">
        <v>26</v>
      </c>
      <c r="D13">
        <v>5522.32</v>
      </c>
      <c r="E13">
        <v>1934.38</v>
      </c>
      <c r="G13">
        <v>2.8822E-2</v>
      </c>
      <c r="H13">
        <v>0</v>
      </c>
      <c r="I13">
        <v>278503.46000000002</v>
      </c>
      <c r="J13">
        <v>197273.03</v>
      </c>
      <c r="K13">
        <v>0</v>
      </c>
      <c r="L13">
        <v>258328.15</v>
      </c>
      <c r="M13">
        <v>0</v>
      </c>
      <c r="N13">
        <v>410184.4</v>
      </c>
      <c r="O13">
        <v>28220.74</v>
      </c>
      <c r="P13">
        <v>24622.23</v>
      </c>
      <c r="Q13">
        <v>0</v>
      </c>
      <c r="R13">
        <v>0</v>
      </c>
      <c r="S13">
        <v>0</v>
      </c>
      <c r="T13">
        <v>0</v>
      </c>
      <c r="U13">
        <v>0</v>
      </c>
      <c r="V13">
        <v>241664.99</v>
      </c>
      <c r="W13">
        <v>0</v>
      </c>
      <c r="X13">
        <v>0</v>
      </c>
      <c r="Y13">
        <v>0</v>
      </c>
      <c r="Z13">
        <v>64094.3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228586.75</v>
      </c>
      <c r="AH13">
        <v>0</v>
      </c>
      <c r="AI13">
        <v>0</v>
      </c>
      <c r="AJ13">
        <v>838737985.06535804</v>
      </c>
    </row>
    <row r="14" spans="1:36" x14ac:dyDescent="0.25">
      <c r="A14" t="s">
        <v>75</v>
      </c>
      <c r="B14" t="s">
        <v>26</v>
      </c>
      <c r="C14">
        <v>1934.38</v>
      </c>
      <c r="D14">
        <v>5522.32</v>
      </c>
      <c r="G14">
        <v>2.8822E-2</v>
      </c>
      <c r="H14">
        <v>0</v>
      </c>
      <c r="I14">
        <v>303894.69</v>
      </c>
      <c r="J14">
        <v>197273.03</v>
      </c>
      <c r="K14">
        <v>0</v>
      </c>
      <c r="L14">
        <v>258328.15</v>
      </c>
      <c r="M14">
        <v>0</v>
      </c>
      <c r="N14">
        <v>410092.9</v>
      </c>
      <c r="O14">
        <v>31825.33</v>
      </c>
      <c r="P14">
        <v>24666.93</v>
      </c>
      <c r="Q14">
        <v>0</v>
      </c>
      <c r="R14">
        <v>0</v>
      </c>
      <c r="S14">
        <v>0</v>
      </c>
      <c r="T14">
        <v>0</v>
      </c>
      <c r="U14">
        <v>0</v>
      </c>
      <c r="V14">
        <v>240480.02</v>
      </c>
      <c r="W14">
        <v>0</v>
      </c>
      <c r="X14">
        <v>0</v>
      </c>
      <c r="Y14">
        <v>0</v>
      </c>
      <c r="Z14">
        <v>64094.3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228588.07</v>
      </c>
      <c r="AH14">
        <v>0</v>
      </c>
      <c r="AI14">
        <v>0</v>
      </c>
      <c r="AJ14">
        <v>924446410.67916</v>
      </c>
    </row>
    <row r="15" spans="1:36" x14ac:dyDescent="0.25">
      <c r="A15" t="s">
        <v>76</v>
      </c>
      <c r="B15" t="s">
        <v>26</v>
      </c>
      <c r="D15">
        <v>34098.03</v>
      </c>
      <c r="E15">
        <v>11944</v>
      </c>
      <c r="G15">
        <v>0.17796200000000001</v>
      </c>
      <c r="H15">
        <v>0</v>
      </c>
      <c r="I15">
        <v>959178.39</v>
      </c>
      <c r="J15">
        <v>350734.07</v>
      </c>
      <c r="K15">
        <v>0</v>
      </c>
      <c r="L15">
        <v>936314.72</v>
      </c>
      <c r="M15">
        <v>0</v>
      </c>
      <c r="N15">
        <v>573903.31000000006</v>
      </c>
      <c r="O15">
        <v>273988.26</v>
      </c>
      <c r="P15">
        <v>210598.36</v>
      </c>
      <c r="Q15">
        <v>0</v>
      </c>
      <c r="R15">
        <v>0</v>
      </c>
      <c r="S15">
        <v>0</v>
      </c>
      <c r="T15">
        <v>0</v>
      </c>
      <c r="U15">
        <v>0</v>
      </c>
      <c r="V15">
        <v>796036.92</v>
      </c>
      <c r="W15">
        <v>0</v>
      </c>
      <c r="X15">
        <v>0</v>
      </c>
      <c r="Y15">
        <v>0</v>
      </c>
      <c r="Z15">
        <v>68627.600000000006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475884.17</v>
      </c>
      <c r="AH15">
        <v>0</v>
      </c>
      <c r="AI15">
        <v>0</v>
      </c>
      <c r="AJ15">
        <v>1453463093.5112</v>
      </c>
    </row>
    <row r="16" spans="1:36" x14ac:dyDescent="0.25">
      <c r="A16" t="s">
        <v>77</v>
      </c>
      <c r="B16" t="s">
        <v>25</v>
      </c>
      <c r="C16">
        <v>9590.6200000000008</v>
      </c>
      <c r="D16">
        <v>27379.55</v>
      </c>
      <c r="G16">
        <v>0.142898</v>
      </c>
      <c r="H16">
        <v>0</v>
      </c>
      <c r="I16">
        <v>1546709.45</v>
      </c>
      <c r="J16">
        <v>774617.57</v>
      </c>
      <c r="K16">
        <v>0</v>
      </c>
      <c r="L16">
        <v>436518</v>
      </c>
      <c r="M16">
        <v>0</v>
      </c>
      <c r="N16">
        <v>391157.53</v>
      </c>
      <c r="O16">
        <v>186086.39999999999</v>
      </c>
      <c r="P16">
        <v>171961.53</v>
      </c>
      <c r="Q16">
        <v>0</v>
      </c>
      <c r="R16">
        <v>0</v>
      </c>
      <c r="S16">
        <v>0</v>
      </c>
      <c r="T16">
        <v>0</v>
      </c>
      <c r="U16">
        <v>0</v>
      </c>
      <c r="V16">
        <v>701647.79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131094.74</v>
      </c>
      <c r="AH16">
        <v>0</v>
      </c>
      <c r="AI16">
        <v>0</v>
      </c>
      <c r="AJ16">
        <v>2889927851.07829</v>
      </c>
    </row>
    <row r="17" spans="1:36" x14ac:dyDescent="0.25">
      <c r="A17" t="s">
        <v>78</v>
      </c>
      <c r="B17" t="s">
        <v>25</v>
      </c>
      <c r="D17">
        <v>2706.52</v>
      </c>
      <c r="E17">
        <v>948.05</v>
      </c>
      <c r="G17">
        <v>1.4126E-2</v>
      </c>
      <c r="H17">
        <v>0</v>
      </c>
      <c r="I17">
        <v>94668.41</v>
      </c>
      <c r="J17">
        <v>23792.959999999999</v>
      </c>
      <c r="K17">
        <v>0</v>
      </c>
      <c r="L17">
        <v>29466.65</v>
      </c>
      <c r="M17">
        <v>0</v>
      </c>
      <c r="N17">
        <v>125442.71</v>
      </c>
      <c r="O17">
        <v>16365.99</v>
      </c>
      <c r="P17">
        <v>18273.57</v>
      </c>
      <c r="Q17">
        <v>0</v>
      </c>
      <c r="R17">
        <v>0</v>
      </c>
      <c r="S17">
        <v>0</v>
      </c>
      <c r="T17">
        <v>0</v>
      </c>
      <c r="U17">
        <v>0</v>
      </c>
      <c r="V17">
        <v>137.41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3626.13</v>
      </c>
      <c r="AH17">
        <v>0</v>
      </c>
      <c r="AI17">
        <v>0</v>
      </c>
      <c r="AJ17">
        <v>199077234.62180901</v>
      </c>
    </row>
    <row r="18" spans="1:36" x14ac:dyDescent="0.25">
      <c r="A18" t="s">
        <v>79</v>
      </c>
      <c r="B18" t="s">
        <v>26</v>
      </c>
      <c r="C18">
        <v>28040.05</v>
      </c>
      <c r="D18">
        <v>80049.440000000002</v>
      </c>
      <c r="G18">
        <v>0.41778900000000002</v>
      </c>
      <c r="H18">
        <v>0</v>
      </c>
      <c r="I18">
        <v>2943990.37</v>
      </c>
      <c r="J18">
        <v>1274541.22</v>
      </c>
      <c r="K18">
        <v>0</v>
      </c>
      <c r="L18">
        <v>3553012.2</v>
      </c>
      <c r="M18">
        <v>0</v>
      </c>
      <c r="N18">
        <v>1861189.15</v>
      </c>
      <c r="O18">
        <v>508781.92</v>
      </c>
      <c r="P18">
        <v>380878.38</v>
      </c>
      <c r="Q18">
        <v>0</v>
      </c>
      <c r="R18">
        <v>0</v>
      </c>
      <c r="S18">
        <v>0</v>
      </c>
      <c r="T18">
        <v>0</v>
      </c>
      <c r="U18">
        <v>0</v>
      </c>
      <c r="V18">
        <v>2770397.04</v>
      </c>
      <c r="W18">
        <v>0</v>
      </c>
      <c r="X18">
        <v>0</v>
      </c>
      <c r="Y18">
        <v>0</v>
      </c>
      <c r="Z18">
        <v>127428.8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725891.87</v>
      </c>
      <c r="AH18">
        <v>0</v>
      </c>
      <c r="AI18">
        <v>0</v>
      </c>
      <c r="AJ18">
        <v>7458735780.9167805</v>
      </c>
    </row>
    <row r="19" spans="1:36" x14ac:dyDescent="0.25">
      <c r="A19" t="s">
        <v>80</v>
      </c>
      <c r="B19" t="s">
        <v>25</v>
      </c>
      <c r="D19">
        <v>27379.55</v>
      </c>
      <c r="E19">
        <v>9590.6200000000008</v>
      </c>
      <c r="G19">
        <v>0.142898</v>
      </c>
      <c r="H19">
        <v>0</v>
      </c>
      <c r="I19">
        <v>1380122.23</v>
      </c>
      <c r="J19">
        <v>774617.57</v>
      </c>
      <c r="K19">
        <v>0</v>
      </c>
      <c r="L19">
        <v>436518</v>
      </c>
      <c r="M19">
        <v>0</v>
      </c>
      <c r="N19">
        <v>391301.15</v>
      </c>
      <c r="O19">
        <v>167086.42000000001</v>
      </c>
      <c r="P19">
        <v>170242.47</v>
      </c>
      <c r="Q19">
        <v>0</v>
      </c>
      <c r="R19">
        <v>0</v>
      </c>
      <c r="S19">
        <v>0</v>
      </c>
      <c r="T19">
        <v>0</v>
      </c>
      <c r="U19">
        <v>0</v>
      </c>
      <c r="V19">
        <v>701091.3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131096.70000000001</v>
      </c>
      <c r="AH19">
        <v>0</v>
      </c>
      <c r="AI19">
        <v>0</v>
      </c>
      <c r="AJ19">
        <v>2884618993.0973101</v>
      </c>
    </row>
    <row r="20" spans="1:36" x14ac:dyDescent="0.25">
      <c r="A20" t="s">
        <v>81</v>
      </c>
      <c r="B20" t="s">
        <v>26</v>
      </c>
      <c r="C20">
        <v>11944</v>
      </c>
      <c r="D20">
        <v>34098.03</v>
      </c>
      <c r="G20">
        <v>0.17796200000000001</v>
      </c>
      <c r="H20">
        <v>0</v>
      </c>
      <c r="I20">
        <v>1156077.73</v>
      </c>
      <c r="J20">
        <v>350734.07</v>
      </c>
      <c r="K20">
        <v>0</v>
      </c>
      <c r="L20">
        <v>936314.72</v>
      </c>
      <c r="M20">
        <v>0</v>
      </c>
      <c r="N20">
        <v>573970.5</v>
      </c>
      <c r="O20">
        <v>319589.51</v>
      </c>
      <c r="P20">
        <v>223343.81</v>
      </c>
      <c r="Q20">
        <v>0</v>
      </c>
      <c r="R20">
        <v>0</v>
      </c>
      <c r="S20">
        <v>0</v>
      </c>
      <c r="T20">
        <v>0</v>
      </c>
      <c r="U20">
        <v>0</v>
      </c>
      <c r="V20">
        <v>790912.52</v>
      </c>
      <c r="W20">
        <v>0</v>
      </c>
      <c r="X20">
        <v>0</v>
      </c>
      <c r="Y20">
        <v>0</v>
      </c>
      <c r="Z20">
        <v>68627.600000000006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475864.26</v>
      </c>
      <c r="AH20">
        <v>0</v>
      </c>
      <c r="AI20">
        <v>0</v>
      </c>
      <c r="AJ20">
        <v>1553111871.39235</v>
      </c>
    </row>
    <row r="21" spans="1:36" x14ac:dyDescent="0.25">
      <c r="A21" t="s">
        <v>82</v>
      </c>
      <c r="B21" t="s">
        <v>25</v>
      </c>
      <c r="D21">
        <v>36391.519999999997</v>
      </c>
      <c r="E21">
        <v>12747.37</v>
      </c>
      <c r="G21">
        <v>0.18993199999999999</v>
      </c>
      <c r="H21">
        <v>0</v>
      </c>
      <c r="I21">
        <v>1641863.19</v>
      </c>
      <c r="J21">
        <v>463682.79</v>
      </c>
      <c r="K21">
        <v>0</v>
      </c>
      <c r="L21">
        <v>831153.37</v>
      </c>
      <c r="M21">
        <v>0</v>
      </c>
      <c r="N21">
        <v>341911.19</v>
      </c>
      <c r="O21">
        <v>317239.77</v>
      </c>
      <c r="P21">
        <v>333997.09999999998</v>
      </c>
      <c r="Q21">
        <v>0</v>
      </c>
      <c r="R21">
        <v>0</v>
      </c>
      <c r="S21">
        <v>0</v>
      </c>
      <c r="T21">
        <v>0</v>
      </c>
      <c r="U21">
        <v>0</v>
      </c>
      <c r="V21">
        <v>821168.66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85804.77</v>
      </c>
      <c r="AH21">
        <v>0</v>
      </c>
      <c r="AI21">
        <v>0</v>
      </c>
      <c r="AJ21">
        <v>2554955441.8734698</v>
      </c>
    </row>
    <row r="22" spans="1:36" x14ac:dyDescent="0.25">
      <c r="A22" t="s">
        <v>83</v>
      </c>
      <c r="B22" t="s">
        <v>25</v>
      </c>
      <c r="C22">
        <v>948.05</v>
      </c>
      <c r="D22">
        <v>2706.52</v>
      </c>
      <c r="G22">
        <v>1.4126E-2</v>
      </c>
      <c r="H22">
        <v>0</v>
      </c>
      <c r="I22">
        <v>151916.57</v>
      </c>
      <c r="J22">
        <v>23792.959999999999</v>
      </c>
      <c r="K22">
        <v>0</v>
      </c>
      <c r="L22">
        <v>29466.65</v>
      </c>
      <c r="M22">
        <v>0</v>
      </c>
      <c r="N22">
        <v>125442.81</v>
      </c>
      <c r="O22">
        <v>21271.37</v>
      </c>
      <c r="P22">
        <v>18786.400000000001</v>
      </c>
      <c r="Q22">
        <v>0</v>
      </c>
      <c r="R22">
        <v>0</v>
      </c>
      <c r="S22">
        <v>0</v>
      </c>
      <c r="T22">
        <v>0</v>
      </c>
      <c r="U22">
        <v>0</v>
      </c>
      <c r="V22">
        <v>137.41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3626.13</v>
      </c>
      <c r="AH22">
        <v>0</v>
      </c>
      <c r="AI22">
        <v>0</v>
      </c>
      <c r="AJ22">
        <v>259595687.763156</v>
      </c>
    </row>
    <row r="23" spans="1:36" x14ac:dyDescent="0.25">
      <c r="A23" t="s">
        <v>84</v>
      </c>
      <c r="B23" t="s">
        <v>25</v>
      </c>
      <c r="C23">
        <v>12747.37</v>
      </c>
      <c r="D23">
        <v>36391.519999999997</v>
      </c>
      <c r="G23">
        <v>0.18993199999999999</v>
      </c>
      <c r="H23">
        <v>0</v>
      </c>
      <c r="I23">
        <v>2302710.56</v>
      </c>
      <c r="J23">
        <v>463682.79</v>
      </c>
      <c r="K23">
        <v>0</v>
      </c>
      <c r="L23">
        <v>831153.37</v>
      </c>
      <c r="M23">
        <v>0</v>
      </c>
      <c r="N23">
        <v>343092.47</v>
      </c>
      <c r="O23">
        <v>363200.67</v>
      </c>
      <c r="P23">
        <v>336778.5</v>
      </c>
      <c r="Q23">
        <v>0</v>
      </c>
      <c r="R23">
        <v>0</v>
      </c>
      <c r="S23">
        <v>0</v>
      </c>
      <c r="T23">
        <v>0</v>
      </c>
      <c r="U23">
        <v>0</v>
      </c>
      <c r="V23">
        <v>821250.33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85800.69</v>
      </c>
      <c r="AH23">
        <v>0</v>
      </c>
      <c r="AI23">
        <v>0</v>
      </c>
      <c r="AJ23">
        <v>3082045787.5496402</v>
      </c>
    </row>
    <row r="24" spans="1:36" x14ac:dyDescent="0.25">
      <c r="A24" t="s">
        <v>85</v>
      </c>
      <c r="B24" t="s">
        <v>25</v>
      </c>
      <c r="D24">
        <v>6007.07</v>
      </c>
      <c r="E24">
        <v>2104.1799999999998</v>
      </c>
      <c r="G24">
        <v>3.1351999999999998E-2</v>
      </c>
      <c r="H24">
        <v>0</v>
      </c>
      <c r="I24">
        <v>444924.68</v>
      </c>
      <c r="J24">
        <v>201226.15</v>
      </c>
      <c r="K24">
        <v>0</v>
      </c>
      <c r="L24">
        <v>282049.05</v>
      </c>
      <c r="M24">
        <v>0</v>
      </c>
      <c r="N24">
        <v>202301.37</v>
      </c>
      <c r="O24">
        <v>33837.33</v>
      </c>
      <c r="P24">
        <v>36952.79</v>
      </c>
      <c r="Q24">
        <v>0</v>
      </c>
      <c r="R24">
        <v>0</v>
      </c>
      <c r="S24">
        <v>0</v>
      </c>
      <c r="T24">
        <v>0</v>
      </c>
      <c r="U24">
        <v>0</v>
      </c>
      <c r="V24">
        <v>290438.45</v>
      </c>
      <c r="W24">
        <v>0</v>
      </c>
      <c r="X24">
        <v>0</v>
      </c>
      <c r="Y24">
        <v>0</v>
      </c>
      <c r="Z24">
        <v>65854.75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93542.73</v>
      </c>
      <c r="AH24">
        <v>0</v>
      </c>
      <c r="AI24">
        <v>0</v>
      </c>
      <c r="AJ24">
        <v>732216872.05424404</v>
      </c>
    </row>
    <row r="25" spans="1:36" x14ac:dyDescent="0.25">
      <c r="A25" t="s">
        <v>86</v>
      </c>
      <c r="B25" t="s">
        <v>25</v>
      </c>
      <c r="C25">
        <v>2104.1799999999998</v>
      </c>
      <c r="D25">
        <v>6007.07</v>
      </c>
      <c r="G25">
        <v>3.1351999999999998E-2</v>
      </c>
      <c r="H25">
        <v>0</v>
      </c>
      <c r="I25">
        <v>561257.47</v>
      </c>
      <c r="J25">
        <v>201226.15</v>
      </c>
      <c r="K25">
        <v>0</v>
      </c>
      <c r="L25">
        <v>282049.05</v>
      </c>
      <c r="M25">
        <v>0</v>
      </c>
      <c r="N25">
        <v>202284.48</v>
      </c>
      <c r="O25">
        <v>39780.68</v>
      </c>
      <c r="P25">
        <v>36981.57</v>
      </c>
      <c r="Q25">
        <v>0</v>
      </c>
      <c r="R25">
        <v>0</v>
      </c>
      <c r="S25">
        <v>0</v>
      </c>
      <c r="T25">
        <v>0</v>
      </c>
      <c r="U25">
        <v>0</v>
      </c>
      <c r="V25">
        <v>289748.03999999998</v>
      </c>
      <c r="W25">
        <v>0</v>
      </c>
      <c r="X25">
        <v>0</v>
      </c>
      <c r="Y25">
        <v>0</v>
      </c>
      <c r="Z25">
        <v>65854.75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93543.25</v>
      </c>
      <c r="AH25">
        <v>0</v>
      </c>
      <c r="AI25">
        <v>0</v>
      </c>
      <c r="AJ25">
        <v>828668743.67681003</v>
      </c>
    </row>
    <row r="26" spans="1:36" x14ac:dyDescent="0.25">
      <c r="A26" t="s">
        <v>87</v>
      </c>
      <c r="B26" t="s">
        <v>25</v>
      </c>
      <c r="C26">
        <v>15846.95</v>
      </c>
      <c r="D26">
        <v>45240.28</v>
      </c>
      <c r="G26">
        <v>0.23611499999999999</v>
      </c>
      <c r="H26">
        <v>0</v>
      </c>
      <c r="I26">
        <v>3074388.43</v>
      </c>
      <c r="J26">
        <v>857863.39</v>
      </c>
      <c r="K26">
        <v>0</v>
      </c>
      <c r="L26">
        <v>1141299.43</v>
      </c>
      <c r="M26">
        <v>0</v>
      </c>
      <c r="N26">
        <v>801564.47</v>
      </c>
      <c r="O26">
        <v>493171.75</v>
      </c>
      <c r="P26">
        <v>444161.65</v>
      </c>
      <c r="Q26">
        <v>0</v>
      </c>
      <c r="R26">
        <v>0</v>
      </c>
      <c r="S26">
        <v>0</v>
      </c>
      <c r="T26">
        <v>0</v>
      </c>
      <c r="U26">
        <v>0</v>
      </c>
      <c r="V26">
        <v>1648602.24</v>
      </c>
      <c r="W26">
        <v>0</v>
      </c>
      <c r="X26">
        <v>0</v>
      </c>
      <c r="Y26">
        <v>0</v>
      </c>
      <c r="Z26">
        <v>43737.51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203701.21</v>
      </c>
      <c r="AH26">
        <v>0</v>
      </c>
      <c r="AI26">
        <v>0</v>
      </c>
      <c r="AJ26">
        <v>3768833553.5721798</v>
      </c>
    </row>
    <row r="27" spans="1:36" x14ac:dyDescent="0.25">
      <c r="A27" t="s">
        <v>88</v>
      </c>
      <c r="B27" t="s">
        <v>25</v>
      </c>
      <c r="C27">
        <v>2283.14</v>
      </c>
      <c r="D27">
        <v>6517.96</v>
      </c>
      <c r="G27">
        <v>3.4018E-2</v>
      </c>
      <c r="H27">
        <v>0</v>
      </c>
      <c r="I27">
        <v>668848.80000000005</v>
      </c>
      <c r="J27">
        <v>197273.03</v>
      </c>
      <c r="K27">
        <v>0</v>
      </c>
      <c r="L27">
        <v>258328.15</v>
      </c>
      <c r="M27">
        <v>0</v>
      </c>
      <c r="N27">
        <v>336701.08</v>
      </c>
      <c r="O27">
        <v>45208.4</v>
      </c>
      <c r="P27">
        <v>42323.56</v>
      </c>
      <c r="Q27">
        <v>0</v>
      </c>
      <c r="R27">
        <v>0</v>
      </c>
      <c r="S27">
        <v>0</v>
      </c>
      <c r="T27">
        <v>0</v>
      </c>
      <c r="U27">
        <v>0</v>
      </c>
      <c r="V27">
        <v>135305.94</v>
      </c>
      <c r="W27">
        <v>0</v>
      </c>
      <c r="X27">
        <v>0</v>
      </c>
      <c r="Y27">
        <v>0</v>
      </c>
      <c r="Z27">
        <v>64094.3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171950.26</v>
      </c>
      <c r="AH27">
        <v>0</v>
      </c>
      <c r="AI27">
        <v>0</v>
      </c>
      <c r="AJ27">
        <v>1338483184.43471</v>
      </c>
    </row>
    <row r="28" spans="1:36" x14ac:dyDescent="0.25">
      <c r="A28" t="s">
        <v>89</v>
      </c>
      <c r="B28" t="s">
        <v>25</v>
      </c>
      <c r="D28">
        <v>6517.96</v>
      </c>
      <c r="E28">
        <v>2283.14</v>
      </c>
      <c r="G28">
        <v>3.4018E-2</v>
      </c>
      <c r="H28">
        <v>0</v>
      </c>
      <c r="I28">
        <v>551564.56000000006</v>
      </c>
      <c r="J28">
        <v>197273.03</v>
      </c>
      <c r="K28">
        <v>0</v>
      </c>
      <c r="L28">
        <v>258328.15</v>
      </c>
      <c r="M28">
        <v>0</v>
      </c>
      <c r="N28">
        <v>336762.78</v>
      </c>
      <c r="O28">
        <v>38609.82</v>
      </c>
      <c r="P28">
        <v>42226.09</v>
      </c>
      <c r="Q28">
        <v>0</v>
      </c>
      <c r="R28">
        <v>0</v>
      </c>
      <c r="S28">
        <v>0</v>
      </c>
      <c r="T28">
        <v>0</v>
      </c>
      <c r="U28">
        <v>0</v>
      </c>
      <c r="V28">
        <v>135462.46</v>
      </c>
      <c r="W28">
        <v>0</v>
      </c>
      <c r="X28">
        <v>0</v>
      </c>
      <c r="Y28">
        <v>0</v>
      </c>
      <c r="Z28">
        <v>64094.3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171951.25</v>
      </c>
      <c r="AH28">
        <v>0</v>
      </c>
      <c r="AI28">
        <v>0</v>
      </c>
      <c r="AJ28">
        <v>1230253438.4623301</v>
      </c>
    </row>
    <row r="29" spans="1:36" x14ac:dyDescent="0.25">
      <c r="A29" t="s">
        <v>90</v>
      </c>
      <c r="B29" t="s">
        <v>25</v>
      </c>
      <c r="D29">
        <v>45240.28</v>
      </c>
      <c r="E29">
        <v>15846.95</v>
      </c>
      <c r="G29">
        <v>0.23611499999999999</v>
      </c>
      <c r="H29">
        <v>0</v>
      </c>
      <c r="I29">
        <v>2648698.7000000002</v>
      </c>
      <c r="J29">
        <v>857863.39</v>
      </c>
      <c r="K29">
        <v>0</v>
      </c>
      <c r="L29">
        <v>1141299.43</v>
      </c>
      <c r="M29">
        <v>0</v>
      </c>
      <c r="N29">
        <v>800963.7</v>
      </c>
      <c r="O29">
        <v>436766.56</v>
      </c>
      <c r="P29">
        <v>436992.18</v>
      </c>
      <c r="Q29">
        <v>0</v>
      </c>
      <c r="R29">
        <v>0</v>
      </c>
      <c r="S29">
        <v>0</v>
      </c>
      <c r="T29">
        <v>0</v>
      </c>
      <c r="U29">
        <v>0</v>
      </c>
      <c r="V29">
        <v>1647927.23</v>
      </c>
      <c r="W29">
        <v>0</v>
      </c>
      <c r="X29">
        <v>0</v>
      </c>
      <c r="Y29">
        <v>0</v>
      </c>
      <c r="Z29">
        <v>43737.51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203717.46</v>
      </c>
      <c r="AH29">
        <v>0</v>
      </c>
      <c r="AI29">
        <v>0</v>
      </c>
      <c r="AJ29">
        <v>3738674031.3622799</v>
      </c>
    </row>
    <row r="30" spans="1:36" x14ac:dyDescent="0.25">
      <c r="A30" t="s">
        <v>91</v>
      </c>
      <c r="B30" t="s">
        <v>25</v>
      </c>
      <c r="D30">
        <v>40201.160000000003</v>
      </c>
      <c r="E30">
        <v>14081.83</v>
      </c>
      <c r="G30">
        <v>0.209815</v>
      </c>
      <c r="H30">
        <v>0</v>
      </c>
      <c r="I30">
        <v>1696450.86</v>
      </c>
      <c r="J30">
        <v>350734.07</v>
      </c>
      <c r="K30">
        <v>0</v>
      </c>
      <c r="L30">
        <v>936314.72</v>
      </c>
      <c r="M30">
        <v>0</v>
      </c>
      <c r="N30">
        <v>648097.88</v>
      </c>
      <c r="O30">
        <v>350214.15</v>
      </c>
      <c r="P30">
        <v>371772.12</v>
      </c>
      <c r="Q30">
        <v>0</v>
      </c>
      <c r="R30">
        <v>0</v>
      </c>
      <c r="S30">
        <v>0</v>
      </c>
      <c r="T30">
        <v>0</v>
      </c>
      <c r="U30">
        <v>0</v>
      </c>
      <c r="V30">
        <v>905391.09</v>
      </c>
      <c r="W30">
        <v>0</v>
      </c>
      <c r="X30">
        <v>0</v>
      </c>
      <c r="Y30">
        <v>0</v>
      </c>
      <c r="Z30">
        <v>68627.600000000006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356277.67</v>
      </c>
      <c r="AH30">
        <v>0</v>
      </c>
      <c r="AI30">
        <v>0</v>
      </c>
      <c r="AJ30">
        <v>3081273625.5281</v>
      </c>
    </row>
    <row r="31" spans="1:36" x14ac:dyDescent="0.25">
      <c r="A31" t="s">
        <v>92</v>
      </c>
      <c r="B31" t="s">
        <v>25</v>
      </c>
      <c r="C31">
        <v>14081.83</v>
      </c>
      <c r="D31">
        <v>40201.160000000003</v>
      </c>
      <c r="G31">
        <v>0.209815</v>
      </c>
      <c r="H31">
        <v>0</v>
      </c>
      <c r="I31">
        <v>2329438.9900000002</v>
      </c>
      <c r="J31">
        <v>350734.07</v>
      </c>
      <c r="K31">
        <v>0</v>
      </c>
      <c r="L31">
        <v>936314.72</v>
      </c>
      <c r="M31">
        <v>0</v>
      </c>
      <c r="N31">
        <v>648412.54</v>
      </c>
      <c r="O31">
        <v>413338.84</v>
      </c>
      <c r="P31">
        <v>380803.4</v>
      </c>
      <c r="Q31">
        <v>0</v>
      </c>
      <c r="R31">
        <v>0</v>
      </c>
      <c r="S31">
        <v>0</v>
      </c>
      <c r="T31">
        <v>0</v>
      </c>
      <c r="U31">
        <v>0</v>
      </c>
      <c r="V31">
        <v>905455.41</v>
      </c>
      <c r="W31">
        <v>0</v>
      </c>
      <c r="X31">
        <v>0</v>
      </c>
      <c r="Y31">
        <v>0</v>
      </c>
      <c r="Z31">
        <v>68627.600000000006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356253.98</v>
      </c>
      <c r="AH31">
        <v>0</v>
      </c>
      <c r="AI31">
        <v>0</v>
      </c>
      <c r="AJ31">
        <v>3342317486.2094402</v>
      </c>
    </row>
    <row r="32" spans="1:36" x14ac:dyDescent="0.25">
      <c r="A32" t="s">
        <v>93</v>
      </c>
      <c r="B32" t="s">
        <v>24</v>
      </c>
      <c r="D32">
        <v>25977.47</v>
      </c>
      <c r="E32">
        <v>9099.49</v>
      </c>
      <c r="G32">
        <v>0.13558000000000001</v>
      </c>
      <c r="H32">
        <v>0</v>
      </c>
      <c r="I32">
        <v>915358.96</v>
      </c>
      <c r="J32">
        <v>774617.57</v>
      </c>
      <c r="K32">
        <v>0</v>
      </c>
      <c r="L32">
        <v>436518</v>
      </c>
      <c r="M32">
        <v>0</v>
      </c>
      <c r="N32">
        <v>357862.02</v>
      </c>
      <c r="O32">
        <v>137632.85999999999</v>
      </c>
      <c r="P32">
        <v>135772.32999999999</v>
      </c>
      <c r="Q32">
        <v>0</v>
      </c>
      <c r="R32">
        <v>0</v>
      </c>
      <c r="S32">
        <v>0</v>
      </c>
      <c r="T32">
        <v>0</v>
      </c>
      <c r="U32">
        <v>0</v>
      </c>
      <c r="V32">
        <v>640509.26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147592.87</v>
      </c>
      <c r="AH32">
        <v>0</v>
      </c>
      <c r="AI32">
        <v>0</v>
      </c>
      <c r="AJ32">
        <v>2767851166.4725299</v>
      </c>
    </row>
    <row r="33" spans="1:36" x14ac:dyDescent="0.25">
      <c r="A33" t="s">
        <v>94</v>
      </c>
      <c r="B33" t="s">
        <v>25</v>
      </c>
      <c r="D33">
        <v>90247.38</v>
      </c>
      <c r="E33">
        <v>31612.22</v>
      </c>
      <c r="G33">
        <v>0.47101300000000001</v>
      </c>
      <c r="H33">
        <v>0</v>
      </c>
      <c r="I33">
        <v>4934346.07</v>
      </c>
      <c r="J33">
        <v>1274541.22</v>
      </c>
      <c r="K33">
        <v>0</v>
      </c>
      <c r="L33">
        <v>3553012.2</v>
      </c>
      <c r="M33">
        <v>0</v>
      </c>
      <c r="N33">
        <v>1929019.36</v>
      </c>
      <c r="O33">
        <v>601249.78</v>
      </c>
      <c r="P33">
        <v>635158.69999999995</v>
      </c>
      <c r="Q33">
        <v>0</v>
      </c>
      <c r="R33">
        <v>0</v>
      </c>
      <c r="S33">
        <v>0</v>
      </c>
      <c r="T33">
        <v>0</v>
      </c>
      <c r="U33">
        <v>0</v>
      </c>
      <c r="V33">
        <v>2807747.73</v>
      </c>
      <c r="W33">
        <v>0</v>
      </c>
      <c r="X33">
        <v>0</v>
      </c>
      <c r="Y33">
        <v>0</v>
      </c>
      <c r="Z33">
        <v>127428.8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544716.48</v>
      </c>
      <c r="AH33">
        <v>0</v>
      </c>
      <c r="AI33">
        <v>0</v>
      </c>
      <c r="AJ33">
        <v>8677080461.8987503</v>
      </c>
    </row>
    <row r="34" spans="1:36" x14ac:dyDescent="0.25">
      <c r="A34" t="s">
        <v>95</v>
      </c>
      <c r="B34" t="s">
        <v>24</v>
      </c>
      <c r="C34">
        <v>9099.49</v>
      </c>
      <c r="D34">
        <v>25977.47</v>
      </c>
      <c r="G34">
        <v>0.13558000000000001</v>
      </c>
      <c r="H34">
        <v>0</v>
      </c>
      <c r="I34">
        <v>1044978.87</v>
      </c>
      <c r="J34">
        <v>774617.57</v>
      </c>
      <c r="K34">
        <v>0</v>
      </c>
      <c r="L34">
        <v>436518</v>
      </c>
      <c r="M34">
        <v>0</v>
      </c>
      <c r="N34">
        <v>357877.24</v>
      </c>
      <c r="O34">
        <v>158384.14000000001</v>
      </c>
      <c r="P34">
        <v>138347.34</v>
      </c>
      <c r="Q34">
        <v>0</v>
      </c>
      <c r="R34">
        <v>0</v>
      </c>
      <c r="S34">
        <v>0</v>
      </c>
      <c r="T34">
        <v>0</v>
      </c>
      <c r="U34">
        <v>0</v>
      </c>
      <c r="V34">
        <v>640006.87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147596.97</v>
      </c>
      <c r="AH34">
        <v>0</v>
      </c>
      <c r="AI34">
        <v>0</v>
      </c>
      <c r="AJ34">
        <v>2735289380.9762702</v>
      </c>
    </row>
    <row r="35" spans="1:36" x14ac:dyDescent="0.25">
      <c r="A35" t="s">
        <v>96</v>
      </c>
      <c r="B35" t="s">
        <v>25</v>
      </c>
      <c r="C35">
        <v>31612.22</v>
      </c>
      <c r="D35">
        <v>90247.38</v>
      </c>
      <c r="G35">
        <v>0.47101300000000001</v>
      </c>
      <c r="H35">
        <v>0</v>
      </c>
      <c r="I35">
        <v>5932097.0300000003</v>
      </c>
      <c r="J35">
        <v>1274541.22</v>
      </c>
      <c r="K35">
        <v>0</v>
      </c>
      <c r="L35">
        <v>3553012.2</v>
      </c>
      <c r="M35">
        <v>0</v>
      </c>
      <c r="N35">
        <v>1929368.26</v>
      </c>
      <c r="O35">
        <v>683428.28</v>
      </c>
      <c r="P35">
        <v>637035.03</v>
      </c>
      <c r="Q35">
        <v>0</v>
      </c>
      <c r="R35">
        <v>0</v>
      </c>
      <c r="S35">
        <v>0</v>
      </c>
      <c r="T35">
        <v>0</v>
      </c>
      <c r="U35">
        <v>0</v>
      </c>
      <c r="V35">
        <v>2819014.85</v>
      </c>
      <c r="W35">
        <v>0</v>
      </c>
      <c r="X35">
        <v>0</v>
      </c>
      <c r="Y35">
        <v>0</v>
      </c>
      <c r="Z35">
        <v>127428.8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544675.36</v>
      </c>
      <c r="AH35">
        <v>0</v>
      </c>
      <c r="AI35">
        <v>0</v>
      </c>
      <c r="AJ35">
        <v>8931884578.1089096</v>
      </c>
    </row>
    <row r="36" spans="1:36" x14ac:dyDescent="0.25">
      <c r="A36" t="s">
        <v>97</v>
      </c>
      <c r="B36" t="s">
        <v>24</v>
      </c>
      <c r="D36">
        <v>2691.48</v>
      </c>
      <c r="E36">
        <v>942.78</v>
      </c>
      <c r="G36">
        <v>1.4047E-2</v>
      </c>
      <c r="H36">
        <v>0</v>
      </c>
      <c r="I36">
        <v>71483.850000000006</v>
      </c>
      <c r="J36">
        <v>23792.959999999999</v>
      </c>
      <c r="K36">
        <v>0</v>
      </c>
      <c r="L36">
        <v>29466.65</v>
      </c>
      <c r="M36">
        <v>0</v>
      </c>
      <c r="N36">
        <v>132534.9</v>
      </c>
      <c r="O36">
        <v>14605.25</v>
      </c>
      <c r="P36">
        <v>15215.25</v>
      </c>
      <c r="Q36">
        <v>0</v>
      </c>
      <c r="R36">
        <v>0</v>
      </c>
      <c r="S36">
        <v>0</v>
      </c>
      <c r="T36">
        <v>0</v>
      </c>
      <c r="U36">
        <v>0</v>
      </c>
      <c r="V36">
        <v>1042.01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4007.76</v>
      </c>
      <c r="AH36">
        <v>0</v>
      </c>
      <c r="AI36">
        <v>0</v>
      </c>
      <c r="AJ36">
        <v>210120937.20763499</v>
      </c>
    </row>
    <row r="37" spans="1:36" x14ac:dyDescent="0.25">
      <c r="A37" t="s">
        <v>98</v>
      </c>
      <c r="B37" t="s">
        <v>24</v>
      </c>
      <c r="D37">
        <v>35984.33</v>
      </c>
      <c r="E37">
        <v>12604.74</v>
      </c>
      <c r="G37">
        <v>0.187807</v>
      </c>
      <c r="H37">
        <v>0</v>
      </c>
      <c r="I37">
        <v>1145528.07</v>
      </c>
      <c r="J37">
        <v>463682.79</v>
      </c>
      <c r="K37">
        <v>0</v>
      </c>
      <c r="L37">
        <v>831153.37</v>
      </c>
      <c r="M37">
        <v>0</v>
      </c>
      <c r="N37">
        <v>331001.19</v>
      </c>
      <c r="O37">
        <v>277805.01</v>
      </c>
      <c r="P37">
        <v>281558.06</v>
      </c>
      <c r="Q37">
        <v>0</v>
      </c>
      <c r="R37">
        <v>0</v>
      </c>
      <c r="S37">
        <v>0</v>
      </c>
      <c r="T37">
        <v>0</v>
      </c>
      <c r="U37">
        <v>0</v>
      </c>
      <c r="V37">
        <v>832937.64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96586.85</v>
      </c>
      <c r="AH37">
        <v>0</v>
      </c>
      <c r="AI37">
        <v>0</v>
      </c>
      <c r="AJ37">
        <v>2325253241.5953302</v>
      </c>
    </row>
    <row r="38" spans="1:36" x14ac:dyDescent="0.25">
      <c r="A38" t="s">
        <v>99</v>
      </c>
      <c r="B38" t="s">
        <v>24</v>
      </c>
      <c r="C38">
        <v>942.78</v>
      </c>
      <c r="D38">
        <v>2691.48</v>
      </c>
      <c r="G38">
        <v>1.4047E-2</v>
      </c>
      <c r="H38">
        <v>0</v>
      </c>
      <c r="I38">
        <v>107241.87</v>
      </c>
      <c r="J38">
        <v>23792.959999999999</v>
      </c>
      <c r="K38">
        <v>0</v>
      </c>
      <c r="L38">
        <v>29466.65</v>
      </c>
      <c r="M38">
        <v>0</v>
      </c>
      <c r="N38">
        <v>132531.29</v>
      </c>
      <c r="O38">
        <v>19742.09</v>
      </c>
      <c r="P38">
        <v>16092.28</v>
      </c>
      <c r="Q38">
        <v>0</v>
      </c>
      <c r="R38">
        <v>0</v>
      </c>
      <c r="S38">
        <v>0</v>
      </c>
      <c r="T38">
        <v>0</v>
      </c>
      <c r="U38">
        <v>0</v>
      </c>
      <c r="V38">
        <v>1042.01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4007.76</v>
      </c>
      <c r="AH38">
        <v>0</v>
      </c>
      <c r="AI38">
        <v>0</v>
      </c>
      <c r="AJ38">
        <v>248381441.41617399</v>
      </c>
    </row>
    <row r="39" spans="1:36" x14ac:dyDescent="0.25">
      <c r="A39" t="s">
        <v>100</v>
      </c>
      <c r="B39" t="s">
        <v>24</v>
      </c>
      <c r="D39">
        <v>5861.97</v>
      </c>
      <c r="E39">
        <v>2053.36</v>
      </c>
      <c r="G39">
        <v>3.0594E-2</v>
      </c>
      <c r="H39">
        <v>0</v>
      </c>
      <c r="I39">
        <v>345999.72</v>
      </c>
      <c r="J39">
        <v>201226.15</v>
      </c>
      <c r="K39">
        <v>0</v>
      </c>
      <c r="L39">
        <v>282049.05</v>
      </c>
      <c r="M39">
        <v>0</v>
      </c>
      <c r="N39">
        <v>182474.13</v>
      </c>
      <c r="O39">
        <v>29690.09</v>
      </c>
      <c r="P39">
        <v>30333.119999999999</v>
      </c>
      <c r="Q39">
        <v>0</v>
      </c>
      <c r="R39">
        <v>0</v>
      </c>
      <c r="S39">
        <v>0</v>
      </c>
      <c r="T39">
        <v>0</v>
      </c>
      <c r="U39">
        <v>0</v>
      </c>
      <c r="V39">
        <v>268889.81</v>
      </c>
      <c r="W39">
        <v>0</v>
      </c>
      <c r="X39">
        <v>0</v>
      </c>
      <c r="Y39">
        <v>0</v>
      </c>
      <c r="Z39">
        <v>65854.75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105316.32</v>
      </c>
      <c r="AH39">
        <v>0</v>
      </c>
      <c r="AI39">
        <v>0</v>
      </c>
      <c r="AJ39">
        <v>755212440.04663205</v>
      </c>
    </row>
    <row r="40" spans="1:36" x14ac:dyDescent="0.25">
      <c r="A40" t="s">
        <v>101</v>
      </c>
      <c r="B40" t="s">
        <v>24</v>
      </c>
      <c r="C40">
        <v>2053.36</v>
      </c>
      <c r="D40">
        <v>5861.97</v>
      </c>
      <c r="G40">
        <v>3.0594E-2</v>
      </c>
      <c r="H40">
        <v>0</v>
      </c>
      <c r="I40">
        <v>402758.54</v>
      </c>
      <c r="J40">
        <v>201226.15</v>
      </c>
      <c r="K40">
        <v>0</v>
      </c>
      <c r="L40">
        <v>282049.05</v>
      </c>
      <c r="M40">
        <v>0</v>
      </c>
      <c r="N40">
        <v>182469.21</v>
      </c>
      <c r="O40">
        <v>33562.129999999997</v>
      </c>
      <c r="P40">
        <v>30417.119999999999</v>
      </c>
      <c r="Q40">
        <v>0</v>
      </c>
      <c r="R40">
        <v>0</v>
      </c>
      <c r="S40">
        <v>0</v>
      </c>
      <c r="T40">
        <v>0</v>
      </c>
      <c r="U40">
        <v>0</v>
      </c>
      <c r="V40">
        <v>268693.42</v>
      </c>
      <c r="W40">
        <v>0</v>
      </c>
      <c r="X40">
        <v>0</v>
      </c>
      <c r="Y40">
        <v>0</v>
      </c>
      <c r="Z40">
        <v>65854.75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105318.83</v>
      </c>
      <c r="AH40">
        <v>0</v>
      </c>
      <c r="AI40">
        <v>0</v>
      </c>
      <c r="AJ40">
        <v>812767710.19093597</v>
      </c>
    </row>
    <row r="41" spans="1:36" x14ac:dyDescent="0.25">
      <c r="A41" t="s">
        <v>102</v>
      </c>
      <c r="B41" t="s">
        <v>24</v>
      </c>
      <c r="C41">
        <v>12604.74</v>
      </c>
      <c r="D41">
        <v>35984.33</v>
      </c>
      <c r="G41">
        <v>0.187807</v>
      </c>
      <c r="H41">
        <v>0</v>
      </c>
      <c r="I41">
        <v>1636288.68</v>
      </c>
      <c r="J41">
        <v>463682.79</v>
      </c>
      <c r="K41">
        <v>0</v>
      </c>
      <c r="L41">
        <v>831153.37</v>
      </c>
      <c r="M41">
        <v>0</v>
      </c>
      <c r="N41">
        <v>331829.28000000003</v>
      </c>
      <c r="O41">
        <v>321146.09999999998</v>
      </c>
      <c r="P41">
        <v>285395.38</v>
      </c>
      <c r="Q41">
        <v>0</v>
      </c>
      <c r="R41">
        <v>0</v>
      </c>
      <c r="S41">
        <v>0</v>
      </c>
      <c r="T41">
        <v>0</v>
      </c>
      <c r="U41">
        <v>0</v>
      </c>
      <c r="V41">
        <v>831844.21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96591.039999999994</v>
      </c>
      <c r="AH41">
        <v>0</v>
      </c>
      <c r="AI41">
        <v>0</v>
      </c>
      <c r="AJ41">
        <v>2925555293.1602302</v>
      </c>
    </row>
    <row r="42" spans="1:36" x14ac:dyDescent="0.25">
      <c r="A42" t="s">
        <v>103</v>
      </c>
      <c r="B42" t="s">
        <v>24</v>
      </c>
      <c r="C42">
        <v>15353.69</v>
      </c>
      <c r="D42">
        <v>43832.1</v>
      </c>
      <c r="G42">
        <v>0.228766</v>
      </c>
      <c r="H42">
        <v>0</v>
      </c>
      <c r="I42">
        <v>2211146.7999999998</v>
      </c>
      <c r="J42">
        <v>857863.39</v>
      </c>
      <c r="K42">
        <v>0</v>
      </c>
      <c r="L42">
        <v>1141299.43</v>
      </c>
      <c r="M42">
        <v>0</v>
      </c>
      <c r="N42">
        <v>750738.96</v>
      </c>
      <c r="O42">
        <v>477233.94</v>
      </c>
      <c r="P42">
        <v>389189.39</v>
      </c>
      <c r="Q42">
        <v>0</v>
      </c>
      <c r="R42">
        <v>0</v>
      </c>
      <c r="S42">
        <v>0</v>
      </c>
      <c r="T42">
        <v>0</v>
      </c>
      <c r="U42">
        <v>0</v>
      </c>
      <c r="V42">
        <v>1544955.31</v>
      </c>
      <c r="W42">
        <v>0</v>
      </c>
      <c r="X42">
        <v>0</v>
      </c>
      <c r="Y42">
        <v>0</v>
      </c>
      <c r="Z42">
        <v>43737.51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229429.89</v>
      </c>
      <c r="AH42">
        <v>0</v>
      </c>
      <c r="AI42">
        <v>0</v>
      </c>
      <c r="AJ42">
        <v>3552688032.8490901</v>
      </c>
    </row>
    <row r="43" spans="1:36" x14ac:dyDescent="0.25">
      <c r="A43" t="s">
        <v>104</v>
      </c>
      <c r="B43" t="s">
        <v>24</v>
      </c>
      <c r="D43">
        <v>38835.19</v>
      </c>
      <c r="E43">
        <v>13603.35</v>
      </c>
      <c r="G43">
        <v>0.20268600000000001</v>
      </c>
      <c r="H43">
        <v>0</v>
      </c>
      <c r="I43">
        <v>1212739.6499999999</v>
      </c>
      <c r="J43">
        <v>350734.07</v>
      </c>
      <c r="K43">
        <v>0</v>
      </c>
      <c r="L43">
        <v>936314.72</v>
      </c>
      <c r="M43">
        <v>0</v>
      </c>
      <c r="N43">
        <v>472857.76</v>
      </c>
      <c r="O43">
        <v>324292.39</v>
      </c>
      <c r="P43">
        <v>316034.03999999998</v>
      </c>
      <c r="Q43">
        <v>0</v>
      </c>
      <c r="R43">
        <v>0</v>
      </c>
      <c r="S43">
        <v>0</v>
      </c>
      <c r="T43">
        <v>0</v>
      </c>
      <c r="U43">
        <v>0</v>
      </c>
      <c r="V43">
        <v>384436.96</v>
      </c>
      <c r="W43">
        <v>0</v>
      </c>
      <c r="X43">
        <v>0</v>
      </c>
      <c r="Y43">
        <v>0</v>
      </c>
      <c r="Z43">
        <v>68627.600000000006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401652.56</v>
      </c>
      <c r="AH43">
        <v>0</v>
      </c>
      <c r="AI43">
        <v>0</v>
      </c>
      <c r="AJ43">
        <v>2878056649.1214299</v>
      </c>
    </row>
    <row r="44" spans="1:36" x14ac:dyDescent="0.25">
      <c r="A44" t="s">
        <v>105</v>
      </c>
      <c r="B44" t="s">
        <v>24</v>
      </c>
      <c r="C44">
        <v>30916.82</v>
      </c>
      <c r="D44">
        <v>88262.12</v>
      </c>
      <c r="G44">
        <v>0.46065200000000001</v>
      </c>
      <c r="H44">
        <v>0</v>
      </c>
      <c r="I44">
        <v>4173564.69</v>
      </c>
      <c r="J44">
        <v>1274541.22</v>
      </c>
      <c r="K44">
        <v>0</v>
      </c>
      <c r="L44">
        <v>3553012.2</v>
      </c>
      <c r="M44">
        <v>0</v>
      </c>
      <c r="N44">
        <v>1727422.6</v>
      </c>
      <c r="O44">
        <v>576251.93000000005</v>
      </c>
      <c r="P44">
        <v>522611.81</v>
      </c>
      <c r="Q44">
        <v>0</v>
      </c>
      <c r="R44">
        <v>0</v>
      </c>
      <c r="S44">
        <v>0</v>
      </c>
      <c r="T44">
        <v>0</v>
      </c>
      <c r="U44">
        <v>0</v>
      </c>
      <c r="V44">
        <v>2204419.4700000002</v>
      </c>
      <c r="W44">
        <v>0</v>
      </c>
      <c r="X44">
        <v>0</v>
      </c>
      <c r="Y44">
        <v>0</v>
      </c>
      <c r="Z44">
        <v>127428.8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613916.1</v>
      </c>
      <c r="AH44">
        <v>0</v>
      </c>
      <c r="AI44">
        <v>0</v>
      </c>
      <c r="AJ44">
        <v>8407444915.02528</v>
      </c>
    </row>
    <row r="45" spans="1:36" x14ac:dyDescent="0.25">
      <c r="A45" t="s">
        <v>106</v>
      </c>
      <c r="B45" t="s">
        <v>24</v>
      </c>
      <c r="D45">
        <v>6314.01</v>
      </c>
      <c r="E45">
        <v>2211.6999999999998</v>
      </c>
      <c r="G45">
        <v>3.2953999999999997E-2</v>
      </c>
      <c r="H45">
        <v>0</v>
      </c>
      <c r="I45">
        <v>409116.65</v>
      </c>
      <c r="J45">
        <v>197273.03</v>
      </c>
      <c r="K45">
        <v>0</v>
      </c>
      <c r="L45">
        <v>258328.15</v>
      </c>
      <c r="M45">
        <v>0</v>
      </c>
      <c r="N45">
        <v>365369.48</v>
      </c>
      <c r="O45">
        <v>33175.94</v>
      </c>
      <c r="P45">
        <v>34515.879999999997</v>
      </c>
      <c r="Q45">
        <v>0</v>
      </c>
      <c r="R45">
        <v>0</v>
      </c>
      <c r="S45">
        <v>0</v>
      </c>
      <c r="T45">
        <v>0</v>
      </c>
      <c r="U45">
        <v>0</v>
      </c>
      <c r="V45">
        <v>105052.67</v>
      </c>
      <c r="W45">
        <v>0</v>
      </c>
      <c r="X45">
        <v>0</v>
      </c>
      <c r="Y45">
        <v>0</v>
      </c>
      <c r="Z45">
        <v>64094.3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193650.81</v>
      </c>
      <c r="AH45">
        <v>0</v>
      </c>
      <c r="AI45">
        <v>0</v>
      </c>
      <c r="AJ45">
        <v>1262012700.53579</v>
      </c>
    </row>
    <row r="46" spans="1:36" x14ac:dyDescent="0.25">
      <c r="A46" t="s">
        <v>107</v>
      </c>
      <c r="B46" t="s">
        <v>24</v>
      </c>
      <c r="D46">
        <v>43832.1</v>
      </c>
      <c r="E46">
        <v>15353.69</v>
      </c>
      <c r="G46">
        <v>0.228766</v>
      </c>
      <c r="H46">
        <v>0</v>
      </c>
      <c r="I46">
        <v>1896796.55</v>
      </c>
      <c r="J46">
        <v>857863.39</v>
      </c>
      <c r="K46">
        <v>0</v>
      </c>
      <c r="L46">
        <v>1141299.43</v>
      </c>
      <c r="M46">
        <v>0</v>
      </c>
      <c r="N46">
        <v>749790.37</v>
      </c>
      <c r="O46">
        <v>413101.43</v>
      </c>
      <c r="P46">
        <v>374721.68</v>
      </c>
      <c r="Q46">
        <v>0</v>
      </c>
      <c r="R46">
        <v>0</v>
      </c>
      <c r="S46">
        <v>0</v>
      </c>
      <c r="T46">
        <v>0</v>
      </c>
      <c r="U46">
        <v>0</v>
      </c>
      <c r="V46">
        <v>1551138.23</v>
      </c>
      <c r="W46">
        <v>0</v>
      </c>
      <c r="X46">
        <v>0</v>
      </c>
      <c r="Y46">
        <v>0</v>
      </c>
      <c r="Z46">
        <v>43737.51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229435.5</v>
      </c>
      <c r="AH46">
        <v>0</v>
      </c>
      <c r="AI46">
        <v>0</v>
      </c>
      <c r="AJ46">
        <v>3492488613.85044</v>
      </c>
    </row>
    <row r="47" spans="1:36" x14ac:dyDescent="0.25">
      <c r="A47" t="s">
        <v>108</v>
      </c>
      <c r="B47" t="s">
        <v>24</v>
      </c>
      <c r="C47">
        <v>2211.6999999999998</v>
      </c>
      <c r="D47">
        <v>6314.01</v>
      </c>
      <c r="G47">
        <v>3.2953999999999997E-2</v>
      </c>
      <c r="H47">
        <v>0</v>
      </c>
      <c r="I47">
        <v>466822.67</v>
      </c>
      <c r="J47">
        <v>197273.03</v>
      </c>
      <c r="K47">
        <v>0</v>
      </c>
      <c r="L47">
        <v>258328.15</v>
      </c>
      <c r="M47">
        <v>0</v>
      </c>
      <c r="N47">
        <v>365315.58</v>
      </c>
      <c r="O47">
        <v>37763.089999999997</v>
      </c>
      <c r="P47">
        <v>34653.82</v>
      </c>
      <c r="Q47">
        <v>0</v>
      </c>
      <c r="R47">
        <v>0</v>
      </c>
      <c r="S47">
        <v>0</v>
      </c>
      <c r="T47">
        <v>0</v>
      </c>
      <c r="U47">
        <v>0</v>
      </c>
      <c r="V47">
        <v>104848.17</v>
      </c>
      <c r="W47">
        <v>0</v>
      </c>
      <c r="X47">
        <v>0</v>
      </c>
      <c r="Y47">
        <v>0</v>
      </c>
      <c r="Z47">
        <v>64094.3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193654.7</v>
      </c>
      <c r="AH47">
        <v>0</v>
      </c>
      <c r="AI47">
        <v>0</v>
      </c>
      <c r="AJ47">
        <v>1318220881.64289</v>
      </c>
    </row>
    <row r="48" spans="1:36" x14ac:dyDescent="0.25">
      <c r="A48" t="s">
        <v>109</v>
      </c>
      <c r="B48" t="s">
        <v>24</v>
      </c>
      <c r="D48">
        <v>88262.12</v>
      </c>
      <c r="E48">
        <v>30916.82</v>
      </c>
      <c r="G48">
        <v>0.46065200000000001</v>
      </c>
      <c r="H48">
        <v>0</v>
      </c>
      <c r="I48">
        <v>3477293.55</v>
      </c>
      <c r="J48">
        <v>1274541.22</v>
      </c>
      <c r="K48">
        <v>0</v>
      </c>
      <c r="L48">
        <v>3553012.2</v>
      </c>
      <c r="M48">
        <v>0</v>
      </c>
      <c r="N48">
        <v>1724917.88</v>
      </c>
      <c r="O48">
        <v>507380.43</v>
      </c>
      <c r="P48">
        <v>520033.51</v>
      </c>
      <c r="Q48">
        <v>0</v>
      </c>
      <c r="R48">
        <v>0</v>
      </c>
      <c r="S48">
        <v>0</v>
      </c>
      <c r="T48">
        <v>0</v>
      </c>
      <c r="U48">
        <v>0</v>
      </c>
      <c r="V48">
        <v>2213217.35</v>
      </c>
      <c r="W48">
        <v>0</v>
      </c>
      <c r="X48">
        <v>0</v>
      </c>
      <c r="Y48">
        <v>0</v>
      </c>
      <c r="Z48">
        <v>127428.8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613927.17000000004</v>
      </c>
      <c r="AH48">
        <v>0</v>
      </c>
      <c r="AI48">
        <v>0</v>
      </c>
      <c r="AJ48">
        <v>7884496368.0049</v>
      </c>
    </row>
    <row r="49" spans="1:36" x14ac:dyDescent="0.25">
      <c r="A49" t="s">
        <v>110</v>
      </c>
      <c r="B49" t="s">
        <v>24</v>
      </c>
      <c r="C49">
        <v>13603.35</v>
      </c>
      <c r="D49">
        <v>38835.19</v>
      </c>
      <c r="G49">
        <v>0.20268600000000001</v>
      </c>
      <c r="H49">
        <v>0</v>
      </c>
      <c r="I49">
        <v>1602828.5</v>
      </c>
      <c r="J49">
        <v>350734.07</v>
      </c>
      <c r="K49">
        <v>0</v>
      </c>
      <c r="L49">
        <v>936314.72</v>
      </c>
      <c r="M49">
        <v>0</v>
      </c>
      <c r="N49">
        <v>472883.81</v>
      </c>
      <c r="O49">
        <v>376914.8</v>
      </c>
      <c r="P49">
        <v>326649.93</v>
      </c>
      <c r="Q49">
        <v>0</v>
      </c>
      <c r="R49">
        <v>0</v>
      </c>
      <c r="S49">
        <v>0</v>
      </c>
      <c r="T49">
        <v>0</v>
      </c>
      <c r="U49">
        <v>0</v>
      </c>
      <c r="V49">
        <v>385069.44</v>
      </c>
      <c r="W49">
        <v>0</v>
      </c>
      <c r="X49">
        <v>0</v>
      </c>
      <c r="Y49">
        <v>0</v>
      </c>
      <c r="Z49">
        <v>68627.600000000006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401659.96</v>
      </c>
      <c r="AH49">
        <v>0</v>
      </c>
      <c r="AI49">
        <v>0</v>
      </c>
      <c r="AJ49">
        <v>2959232760.5162101</v>
      </c>
    </row>
    <row r="50" spans="1:36" x14ac:dyDescent="0.25">
      <c r="A50" t="s">
        <v>111</v>
      </c>
      <c r="B50" t="s">
        <v>23</v>
      </c>
      <c r="D50">
        <v>26603.98</v>
      </c>
      <c r="E50">
        <v>9318.9500000000007</v>
      </c>
      <c r="G50">
        <v>0.13885</v>
      </c>
      <c r="H50">
        <v>0</v>
      </c>
      <c r="I50">
        <v>937791.67</v>
      </c>
      <c r="J50">
        <v>774617.57</v>
      </c>
      <c r="K50">
        <v>0</v>
      </c>
      <c r="L50">
        <v>436518</v>
      </c>
      <c r="M50">
        <v>0</v>
      </c>
      <c r="N50">
        <v>310756.63</v>
      </c>
      <c r="O50">
        <v>132345.17000000001</v>
      </c>
      <c r="P50">
        <v>130157.44</v>
      </c>
      <c r="Q50">
        <v>0</v>
      </c>
      <c r="R50">
        <v>0</v>
      </c>
      <c r="S50">
        <v>0</v>
      </c>
      <c r="T50">
        <v>0</v>
      </c>
      <c r="U50">
        <v>0</v>
      </c>
      <c r="V50">
        <v>584798.74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155570.84</v>
      </c>
      <c r="AH50">
        <v>0</v>
      </c>
      <c r="AI50">
        <v>0</v>
      </c>
      <c r="AJ50">
        <v>2854528161.7276502</v>
      </c>
    </row>
    <row r="51" spans="1:36" x14ac:dyDescent="0.25">
      <c r="A51" t="s">
        <v>112</v>
      </c>
      <c r="B51" t="s">
        <v>23</v>
      </c>
      <c r="C51">
        <v>923.61</v>
      </c>
      <c r="D51">
        <v>2636.73</v>
      </c>
      <c r="G51">
        <v>1.3761000000000001E-2</v>
      </c>
      <c r="H51">
        <v>0</v>
      </c>
      <c r="I51">
        <v>99153.3</v>
      </c>
      <c r="J51">
        <v>23792.959999999999</v>
      </c>
      <c r="K51">
        <v>0</v>
      </c>
      <c r="L51">
        <v>29466.65</v>
      </c>
      <c r="M51">
        <v>0</v>
      </c>
      <c r="N51">
        <v>120835.59</v>
      </c>
      <c r="O51">
        <v>17925.990000000002</v>
      </c>
      <c r="P51">
        <v>15434.87</v>
      </c>
      <c r="Q51">
        <v>0</v>
      </c>
      <c r="R51">
        <v>0</v>
      </c>
      <c r="S51">
        <v>0</v>
      </c>
      <c r="T51">
        <v>0</v>
      </c>
      <c r="U51">
        <v>0</v>
      </c>
      <c r="V51">
        <v>2332.8000000000002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4192.6899999999996</v>
      </c>
      <c r="AH51">
        <v>0</v>
      </c>
      <c r="AI51">
        <v>0</v>
      </c>
      <c r="AJ51">
        <v>254326586.04495299</v>
      </c>
    </row>
    <row r="52" spans="1:36" x14ac:dyDescent="0.25">
      <c r="A52" t="s">
        <v>113</v>
      </c>
      <c r="B52" t="s">
        <v>23</v>
      </c>
      <c r="D52">
        <v>2636.73</v>
      </c>
      <c r="E52">
        <v>923.61</v>
      </c>
      <c r="G52">
        <v>1.3761000000000001E-2</v>
      </c>
      <c r="H52">
        <v>0</v>
      </c>
      <c r="I52">
        <v>63418.879999999997</v>
      </c>
      <c r="J52">
        <v>23792.959999999999</v>
      </c>
      <c r="K52">
        <v>0</v>
      </c>
      <c r="L52">
        <v>29466.65</v>
      </c>
      <c r="M52">
        <v>0</v>
      </c>
      <c r="N52">
        <v>120835.48</v>
      </c>
      <c r="O52">
        <v>13121.38</v>
      </c>
      <c r="P52">
        <v>14142.55</v>
      </c>
      <c r="Q52">
        <v>0</v>
      </c>
      <c r="R52">
        <v>0</v>
      </c>
      <c r="S52">
        <v>0</v>
      </c>
      <c r="T52">
        <v>0</v>
      </c>
      <c r="U52">
        <v>0</v>
      </c>
      <c r="V52">
        <v>2332.81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4192.6899999999996</v>
      </c>
      <c r="AH52">
        <v>0</v>
      </c>
      <c r="AI52">
        <v>0</v>
      </c>
      <c r="AJ52">
        <v>194857469.575434</v>
      </c>
    </row>
    <row r="53" spans="1:36" x14ac:dyDescent="0.25">
      <c r="A53" t="s">
        <v>114</v>
      </c>
      <c r="B53" t="s">
        <v>23</v>
      </c>
      <c r="D53">
        <v>5826.28</v>
      </c>
      <c r="E53">
        <v>2040.85</v>
      </c>
      <c r="G53">
        <v>3.0408000000000001E-2</v>
      </c>
      <c r="H53">
        <v>0</v>
      </c>
      <c r="I53">
        <v>309825.28999999998</v>
      </c>
      <c r="J53">
        <v>201226.15</v>
      </c>
      <c r="K53">
        <v>0</v>
      </c>
      <c r="L53">
        <v>282049.05</v>
      </c>
      <c r="M53">
        <v>0</v>
      </c>
      <c r="N53">
        <v>154968.68</v>
      </c>
      <c r="O53">
        <v>27593.29</v>
      </c>
      <c r="P53">
        <v>28235.14</v>
      </c>
      <c r="Q53">
        <v>0</v>
      </c>
      <c r="R53">
        <v>0</v>
      </c>
      <c r="S53">
        <v>0</v>
      </c>
      <c r="T53">
        <v>0</v>
      </c>
      <c r="U53">
        <v>0</v>
      </c>
      <c r="V53">
        <v>241104.64000000001</v>
      </c>
      <c r="W53">
        <v>0</v>
      </c>
      <c r="X53">
        <v>0</v>
      </c>
      <c r="Y53">
        <v>0</v>
      </c>
      <c r="Z53">
        <v>65854.75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111016.22</v>
      </c>
      <c r="AH53">
        <v>0</v>
      </c>
      <c r="AI53">
        <v>0</v>
      </c>
      <c r="AJ53">
        <v>732643941.55245101</v>
      </c>
    </row>
    <row r="54" spans="1:36" x14ac:dyDescent="0.25">
      <c r="A54" t="s">
        <v>115</v>
      </c>
      <c r="B54" t="s">
        <v>23</v>
      </c>
      <c r="C54">
        <v>9318.9500000000007</v>
      </c>
      <c r="D54">
        <v>26603.98</v>
      </c>
      <c r="G54">
        <v>0.13885</v>
      </c>
      <c r="H54">
        <v>0</v>
      </c>
      <c r="I54">
        <v>1028708.65</v>
      </c>
      <c r="J54">
        <v>774617.57</v>
      </c>
      <c r="K54">
        <v>0</v>
      </c>
      <c r="L54">
        <v>436518</v>
      </c>
      <c r="M54">
        <v>0</v>
      </c>
      <c r="N54">
        <v>310721.51</v>
      </c>
      <c r="O54">
        <v>150801.35999999999</v>
      </c>
      <c r="P54">
        <v>134122.23000000001</v>
      </c>
      <c r="Q54">
        <v>0</v>
      </c>
      <c r="R54">
        <v>0</v>
      </c>
      <c r="S54">
        <v>0</v>
      </c>
      <c r="T54">
        <v>0</v>
      </c>
      <c r="U54">
        <v>0</v>
      </c>
      <c r="V54">
        <v>585010.42000000004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155568.39000000001</v>
      </c>
      <c r="AH54">
        <v>0</v>
      </c>
      <c r="AI54">
        <v>0</v>
      </c>
      <c r="AJ54">
        <v>2851889553.0986199</v>
      </c>
    </row>
    <row r="55" spans="1:36" x14ac:dyDescent="0.25">
      <c r="A55" t="s">
        <v>116</v>
      </c>
      <c r="B55" t="s">
        <v>23</v>
      </c>
      <c r="D55">
        <v>35383.86</v>
      </c>
      <c r="E55">
        <v>12394.4</v>
      </c>
      <c r="G55">
        <v>0.184673</v>
      </c>
      <c r="H55">
        <v>0</v>
      </c>
      <c r="I55">
        <v>1147545.45</v>
      </c>
      <c r="J55">
        <v>463682.79</v>
      </c>
      <c r="K55">
        <v>0</v>
      </c>
      <c r="L55">
        <v>831153.37</v>
      </c>
      <c r="M55">
        <v>0</v>
      </c>
      <c r="N55">
        <v>294899.56</v>
      </c>
      <c r="O55">
        <v>255843.08</v>
      </c>
      <c r="P55">
        <v>264562.90999999997</v>
      </c>
      <c r="Q55">
        <v>0</v>
      </c>
      <c r="R55">
        <v>0</v>
      </c>
      <c r="S55">
        <v>0</v>
      </c>
      <c r="T55">
        <v>0</v>
      </c>
      <c r="U55">
        <v>0</v>
      </c>
      <c r="V55">
        <v>818586.02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101808.44</v>
      </c>
      <c r="AH55">
        <v>0</v>
      </c>
      <c r="AI55">
        <v>0</v>
      </c>
      <c r="AJ55">
        <v>2460020599.4757299</v>
      </c>
    </row>
    <row r="56" spans="1:36" x14ac:dyDescent="0.25">
      <c r="A56" t="s">
        <v>117</v>
      </c>
      <c r="B56" t="s">
        <v>23</v>
      </c>
      <c r="C56">
        <v>12394.4</v>
      </c>
      <c r="D56">
        <v>35383.86</v>
      </c>
      <c r="G56">
        <v>0.184673</v>
      </c>
      <c r="H56">
        <v>0</v>
      </c>
      <c r="I56">
        <v>1596406.4</v>
      </c>
      <c r="J56">
        <v>463682.79</v>
      </c>
      <c r="K56">
        <v>0</v>
      </c>
      <c r="L56">
        <v>831153.37</v>
      </c>
      <c r="M56">
        <v>0</v>
      </c>
      <c r="N56">
        <v>296285.09999999998</v>
      </c>
      <c r="O56">
        <v>294770.34000000003</v>
      </c>
      <c r="P56">
        <v>267815.71000000002</v>
      </c>
      <c r="Q56">
        <v>0</v>
      </c>
      <c r="R56">
        <v>0</v>
      </c>
      <c r="S56">
        <v>0</v>
      </c>
      <c r="T56">
        <v>0</v>
      </c>
      <c r="U56">
        <v>0</v>
      </c>
      <c r="V56">
        <v>816726.22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101805.88</v>
      </c>
      <c r="AH56">
        <v>0</v>
      </c>
      <c r="AI56">
        <v>0</v>
      </c>
      <c r="AJ56">
        <v>3063401647.66085</v>
      </c>
    </row>
    <row r="57" spans="1:36" x14ac:dyDescent="0.25">
      <c r="A57" t="s">
        <v>118</v>
      </c>
      <c r="B57" t="s">
        <v>23</v>
      </c>
      <c r="C57">
        <v>2040.85</v>
      </c>
      <c r="D57">
        <v>5826.28</v>
      </c>
      <c r="G57">
        <v>3.0408000000000001E-2</v>
      </c>
      <c r="H57">
        <v>0</v>
      </c>
      <c r="I57">
        <v>360945.44</v>
      </c>
      <c r="J57">
        <v>201226.15</v>
      </c>
      <c r="K57">
        <v>0</v>
      </c>
      <c r="L57">
        <v>282049.05</v>
      </c>
      <c r="M57">
        <v>0</v>
      </c>
      <c r="N57">
        <v>154960.66</v>
      </c>
      <c r="O57">
        <v>30882.75</v>
      </c>
      <c r="P57">
        <v>28312.63</v>
      </c>
      <c r="Q57">
        <v>0</v>
      </c>
      <c r="R57">
        <v>0</v>
      </c>
      <c r="S57">
        <v>0</v>
      </c>
      <c r="T57">
        <v>0</v>
      </c>
      <c r="U57">
        <v>0</v>
      </c>
      <c r="V57">
        <v>240961.44</v>
      </c>
      <c r="W57">
        <v>0</v>
      </c>
      <c r="X57">
        <v>0</v>
      </c>
      <c r="Y57">
        <v>0</v>
      </c>
      <c r="Z57">
        <v>65854.75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111015.61</v>
      </c>
      <c r="AH57">
        <v>0</v>
      </c>
      <c r="AI57">
        <v>0</v>
      </c>
      <c r="AJ57">
        <v>751913841.57759404</v>
      </c>
    </row>
    <row r="58" spans="1:36" x14ac:dyDescent="0.25">
      <c r="A58" t="s">
        <v>119</v>
      </c>
      <c r="B58" t="s">
        <v>23</v>
      </c>
      <c r="C58">
        <v>15428.13</v>
      </c>
      <c r="D58">
        <v>44044.61</v>
      </c>
      <c r="G58">
        <v>0.229875</v>
      </c>
      <c r="H58">
        <v>0</v>
      </c>
      <c r="I58">
        <v>2156110.13</v>
      </c>
      <c r="J58">
        <v>857863.39</v>
      </c>
      <c r="K58">
        <v>0</v>
      </c>
      <c r="L58">
        <v>1141299.43</v>
      </c>
      <c r="M58">
        <v>0</v>
      </c>
      <c r="N58">
        <v>623386.30000000005</v>
      </c>
      <c r="O58">
        <v>473706.58</v>
      </c>
      <c r="P58">
        <v>428939.12</v>
      </c>
      <c r="Q58">
        <v>0</v>
      </c>
      <c r="R58">
        <v>0</v>
      </c>
      <c r="S58">
        <v>0</v>
      </c>
      <c r="T58">
        <v>0</v>
      </c>
      <c r="U58">
        <v>0</v>
      </c>
      <c r="V58">
        <v>1357933.99</v>
      </c>
      <c r="W58">
        <v>0</v>
      </c>
      <c r="X58">
        <v>0</v>
      </c>
      <c r="Y58">
        <v>0</v>
      </c>
      <c r="Z58">
        <v>43737.51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241881.52</v>
      </c>
      <c r="AH58">
        <v>0</v>
      </c>
      <c r="AI58">
        <v>0</v>
      </c>
      <c r="AJ58">
        <v>3723506922.7220702</v>
      </c>
    </row>
    <row r="59" spans="1:36" x14ac:dyDescent="0.25">
      <c r="A59" t="s">
        <v>120</v>
      </c>
      <c r="B59" t="s">
        <v>23</v>
      </c>
      <c r="D59">
        <v>44044.61</v>
      </c>
      <c r="E59">
        <v>15428.13</v>
      </c>
      <c r="G59">
        <v>0.229875</v>
      </c>
      <c r="H59">
        <v>0</v>
      </c>
      <c r="I59">
        <v>1867954.19</v>
      </c>
      <c r="J59">
        <v>857863.39</v>
      </c>
      <c r="K59">
        <v>0</v>
      </c>
      <c r="L59">
        <v>1141299.43</v>
      </c>
      <c r="M59">
        <v>0</v>
      </c>
      <c r="N59">
        <v>622451.42000000004</v>
      </c>
      <c r="O59">
        <v>408124.91</v>
      </c>
      <c r="P59">
        <v>414570.13</v>
      </c>
      <c r="Q59">
        <v>0</v>
      </c>
      <c r="R59">
        <v>0</v>
      </c>
      <c r="S59">
        <v>0</v>
      </c>
      <c r="T59">
        <v>0</v>
      </c>
      <c r="U59">
        <v>0</v>
      </c>
      <c r="V59">
        <v>1361497.29</v>
      </c>
      <c r="W59">
        <v>0</v>
      </c>
      <c r="X59">
        <v>0</v>
      </c>
      <c r="Y59">
        <v>0</v>
      </c>
      <c r="Z59">
        <v>43737.51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241875.48</v>
      </c>
      <c r="AH59">
        <v>0</v>
      </c>
      <c r="AI59">
        <v>0</v>
      </c>
      <c r="AJ59">
        <v>3643502759.7139902</v>
      </c>
    </row>
    <row r="60" spans="1:36" x14ac:dyDescent="0.25">
      <c r="A60" t="s">
        <v>121</v>
      </c>
      <c r="B60" t="s">
        <v>23</v>
      </c>
      <c r="D60">
        <v>88225.95</v>
      </c>
      <c r="E60">
        <v>30904.15</v>
      </c>
      <c r="G60">
        <v>0.46046300000000001</v>
      </c>
      <c r="H60">
        <v>0</v>
      </c>
      <c r="I60">
        <v>3250487.06</v>
      </c>
      <c r="J60">
        <v>1274541.22</v>
      </c>
      <c r="K60">
        <v>0</v>
      </c>
      <c r="L60">
        <v>3553012.2</v>
      </c>
      <c r="M60">
        <v>0</v>
      </c>
      <c r="N60">
        <v>1474166.2</v>
      </c>
      <c r="O60">
        <v>463485.34</v>
      </c>
      <c r="P60">
        <v>480874.56</v>
      </c>
      <c r="Q60">
        <v>0</v>
      </c>
      <c r="R60">
        <v>0</v>
      </c>
      <c r="S60">
        <v>0</v>
      </c>
      <c r="T60">
        <v>0</v>
      </c>
      <c r="U60">
        <v>0</v>
      </c>
      <c r="V60">
        <v>1886995.53</v>
      </c>
      <c r="W60">
        <v>0</v>
      </c>
      <c r="X60">
        <v>0</v>
      </c>
      <c r="Y60">
        <v>0</v>
      </c>
      <c r="Z60">
        <v>127428.8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647908.91</v>
      </c>
      <c r="AH60">
        <v>0</v>
      </c>
      <c r="AI60">
        <v>0</v>
      </c>
      <c r="AJ60">
        <v>8280822965.0825701</v>
      </c>
    </row>
    <row r="61" spans="1:36" x14ac:dyDescent="0.25">
      <c r="A61" t="s">
        <v>122</v>
      </c>
      <c r="B61" t="s">
        <v>23</v>
      </c>
      <c r="D61">
        <v>6335.18</v>
      </c>
      <c r="E61">
        <v>2219.11</v>
      </c>
      <c r="G61">
        <v>3.3064000000000003E-2</v>
      </c>
      <c r="H61">
        <v>0</v>
      </c>
      <c r="I61">
        <v>352129.46</v>
      </c>
      <c r="J61">
        <v>197273.03</v>
      </c>
      <c r="K61">
        <v>0</v>
      </c>
      <c r="L61">
        <v>258328.15</v>
      </c>
      <c r="M61">
        <v>0</v>
      </c>
      <c r="N61">
        <v>357884.67</v>
      </c>
      <c r="O61">
        <v>30021.48</v>
      </c>
      <c r="P61">
        <v>31339.99</v>
      </c>
      <c r="Q61">
        <v>0</v>
      </c>
      <c r="R61">
        <v>0</v>
      </c>
      <c r="S61">
        <v>0</v>
      </c>
      <c r="T61">
        <v>0</v>
      </c>
      <c r="U61">
        <v>0</v>
      </c>
      <c r="V61">
        <v>127401.18</v>
      </c>
      <c r="W61">
        <v>0</v>
      </c>
      <c r="X61">
        <v>0</v>
      </c>
      <c r="Y61">
        <v>0</v>
      </c>
      <c r="Z61">
        <v>64094.3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204220.03</v>
      </c>
      <c r="AH61">
        <v>0</v>
      </c>
      <c r="AI61">
        <v>0</v>
      </c>
      <c r="AJ61">
        <v>1155857262.3527801</v>
      </c>
    </row>
    <row r="62" spans="1:36" x14ac:dyDescent="0.25">
      <c r="A62" t="s">
        <v>123</v>
      </c>
      <c r="B62" t="s">
        <v>23</v>
      </c>
      <c r="C62">
        <v>30904.15</v>
      </c>
      <c r="D62">
        <v>88225.95</v>
      </c>
      <c r="G62">
        <v>0.46046300000000001</v>
      </c>
      <c r="H62">
        <v>0</v>
      </c>
      <c r="I62">
        <v>3966328.78</v>
      </c>
      <c r="J62">
        <v>1274541.22</v>
      </c>
      <c r="K62">
        <v>0</v>
      </c>
      <c r="L62">
        <v>3553012.2</v>
      </c>
      <c r="M62">
        <v>0</v>
      </c>
      <c r="N62">
        <v>1475492.95</v>
      </c>
      <c r="O62">
        <v>528562.67000000004</v>
      </c>
      <c r="P62">
        <v>483707.46</v>
      </c>
      <c r="Q62">
        <v>0</v>
      </c>
      <c r="R62">
        <v>0</v>
      </c>
      <c r="S62">
        <v>0</v>
      </c>
      <c r="T62">
        <v>0</v>
      </c>
      <c r="U62">
        <v>0</v>
      </c>
      <c r="V62">
        <v>1884662.41</v>
      </c>
      <c r="W62">
        <v>0</v>
      </c>
      <c r="X62">
        <v>0</v>
      </c>
      <c r="Y62">
        <v>0</v>
      </c>
      <c r="Z62">
        <v>127428.8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647903.98</v>
      </c>
      <c r="AH62">
        <v>0</v>
      </c>
      <c r="AI62">
        <v>0</v>
      </c>
      <c r="AJ62">
        <v>8624778445.3816109</v>
      </c>
    </row>
    <row r="63" spans="1:36" x14ac:dyDescent="0.25">
      <c r="A63" t="s">
        <v>124</v>
      </c>
      <c r="B63" t="s">
        <v>23</v>
      </c>
      <c r="C63">
        <v>13632.7</v>
      </c>
      <c r="D63">
        <v>38918.980000000003</v>
      </c>
      <c r="G63">
        <v>0.203123</v>
      </c>
      <c r="H63">
        <v>0</v>
      </c>
      <c r="I63">
        <v>1583744.17</v>
      </c>
      <c r="J63">
        <v>350734.07</v>
      </c>
      <c r="K63">
        <v>0</v>
      </c>
      <c r="L63">
        <v>936314.72</v>
      </c>
      <c r="M63">
        <v>0</v>
      </c>
      <c r="N63">
        <v>419976.82</v>
      </c>
      <c r="O63">
        <v>355528.33</v>
      </c>
      <c r="P63">
        <v>325296</v>
      </c>
      <c r="Q63">
        <v>0</v>
      </c>
      <c r="R63">
        <v>0</v>
      </c>
      <c r="S63">
        <v>0</v>
      </c>
      <c r="T63">
        <v>0</v>
      </c>
      <c r="U63">
        <v>0</v>
      </c>
      <c r="V63">
        <v>389960.24</v>
      </c>
      <c r="W63">
        <v>0</v>
      </c>
      <c r="X63">
        <v>0</v>
      </c>
      <c r="Y63">
        <v>0</v>
      </c>
      <c r="Z63">
        <v>68627.600000000006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424533.3</v>
      </c>
      <c r="AH63">
        <v>0</v>
      </c>
      <c r="AI63">
        <v>0</v>
      </c>
      <c r="AJ63">
        <v>3113350640.7620001</v>
      </c>
    </row>
    <row r="64" spans="1:36" x14ac:dyDescent="0.25">
      <c r="A64" t="s">
        <v>125</v>
      </c>
      <c r="B64" t="s">
        <v>22</v>
      </c>
      <c r="C64">
        <v>8858.16</v>
      </c>
      <c r="D64">
        <v>25288.49</v>
      </c>
      <c r="G64">
        <v>0.13198399999999999</v>
      </c>
      <c r="H64">
        <v>0</v>
      </c>
      <c r="I64">
        <v>872607.89</v>
      </c>
      <c r="J64">
        <v>774617.57</v>
      </c>
      <c r="K64">
        <v>0</v>
      </c>
      <c r="L64">
        <v>436518</v>
      </c>
      <c r="M64">
        <v>0</v>
      </c>
      <c r="N64">
        <v>279436.59000000003</v>
      </c>
      <c r="O64">
        <v>136846.5</v>
      </c>
      <c r="P64">
        <v>119270.57</v>
      </c>
      <c r="Q64">
        <v>0</v>
      </c>
      <c r="R64">
        <v>0</v>
      </c>
      <c r="S64">
        <v>0</v>
      </c>
      <c r="T64">
        <v>0</v>
      </c>
      <c r="U64">
        <v>0</v>
      </c>
      <c r="V64">
        <v>580418.37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164667.68</v>
      </c>
      <c r="AH64">
        <v>0</v>
      </c>
      <c r="AI64">
        <v>0</v>
      </c>
      <c r="AJ64">
        <v>2729655732.5121198</v>
      </c>
    </row>
    <row r="65" spans="1:36" x14ac:dyDescent="0.25">
      <c r="A65" t="s">
        <v>126</v>
      </c>
      <c r="B65" t="s">
        <v>22</v>
      </c>
      <c r="D65">
        <v>2540.7199999999998</v>
      </c>
      <c r="E65">
        <v>889.97</v>
      </c>
      <c r="G65">
        <v>1.3259999999999999E-2</v>
      </c>
      <c r="H65">
        <v>0</v>
      </c>
      <c r="I65">
        <v>48025.77</v>
      </c>
      <c r="J65">
        <v>23792.959999999999</v>
      </c>
      <c r="K65">
        <v>0</v>
      </c>
      <c r="L65">
        <v>29466.65</v>
      </c>
      <c r="M65">
        <v>0</v>
      </c>
      <c r="N65">
        <v>113959.13</v>
      </c>
      <c r="O65">
        <v>11305.28</v>
      </c>
      <c r="P65">
        <v>11727.66</v>
      </c>
      <c r="Q65">
        <v>0</v>
      </c>
      <c r="R65">
        <v>0</v>
      </c>
      <c r="S65">
        <v>0</v>
      </c>
      <c r="T65">
        <v>0</v>
      </c>
      <c r="U65">
        <v>0</v>
      </c>
      <c r="V65">
        <v>3587.08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4403.43</v>
      </c>
      <c r="AH65">
        <v>0</v>
      </c>
      <c r="AI65">
        <v>0</v>
      </c>
      <c r="AJ65">
        <v>181700180.068165</v>
      </c>
    </row>
    <row r="66" spans="1:36" x14ac:dyDescent="0.25">
      <c r="A66" t="s">
        <v>127</v>
      </c>
      <c r="B66" t="s">
        <v>23</v>
      </c>
      <c r="C66">
        <v>2219.11</v>
      </c>
      <c r="D66">
        <v>6335.18</v>
      </c>
      <c r="G66">
        <v>3.3064000000000003E-2</v>
      </c>
      <c r="H66">
        <v>0</v>
      </c>
      <c r="I66">
        <v>412197.4</v>
      </c>
      <c r="J66">
        <v>197273.03</v>
      </c>
      <c r="K66">
        <v>0</v>
      </c>
      <c r="L66">
        <v>258328.15</v>
      </c>
      <c r="M66">
        <v>0</v>
      </c>
      <c r="N66">
        <v>357421.81</v>
      </c>
      <c r="O66">
        <v>34424.26</v>
      </c>
      <c r="P66">
        <v>31540.07</v>
      </c>
      <c r="Q66">
        <v>0</v>
      </c>
      <c r="R66">
        <v>0</v>
      </c>
      <c r="S66">
        <v>0</v>
      </c>
      <c r="T66">
        <v>0</v>
      </c>
      <c r="U66">
        <v>0</v>
      </c>
      <c r="V66">
        <v>127457.62</v>
      </c>
      <c r="W66">
        <v>0</v>
      </c>
      <c r="X66">
        <v>0</v>
      </c>
      <c r="Y66">
        <v>0</v>
      </c>
      <c r="Z66">
        <v>64094.3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204221.71</v>
      </c>
      <c r="AH66">
        <v>0</v>
      </c>
      <c r="AI66">
        <v>0</v>
      </c>
      <c r="AJ66">
        <v>1217068611.2852499</v>
      </c>
    </row>
    <row r="67" spans="1:36" x14ac:dyDescent="0.25">
      <c r="A67" t="s">
        <v>128</v>
      </c>
      <c r="B67" t="s">
        <v>22</v>
      </c>
      <c r="D67">
        <v>25288.49</v>
      </c>
      <c r="E67">
        <v>8858.16</v>
      </c>
      <c r="G67">
        <v>0.13198399999999999</v>
      </c>
      <c r="H67">
        <v>0</v>
      </c>
      <c r="I67">
        <v>814977.96</v>
      </c>
      <c r="J67">
        <v>774617.57</v>
      </c>
      <c r="K67">
        <v>0</v>
      </c>
      <c r="L67">
        <v>436518</v>
      </c>
      <c r="M67">
        <v>0</v>
      </c>
      <c r="N67">
        <v>279486.86</v>
      </c>
      <c r="O67">
        <v>119397.95</v>
      </c>
      <c r="P67">
        <v>115549.93</v>
      </c>
      <c r="Q67">
        <v>0</v>
      </c>
      <c r="R67">
        <v>0</v>
      </c>
      <c r="S67">
        <v>0</v>
      </c>
      <c r="T67">
        <v>0</v>
      </c>
      <c r="U67">
        <v>0</v>
      </c>
      <c r="V67">
        <v>580184.77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164668.16</v>
      </c>
      <c r="AH67">
        <v>0</v>
      </c>
      <c r="AI67">
        <v>0</v>
      </c>
      <c r="AJ67">
        <v>2746703335.57373</v>
      </c>
    </row>
    <row r="68" spans="1:36" x14ac:dyDescent="0.25">
      <c r="A68" t="s">
        <v>129</v>
      </c>
      <c r="B68" t="s">
        <v>23</v>
      </c>
      <c r="D68">
        <v>38918.980000000003</v>
      </c>
      <c r="E68">
        <v>13632.7</v>
      </c>
      <c r="G68">
        <v>0.203123</v>
      </c>
      <c r="H68">
        <v>0</v>
      </c>
      <c r="I68">
        <v>978290.53</v>
      </c>
      <c r="J68">
        <v>350734.07</v>
      </c>
      <c r="K68">
        <v>0</v>
      </c>
      <c r="L68">
        <v>936314.72</v>
      </c>
      <c r="M68">
        <v>0</v>
      </c>
      <c r="N68">
        <v>419937.15</v>
      </c>
      <c r="O68">
        <v>297478.71000000002</v>
      </c>
      <c r="P68">
        <v>314677.96000000002</v>
      </c>
      <c r="Q68">
        <v>0</v>
      </c>
      <c r="R68">
        <v>0</v>
      </c>
      <c r="S68">
        <v>0</v>
      </c>
      <c r="T68">
        <v>0</v>
      </c>
      <c r="U68">
        <v>0</v>
      </c>
      <c r="V68">
        <v>390302.86</v>
      </c>
      <c r="W68">
        <v>0</v>
      </c>
      <c r="X68">
        <v>0</v>
      </c>
      <c r="Y68">
        <v>0</v>
      </c>
      <c r="Z68">
        <v>68627.600000000006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424513.75</v>
      </c>
      <c r="AH68">
        <v>0</v>
      </c>
      <c r="AI68">
        <v>0</v>
      </c>
      <c r="AJ68">
        <v>2568259775.05832</v>
      </c>
    </row>
    <row r="69" spans="1:36" x14ac:dyDescent="0.25">
      <c r="A69" t="s">
        <v>130</v>
      </c>
      <c r="B69" t="s">
        <v>22</v>
      </c>
      <c r="C69">
        <v>889.97</v>
      </c>
      <c r="D69">
        <v>2540.7199999999998</v>
      </c>
      <c r="G69">
        <v>1.3259999999999999E-2</v>
      </c>
      <c r="H69">
        <v>0</v>
      </c>
      <c r="I69">
        <v>75175.539999999994</v>
      </c>
      <c r="J69">
        <v>23792.959999999999</v>
      </c>
      <c r="K69">
        <v>0</v>
      </c>
      <c r="L69">
        <v>29466.65</v>
      </c>
      <c r="M69">
        <v>0</v>
      </c>
      <c r="N69">
        <v>113959.21</v>
      </c>
      <c r="O69">
        <v>15611.49</v>
      </c>
      <c r="P69">
        <v>12862.67</v>
      </c>
      <c r="Q69">
        <v>0</v>
      </c>
      <c r="R69">
        <v>0</v>
      </c>
      <c r="S69">
        <v>0</v>
      </c>
      <c r="T69">
        <v>0</v>
      </c>
      <c r="U69">
        <v>0</v>
      </c>
      <c r="V69">
        <v>3587.06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4403.42</v>
      </c>
      <c r="AH69">
        <v>0</v>
      </c>
      <c r="AI69">
        <v>0</v>
      </c>
      <c r="AJ69">
        <v>236656694.922153</v>
      </c>
    </row>
    <row r="70" spans="1:36" x14ac:dyDescent="0.25">
      <c r="A70" t="s">
        <v>131</v>
      </c>
      <c r="B70" t="s">
        <v>22</v>
      </c>
      <c r="C70">
        <v>12106.63</v>
      </c>
      <c r="D70">
        <v>34562.33</v>
      </c>
      <c r="G70">
        <v>0.18038599999999999</v>
      </c>
      <c r="H70">
        <v>0</v>
      </c>
      <c r="I70">
        <v>1341565.8999999999</v>
      </c>
      <c r="J70">
        <v>463682.79</v>
      </c>
      <c r="K70">
        <v>0</v>
      </c>
      <c r="L70">
        <v>831153.37</v>
      </c>
      <c r="M70">
        <v>0</v>
      </c>
      <c r="N70">
        <v>272988.51</v>
      </c>
      <c r="O70">
        <v>278407.34000000003</v>
      </c>
      <c r="P70">
        <v>247020.75</v>
      </c>
      <c r="Q70">
        <v>0</v>
      </c>
      <c r="R70">
        <v>0</v>
      </c>
      <c r="S70">
        <v>0</v>
      </c>
      <c r="T70">
        <v>0</v>
      </c>
      <c r="U70">
        <v>0</v>
      </c>
      <c r="V70">
        <v>841582.42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107768.44</v>
      </c>
      <c r="AH70">
        <v>0</v>
      </c>
      <c r="AI70">
        <v>0</v>
      </c>
      <c r="AJ70">
        <v>2936322780.33916</v>
      </c>
    </row>
    <row r="71" spans="1:36" x14ac:dyDescent="0.25">
      <c r="A71" t="s">
        <v>132</v>
      </c>
      <c r="B71" t="s">
        <v>22</v>
      </c>
      <c r="D71">
        <v>34562.33</v>
      </c>
      <c r="E71">
        <v>12106.63</v>
      </c>
      <c r="G71">
        <v>0.18038599999999999</v>
      </c>
      <c r="H71">
        <v>0</v>
      </c>
      <c r="I71">
        <v>988686.77</v>
      </c>
      <c r="J71">
        <v>463682.79</v>
      </c>
      <c r="K71">
        <v>0</v>
      </c>
      <c r="L71">
        <v>831153.37</v>
      </c>
      <c r="M71">
        <v>0</v>
      </c>
      <c r="N71">
        <v>271518.56</v>
      </c>
      <c r="O71">
        <v>240090.39</v>
      </c>
      <c r="P71">
        <v>241439.23</v>
      </c>
      <c r="Q71">
        <v>0</v>
      </c>
      <c r="R71">
        <v>0</v>
      </c>
      <c r="S71">
        <v>0</v>
      </c>
      <c r="T71">
        <v>0</v>
      </c>
      <c r="U71">
        <v>0</v>
      </c>
      <c r="V71">
        <v>843666.37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107763.32</v>
      </c>
      <c r="AH71">
        <v>0</v>
      </c>
      <c r="AI71">
        <v>0</v>
      </c>
      <c r="AJ71">
        <v>2318141067.6457701</v>
      </c>
    </row>
    <row r="72" spans="1:36" x14ac:dyDescent="0.25">
      <c r="A72" t="s">
        <v>133</v>
      </c>
      <c r="B72" t="s">
        <v>22</v>
      </c>
      <c r="D72">
        <v>5599.86</v>
      </c>
      <c r="E72">
        <v>1961.54</v>
      </c>
      <c r="G72">
        <v>2.9225999999999999E-2</v>
      </c>
      <c r="H72">
        <v>0</v>
      </c>
      <c r="I72">
        <v>247420.74</v>
      </c>
      <c r="J72">
        <v>201226.15</v>
      </c>
      <c r="K72">
        <v>0</v>
      </c>
      <c r="L72">
        <v>282049.05</v>
      </c>
      <c r="M72">
        <v>0</v>
      </c>
      <c r="N72">
        <v>135146.82</v>
      </c>
      <c r="O72">
        <v>24485.06</v>
      </c>
      <c r="P72">
        <v>24657.01</v>
      </c>
      <c r="Q72">
        <v>0</v>
      </c>
      <c r="R72">
        <v>0</v>
      </c>
      <c r="S72">
        <v>0</v>
      </c>
      <c r="T72">
        <v>0</v>
      </c>
      <c r="U72">
        <v>0</v>
      </c>
      <c r="V72">
        <v>235114.43</v>
      </c>
      <c r="W72">
        <v>0</v>
      </c>
      <c r="X72">
        <v>0</v>
      </c>
      <c r="Y72">
        <v>0</v>
      </c>
      <c r="Z72">
        <v>65854.75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117531.44</v>
      </c>
      <c r="AH72">
        <v>0</v>
      </c>
      <c r="AI72">
        <v>0</v>
      </c>
      <c r="AJ72">
        <v>655397265.61001098</v>
      </c>
    </row>
    <row r="73" spans="1:36" x14ac:dyDescent="0.25">
      <c r="A73" t="s">
        <v>134</v>
      </c>
      <c r="B73" t="s">
        <v>22</v>
      </c>
      <c r="C73">
        <v>1961.54</v>
      </c>
      <c r="D73">
        <v>5599.86</v>
      </c>
      <c r="G73">
        <v>2.9225999999999999E-2</v>
      </c>
      <c r="H73">
        <v>0</v>
      </c>
      <c r="I73">
        <v>288048.64000000001</v>
      </c>
      <c r="J73">
        <v>201226.15</v>
      </c>
      <c r="K73">
        <v>0</v>
      </c>
      <c r="L73">
        <v>282049.05</v>
      </c>
      <c r="M73">
        <v>0</v>
      </c>
      <c r="N73">
        <v>135156.62</v>
      </c>
      <c r="O73">
        <v>27487.66</v>
      </c>
      <c r="P73">
        <v>24755</v>
      </c>
      <c r="Q73">
        <v>0</v>
      </c>
      <c r="R73">
        <v>0</v>
      </c>
      <c r="S73">
        <v>0</v>
      </c>
      <c r="T73">
        <v>0</v>
      </c>
      <c r="U73">
        <v>0</v>
      </c>
      <c r="V73">
        <v>234984.06</v>
      </c>
      <c r="W73">
        <v>0</v>
      </c>
      <c r="X73">
        <v>0</v>
      </c>
      <c r="Y73">
        <v>0</v>
      </c>
      <c r="Z73">
        <v>65854.75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117529.83</v>
      </c>
      <c r="AH73">
        <v>0</v>
      </c>
      <c r="AI73">
        <v>0</v>
      </c>
      <c r="AJ73">
        <v>696370032.83233702</v>
      </c>
    </row>
    <row r="74" spans="1:36" x14ac:dyDescent="0.25">
      <c r="A74" t="s">
        <v>135</v>
      </c>
      <c r="B74" t="s">
        <v>22</v>
      </c>
      <c r="D74">
        <v>42624.6</v>
      </c>
      <c r="E74">
        <v>14930.72</v>
      </c>
      <c r="G74">
        <v>0.222464</v>
      </c>
      <c r="H74">
        <v>0</v>
      </c>
      <c r="I74">
        <v>1550708.47</v>
      </c>
      <c r="J74">
        <v>857863.39</v>
      </c>
      <c r="K74">
        <v>0</v>
      </c>
      <c r="L74">
        <v>1141299.43</v>
      </c>
      <c r="M74">
        <v>0</v>
      </c>
      <c r="N74">
        <v>551820.42000000004</v>
      </c>
      <c r="O74">
        <v>385174.91</v>
      </c>
      <c r="P74">
        <v>383505.49</v>
      </c>
      <c r="Q74">
        <v>0</v>
      </c>
      <c r="R74">
        <v>0</v>
      </c>
      <c r="S74">
        <v>0</v>
      </c>
      <c r="T74">
        <v>0</v>
      </c>
      <c r="U74">
        <v>0</v>
      </c>
      <c r="V74">
        <v>1267360.1299999999</v>
      </c>
      <c r="W74">
        <v>0</v>
      </c>
      <c r="X74">
        <v>0</v>
      </c>
      <c r="Y74">
        <v>0</v>
      </c>
      <c r="Z74">
        <v>43737.51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256106.83</v>
      </c>
      <c r="AH74">
        <v>0</v>
      </c>
      <c r="AI74">
        <v>0</v>
      </c>
      <c r="AJ74">
        <v>3498417549.19242</v>
      </c>
    </row>
    <row r="75" spans="1:36" x14ac:dyDescent="0.25">
      <c r="A75" t="s">
        <v>136</v>
      </c>
      <c r="B75" t="s">
        <v>22</v>
      </c>
      <c r="C75">
        <v>14930.72</v>
      </c>
      <c r="D75">
        <v>42624.6</v>
      </c>
      <c r="G75">
        <v>0.222464</v>
      </c>
      <c r="H75">
        <v>0</v>
      </c>
      <c r="I75">
        <v>1791928.08</v>
      </c>
      <c r="J75">
        <v>857863.39</v>
      </c>
      <c r="K75">
        <v>0</v>
      </c>
      <c r="L75">
        <v>1141299.43</v>
      </c>
      <c r="M75">
        <v>0</v>
      </c>
      <c r="N75">
        <v>552696.89</v>
      </c>
      <c r="O75">
        <v>450381.84</v>
      </c>
      <c r="P75">
        <v>400124.3</v>
      </c>
      <c r="Q75">
        <v>0</v>
      </c>
      <c r="R75">
        <v>0</v>
      </c>
      <c r="S75">
        <v>0</v>
      </c>
      <c r="T75">
        <v>0</v>
      </c>
      <c r="U75">
        <v>0</v>
      </c>
      <c r="V75">
        <v>1262619.82</v>
      </c>
      <c r="W75">
        <v>0</v>
      </c>
      <c r="X75">
        <v>0</v>
      </c>
      <c r="Y75">
        <v>0</v>
      </c>
      <c r="Z75">
        <v>43737.51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256096.06</v>
      </c>
      <c r="AH75">
        <v>0</v>
      </c>
      <c r="AI75">
        <v>0</v>
      </c>
      <c r="AJ75">
        <v>3568429715.0887799</v>
      </c>
    </row>
    <row r="76" spans="1:36" x14ac:dyDescent="0.25">
      <c r="A76" t="s">
        <v>137</v>
      </c>
      <c r="B76" t="s">
        <v>22</v>
      </c>
      <c r="D76">
        <v>6072.64</v>
      </c>
      <c r="E76">
        <v>2127.15</v>
      </c>
      <c r="G76">
        <v>3.1694E-2</v>
      </c>
      <c r="H76">
        <v>0</v>
      </c>
      <c r="I76">
        <v>289235.3</v>
      </c>
      <c r="J76">
        <v>197273.03</v>
      </c>
      <c r="K76">
        <v>0</v>
      </c>
      <c r="L76">
        <v>258328.15</v>
      </c>
      <c r="M76">
        <v>0</v>
      </c>
      <c r="N76">
        <v>358177.56</v>
      </c>
      <c r="O76">
        <v>27447.31</v>
      </c>
      <c r="P76">
        <v>28161.759999999998</v>
      </c>
      <c r="Q76">
        <v>0</v>
      </c>
      <c r="R76">
        <v>0</v>
      </c>
      <c r="S76">
        <v>0</v>
      </c>
      <c r="T76">
        <v>0</v>
      </c>
      <c r="U76">
        <v>0</v>
      </c>
      <c r="V76">
        <v>174934.88</v>
      </c>
      <c r="W76">
        <v>0</v>
      </c>
      <c r="X76">
        <v>0</v>
      </c>
      <c r="Y76">
        <v>0</v>
      </c>
      <c r="Z76">
        <v>64094.3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216287.01</v>
      </c>
      <c r="AH76">
        <v>0</v>
      </c>
      <c r="AI76">
        <v>0</v>
      </c>
      <c r="AJ76">
        <v>1087316094.22857</v>
      </c>
    </row>
    <row r="77" spans="1:36" x14ac:dyDescent="0.25">
      <c r="A77" t="s">
        <v>138</v>
      </c>
      <c r="B77" t="s">
        <v>22</v>
      </c>
      <c r="C77">
        <v>2127.15</v>
      </c>
      <c r="D77">
        <v>6072.64</v>
      </c>
      <c r="G77">
        <v>3.1694E-2</v>
      </c>
      <c r="H77">
        <v>0</v>
      </c>
      <c r="I77">
        <v>331112.84999999998</v>
      </c>
      <c r="J77">
        <v>197273.03</v>
      </c>
      <c r="K77">
        <v>0</v>
      </c>
      <c r="L77">
        <v>258328.15</v>
      </c>
      <c r="M77">
        <v>0</v>
      </c>
      <c r="N77">
        <v>358069.15</v>
      </c>
      <c r="O77">
        <v>31403.52</v>
      </c>
      <c r="P77">
        <v>28401.48</v>
      </c>
      <c r="Q77">
        <v>0</v>
      </c>
      <c r="R77">
        <v>0</v>
      </c>
      <c r="S77">
        <v>0</v>
      </c>
      <c r="T77">
        <v>0</v>
      </c>
      <c r="U77">
        <v>0</v>
      </c>
      <c r="V77">
        <v>174716.01</v>
      </c>
      <c r="W77">
        <v>0</v>
      </c>
      <c r="X77">
        <v>0</v>
      </c>
      <c r="Y77">
        <v>0</v>
      </c>
      <c r="Z77">
        <v>64094.3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216288.73</v>
      </c>
      <c r="AH77">
        <v>0</v>
      </c>
      <c r="AI77">
        <v>0</v>
      </c>
      <c r="AJ77">
        <v>1141069299.8934901</v>
      </c>
    </row>
    <row r="78" spans="1:36" x14ac:dyDescent="0.25">
      <c r="A78" t="s">
        <v>139</v>
      </c>
      <c r="B78" t="s">
        <v>22</v>
      </c>
      <c r="D78">
        <v>85754.95</v>
      </c>
      <c r="E78">
        <v>30038.59</v>
      </c>
      <c r="G78">
        <v>0.44756699999999999</v>
      </c>
      <c r="H78">
        <v>0</v>
      </c>
      <c r="I78">
        <v>2726797.12</v>
      </c>
      <c r="J78">
        <v>1274541.22</v>
      </c>
      <c r="K78">
        <v>0</v>
      </c>
      <c r="L78">
        <v>3553012.2</v>
      </c>
      <c r="M78">
        <v>0</v>
      </c>
      <c r="N78">
        <v>1379515.14</v>
      </c>
      <c r="O78">
        <v>416269.51</v>
      </c>
      <c r="P78">
        <v>424079.05</v>
      </c>
      <c r="Q78">
        <v>0</v>
      </c>
      <c r="R78">
        <v>0</v>
      </c>
      <c r="S78">
        <v>0</v>
      </c>
      <c r="T78">
        <v>0</v>
      </c>
      <c r="U78">
        <v>0</v>
      </c>
      <c r="V78">
        <v>1821785.21</v>
      </c>
      <c r="W78">
        <v>0</v>
      </c>
      <c r="X78">
        <v>0</v>
      </c>
      <c r="Y78">
        <v>0</v>
      </c>
      <c r="Z78">
        <v>127428.8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686831.78</v>
      </c>
      <c r="AH78">
        <v>0</v>
      </c>
      <c r="AI78">
        <v>0</v>
      </c>
      <c r="AJ78">
        <v>7897759062.0164299</v>
      </c>
    </row>
    <row r="79" spans="1:36" x14ac:dyDescent="0.25">
      <c r="A79" t="s">
        <v>140</v>
      </c>
      <c r="B79" t="s">
        <v>22</v>
      </c>
      <c r="C79">
        <v>30038.59</v>
      </c>
      <c r="D79">
        <v>85754.95</v>
      </c>
      <c r="G79">
        <v>0.44756699999999999</v>
      </c>
      <c r="H79">
        <v>0</v>
      </c>
      <c r="I79">
        <v>3252135.93</v>
      </c>
      <c r="J79">
        <v>1274541.22</v>
      </c>
      <c r="K79">
        <v>0</v>
      </c>
      <c r="L79">
        <v>3553012.2</v>
      </c>
      <c r="M79">
        <v>0</v>
      </c>
      <c r="N79">
        <v>1380035.12</v>
      </c>
      <c r="O79">
        <v>474682.55</v>
      </c>
      <c r="P79">
        <v>428161.14</v>
      </c>
      <c r="Q79">
        <v>0</v>
      </c>
      <c r="R79">
        <v>0</v>
      </c>
      <c r="S79">
        <v>0</v>
      </c>
      <c r="T79">
        <v>0</v>
      </c>
      <c r="U79">
        <v>0</v>
      </c>
      <c r="V79">
        <v>1818347.42</v>
      </c>
      <c r="W79">
        <v>0</v>
      </c>
      <c r="X79">
        <v>0</v>
      </c>
      <c r="Y79">
        <v>0</v>
      </c>
      <c r="Z79">
        <v>127428.8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686940.41</v>
      </c>
      <c r="AH79">
        <v>0</v>
      </c>
      <c r="AI79">
        <v>0</v>
      </c>
      <c r="AJ79">
        <v>8291181011.0355701</v>
      </c>
    </row>
    <row r="80" spans="1:36" x14ac:dyDescent="0.25">
      <c r="A80" t="s">
        <v>141</v>
      </c>
      <c r="B80" t="s">
        <v>22</v>
      </c>
      <c r="D80">
        <v>37713.24</v>
      </c>
      <c r="E80">
        <v>13210.35</v>
      </c>
      <c r="G80">
        <v>0.19683100000000001</v>
      </c>
      <c r="H80">
        <v>0</v>
      </c>
      <c r="I80">
        <v>866223.47</v>
      </c>
      <c r="J80">
        <v>350734.07</v>
      </c>
      <c r="K80">
        <v>0</v>
      </c>
      <c r="L80">
        <v>936314.72</v>
      </c>
      <c r="M80">
        <v>0</v>
      </c>
      <c r="N80">
        <v>459640.08</v>
      </c>
      <c r="O80">
        <v>278377.15000000002</v>
      </c>
      <c r="P80">
        <v>286568.28000000003</v>
      </c>
      <c r="Q80">
        <v>0</v>
      </c>
      <c r="R80">
        <v>0</v>
      </c>
      <c r="S80">
        <v>0</v>
      </c>
      <c r="T80">
        <v>0</v>
      </c>
      <c r="U80">
        <v>0</v>
      </c>
      <c r="V80">
        <v>641165.73</v>
      </c>
      <c r="W80">
        <v>0</v>
      </c>
      <c r="X80">
        <v>0</v>
      </c>
      <c r="Y80">
        <v>0</v>
      </c>
      <c r="Z80">
        <v>68627.600000000006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450758.13</v>
      </c>
      <c r="AH80">
        <v>0</v>
      </c>
      <c r="AI80">
        <v>0</v>
      </c>
      <c r="AJ80">
        <v>2547771843.0299101</v>
      </c>
    </row>
    <row r="81" spans="1:36" x14ac:dyDescent="0.25">
      <c r="A81" t="s">
        <v>142</v>
      </c>
      <c r="B81" t="s">
        <v>22</v>
      </c>
      <c r="C81">
        <v>13210.35</v>
      </c>
      <c r="D81">
        <v>37713.24</v>
      </c>
      <c r="G81">
        <v>0.19683100000000001</v>
      </c>
      <c r="H81">
        <v>0</v>
      </c>
      <c r="I81">
        <v>1414479.46</v>
      </c>
      <c r="J81">
        <v>350734.07</v>
      </c>
      <c r="K81">
        <v>0</v>
      </c>
      <c r="L81">
        <v>936314.72</v>
      </c>
      <c r="M81">
        <v>0</v>
      </c>
      <c r="N81">
        <v>459700.04</v>
      </c>
      <c r="O81">
        <v>332815.14</v>
      </c>
      <c r="P81">
        <v>300040.14</v>
      </c>
      <c r="Q81">
        <v>0</v>
      </c>
      <c r="R81">
        <v>0</v>
      </c>
      <c r="S81">
        <v>0</v>
      </c>
      <c r="T81">
        <v>0</v>
      </c>
      <c r="U81">
        <v>0</v>
      </c>
      <c r="V81">
        <v>641139.25</v>
      </c>
      <c r="W81">
        <v>0</v>
      </c>
      <c r="X81">
        <v>0</v>
      </c>
      <c r="Y81">
        <v>0</v>
      </c>
      <c r="Z81">
        <v>68627.600000000006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450768.63</v>
      </c>
      <c r="AH81">
        <v>0</v>
      </c>
      <c r="AI81">
        <v>0</v>
      </c>
      <c r="AJ81">
        <v>3014471618.8907399</v>
      </c>
    </row>
    <row r="82" spans="1:36" x14ac:dyDescent="0.25">
      <c r="A82" t="s">
        <v>143</v>
      </c>
      <c r="B82" t="s">
        <v>21</v>
      </c>
      <c r="C82">
        <v>9159.27</v>
      </c>
      <c r="D82">
        <v>26148.13</v>
      </c>
      <c r="G82">
        <v>0.13647100000000001</v>
      </c>
      <c r="H82">
        <v>0</v>
      </c>
      <c r="I82">
        <v>921282.73</v>
      </c>
      <c r="J82">
        <v>774617.57</v>
      </c>
      <c r="K82">
        <v>0</v>
      </c>
      <c r="L82">
        <v>436518</v>
      </c>
      <c r="M82">
        <v>0</v>
      </c>
      <c r="N82">
        <v>300420.83</v>
      </c>
      <c r="O82">
        <v>144250.70000000001</v>
      </c>
      <c r="P82">
        <v>126270.55</v>
      </c>
      <c r="Q82">
        <v>0</v>
      </c>
      <c r="R82">
        <v>0</v>
      </c>
      <c r="S82">
        <v>0</v>
      </c>
      <c r="T82">
        <v>0</v>
      </c>
      <c r="U82">
        <v>0</v>
      </c>
      <c r="V82">
        <v>666036.99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160208.70000000001</v>
      </c>
      <c r="AH82">
        <v>0</v>
      </c>
      <c r="AI82">
        <v>0</v>
      </c>
      <c r="AJ82">
        <v>2795470795.21943</v>
      </c>
    </row>
    <row r="83" spans="1:36" x14ac:dyDescent="0.25">
      <c r="A83" t="s">
        <v>144</v>
      </c>
      <c r="B83" t="s">
        <v>21</v>
      </c>
      <c r="D83">
        <v>26148.13</v>
      </c>
      <c r="E83">
        <v>9159.27</v>
      </c>
      <c r="G83">
        <v>0.13647100000000001</v>
      </c>
      <c r="H83">
        <v>0</v>
      </c>
      <c r="I83">
        <v>837398.57</v>
      </c>
      <c r="J83">
        <v>774617.57</v>
      </c>
      <c r="K83">
        <v>0</v>
      </c>
      <c r="L83">
        <v>436518</v>
      </c>
      <c r="M83">
        <v>0</v>
      </c>
      <c r="N83">
        <v>300448.65000000002</v>
      </c>
      <c r="O83">
        <v>126002.23</v>
      </c>
      <c r="P83">
        <v>122753.66</v>
      </c>
      <c r="Q83">
        <v>0</v>
      </c>
      <c r="R83">
        <v>0</v>
      </c>
      <c r="S83">
        <v>0</v>
      </c>
      <c r="T83">
        <v>0</v>
      </c>
      <c r="U83">
        <v>0</v>
      </c>
      <c r="V83">
        <v>665628.11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160206.15</v>
      </c>
      <c r="AH83">
        <v>0</v>
      </c>
      <c r="AI83">
        <v>0</v>
      </c>
      <c r="AJ83">
        <v>2801085695.3541198</v>
      </c>
    </row>
    <row r="84" spans="1:36" x14ac:dyDescent="0.25">
      <c r="A84" t="s">
        <v>145</v>
      </c>
      <c r="B84" t="s">
        <v>21</v>
      </c>
      <c r="D84">
        <v>2712.56</v>
      </c>
      <c r="E84">
        <v>950.17</v>
      </c>
      <c r="G84">
        <v>1.4156999999999999E-2</v>
      </c>
      <c r="H84">
        <v>0</v>
      </c>
      <c r="I84">
        <v>58448.42</v>
      </c>
      <c r="J84">
        <v>23792.959999999999</v>
      </c>
      <c r="K84">
        <v>0</v>
      </c>
      <c r="L84">
        <v>29466.65</v>
      </c>
      <c r="M84">
        <v>0</v>
      </c>
      <c r="N84">
        <v>125539.7</v>
      </c>
      <c r="O84">
        <v>13149.77</v>
      </c>
      <c r="P84">
        <v>13842.17</v>
      </c>
      <c r="Q84">
        <v>0</v>
      </c>
      <c r="R84">
        <v>0</v>
      </c>
      <c r="S84">
        <v>0</v>
      </c>
      <c r="T84">
        <v>0</v>
      </c>
      <c r="U84">
        <v>0</v>
      </c>
      <c r="V84">
        <v>3445.22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4300.1400000000003</v>
      </c>
      <c r="AH84">
        <v>0</v>
      </c>
      <c r="AI84">
        <v>0</v>
      </c>
      <c r="AJ84">
        <v>210221285.37251899</v>
      </c>
    </row>
    <row r="85" spans="1:36" x14ac:dyDescent="0.25">
      <c r="A85" t="s">
        <v>146</v>
      </c>
      <c r="B85" t="s">
        <v>21</v>
      </c>
      <c r="D85">
        <v>35797.56</v>
      </c>
      <c r="E85">
        <v>12539.31</v>
      </c>
      <c r="G85">
        <v>0.186832</v>
      </c>
      <c r="H85">
        <v>0</v>
      </c>
      <c r="I85">
        <v>1059192.28</v>
      </c>
      <c r="J85">
        <v>463682.79</v>
      </c>
      <c r="K85">
        <v>0</v>
      </c>
      <c r="L85">
        <v>831153.37</v>
      </c>
      <c r="M85">
        <v>0</v>
      </c>
      <c r="N85">
        <v>290517.09999999998</v>
      </c>
      <c r="O85">
        <v>250776.28</v>
      </c>
      <c r="P85">
        <v>254285.53</v>
      </c>
      <c r="Q85">
        <v>0</v>
      </c>
      <c r="R85">
        <v>0</v>
      </c>
      <c r="S85">
        <v>0</v>
      </c>
      <c r="T85">
        <v>0</v>
      </c>
      <c r="U85">
        <v>0</v>
      </c>
      <c r="V85">
        <v>972847.76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104844.23</v>
      </c>
      <c r="AH85">
        <v>0</v>
      </c>
      <c r="AI85">
        <v>0</v>
      </c>
      <c r="AJ85">
        <v>2377075412.5243902</v>
      </c>
    </row>
    <row r="86" spans="1:36" x14ac:dyDescent="0.25">
      <c r="A86" t="s">
        <v>147</v>
      </c>
      <c r="B86" t="s">
        <v>21</v>
      </c>
      <c r="C86">
        <v>950.17</v>
      </c>
      <c r="D86">
        <v>2712.56</v>
      </c>
      <c r="G86">
        <v>1.4156999999999999E-2</v>
      </c>
      <c r="H86">
        <v>0</v>
      </c>
      <c r="I86">
        <v>89916.05</v>
      </c>
      <c r="J86">
        <v>23792.959999999999</v>
      </c>
      <c r="K86">
        <v>0</v>
      </c>
      <c r="L86">
        <v>29466.65</v>
      </c>
      <c r="M86">
        <v>0</v>
      </c>
      <c r="N86">
        <v>125539.99</v>
      </c>
      <c r="O86">
        <v>17988.740000000002</v>
      </c>
      <c r="P86">
        <v>15129.52</v>
      </c>
      <c r="Q86">
        <v>0</v>
      </c>
      <c r="R86">
        <v>0</v>
      </c>
      <c r="S86">
        <v>0</v>
      </c>
      <c r="T86">
        <v>0</v>
      </c>
      <c r="U86">
        <v>0</v>
      </c>
      <c r="V86">
        <v>3445.22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4300.1400000000003</v>
      </c>
      <c r="AH86">
        <v>0</v>
      </c>
      <c r="AI86">
        <v>0</v>
      </c>
      <c r="AJ86">
        <v>248406003.25030199</v>
      </c>
    </row>
    <row r="87" spans="1:36" x14ac:dyDescent="0.25">
      <c r="A87" t="s">
        <v>148</v>
      </c>
      <c r="B87" t="s">
        <v>21</v>
      </c>
      <c r="C87">
        <v>12539.31</v>
      </c>
      <c r="D87">
        <v>35797.56</v>
      </c>
      <c r="G87">
        <v>0.186832</v>
      </c>
      <c r="H87">
        <v>0</v>
      </c>
      <c r="I87">
        <v>1460746.82</v>
      </c>
      <c r="J87">
        <v>463682.79</v>
      </c>
      <c r="K87">
        <v>0</v>
      </c>
      <c r="L87">
        <v>831153.37</v>
      </c>
      <c r="M87">
        <v>0</v>
      </c>
      <c r="N87">
        <v>292110.81</v>
      </c>
      <c r="O87">
        <v>289813.93</v>
      </c>
      <c r="P87">
        <v>258441.60000000001</v>
      </c>
      <c r="Q87">
        <v>0</v>
      </c>
      <c r="R87">
        <v>0</v>
      </c>
      <c r="S87">
        <v>0</v>
      </c>
      <c r="T87">
        <v>0</v>
      </c>
      <c r="U87">
        <v>0</v>
      </c>
      <c r="V87">
        <v>970577.35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104843.26</v>
      </c>
      <c r="AH87">
        <v>0</v>
      </c>
      <c r="AI87">
        <v>0</v>
      </c>
      <c r="AJ87">
        <v>2934981020.7658601</v>
      </c>
    </row>
    <row r="88" spans="1:36" x14ac:dyDescent="0.25">
      <c r="A88" t="s">
        <v>149</v>
      </c>
      <c r="B88" t="s">
        <v>21</v>
      </c>
      <c r="D88">
        <v>5807.66</v>
      </c>
      <c r="E88">
        <v>2034.33</v>
      </c>
      <c r="G88">
        <v>3.0311000000000001E-2</v>
      </c>
      <c r="H88">
        <v>0</v>
      </c>
      <c r="I88">
        <v>283347.42</v>
      </c>
      <c r="J88">
        <v>201226.15</v>
      </c>
      <c r="K88">
        <v>0</v>
      </c>
      <c r="L88">
        <v>282049.05</v>
      </c>
      <c r="M88">
        <v>0</v>
      </c>
      <c r="N88">
        <v>153230.04999999999</v>
      </c>
      <c r="O88">
        <v>25689.62</v>
      </c>
      <c r="P88">
        <v>26135.759999999998</v>
      </c>
      <c r="Q88">
        <v>0</v>
      </c>
      <c r="R88">
        <v>0</v>
      </c>
      <c r="S88">
        <v>0</v>
      </c>
      <c r="T88">
        <v>0</v>
      </c>
      <c r="U88">
        <v>0</v>
      </c>
      <c r="V88">
        <v>299776.57</v>
      </c>
      <c r="W88">
        <v>0</v>
      </c>
      <c r="X88">
        <v>0</v>
      </c>
      <c r="Y88">
        <v>0</v>
      </c>
      <c r="Z88">
        <v>65854.75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114330.42</v>
      </c>
      <c r="AH88">
        <v>0</v>
      </c>
      <c r="AI88">
        <v>0</v>
      </c>
      <c r="AJ88">
        <v>690490888.55693996</v>
      </c>
    </row>
    <row r="89" spans="1:36" x14ac:dyDescent="0.25">
      <c r="A89" t="s">
        <v>150</v>
      </c>
      <c r="B89" t="s">
        <v>21</v>
      </c>
      <c r="C89">
        <v>2034.33</v>
      </c>
      <c r="D89">
        <v>5807.66</v>
      </c>
      <c r="G89">
        <v>3.0311000000000001E-2</v>
      </c>
      <c r="H89">
        <v>0</v>
      </c>
      <c r="I89">
        <v>329504.88</v>
      </c>
      <c r="J89">
        <v>201226.15</v>
      </c>
      <c r="K89">
        <v>0</v>
      </c>
      <c r="L89">
        <v>282049.05</v>
      </c>
      <c r="M89">
        <v>0</v>
      </c>
      <c r="N89">
        <v>153227.72</v>
      </c>
      <c r="O89">
        <v>28885.39</v>
      </c>
      <c r="P89">
        <v>26210.73</v>
      </c>
      <c r="Q89">
        <v>0</v>
      </c>
      <c r="R89">
        <v>0</v>
      </c>
      <c r="S89">
        <v>0</v>
      </c>
      <c r="T89">
        <v>0</v>
      </c>
      <c r="U89">
        <v>0</v>
      </c>
      <c r="V89">
        <v>299651.40999999997</v>
      </c>
      <c r="W89">
        <v>0</v>
      </c>
      <c r="X89">
        <v>0</v>
      </c>
      <c r="Y89">
        <v>0</v>
      </c>
      <c r="Z89">
        <v>65854.75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114325.87</v>
      </c>
      <c r="AH89">
        <v>0</v>
      </c>
      <c r="AI89">
        <v>0</v>
      </c>
      <c r="AJ89">
        <v>732505736.684376</v>
      </c>
    </row>
    <row r="90" spans="1:36" x14ac:dyDescent="0.25">
      <c r="A90" t="s">
        <v>151</v>
      </c>
      <c r="B90" t="s">
        <v>21</v>
      </c>
      <c r="D90">
        <v>43590.66</v>
      </c>
      <c r="E90">
        <v>15269.12</v>
      </c>
      <c r="G90">
        <v>0.22750600000000001</v>
      </c>
      <c r="H90">
        <v>0</v>
      </c>
      <c r="I90">
        <v>1667231.45</v>
      </c>
      <c r="J90">
        <v>857863.39</v>
      </c>
      <c r="K90">
        <v>0</v>
      </c>
      <c r="L90">
        <v>1141299.43</v>
      </c>
      <c r="M90">
        <v>0</v>
      </c>
      <c r="N90">
        <v>601292.77</v>
      </c>
      <c r="O90">
        <v>400455.01</v>
      </c>
      <c r="P90">
        <v>396912.66</v>
      </c>
      <c r="Q90">
        <v>0</v>
      </c>
      <c r="R90">
        <v>0</v>
      </c>
      <c r="S90">
        <v>0</v>
      </c>
      <c r="T90">
        <v>0</v>
      </c>
      <c r="U90">
        <v>0</v>
      </c>
      <c r="V90">
        <v>1478601.66</v>
      </c>
      <c r="W90">
        <v>0</v>
      </c>
      <c r="X90">
        <v>0</v>
      </c>
      <c r="Y90">
        <v>0</v>
      </c>
      <c r="Z90">
        <v>43737.51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249112.05</v>
      </c>
      <c r="AH90">
        <v>0</v>
      </c>
      <c r="AI90">
        <v>0</v>
      </c>
      <c r="AJ90">
        <v>3414973447.3474102</v>
      </c>
    </row>
    <row r="91" spans="1:36" x14ac:dyDescent="0.25">
      <c r="A91" t="s">
        <v>152</v>
      </c>
      <c r="B91" t="s">
        <v>21</v>
      </c>
      <c r="C91">
        <v>15269.12</v>
      </c>
      <c r="D91">
        <v>43590.66</v>
      </c>
      <c r="G91">
        <v>0.22750600000000001</v>
      </c>
      <c r="H91">
        <v>0</v>
      </c>
      <c r="I91">
        <v>1941455.47</v>
      </c>
      <c r="J91">
        <v>857863.39</v>
      </c>
      <c r="K91">
        <v>0</v>
      </c>
      <c r="L91">
        <v>1141299.43</v>
      </c>
      <c r="M91">
        <v>0</v>
      </c>
      <c r="N91">
        <v>602585.98</v>
      </c>
      <c r="O91">
        <v>467671.41</v>
      </c>
      <c r="P91">
        <v>411873.7</v>
      </c>
      <c r="Q91">
        <v>0</v>
      </c>
      <c r="R91">
        <v>0</v>
      </c>
      <c r="S91">
        <v>0</v>
      </c>
      <c r="T91">
        <v>0</v>
      </c>
      <c r="U91">
        <v>0</v>
      </c>
      <c r="V91">
        <v>1473011.16</v>
      </c>
      <c r="W91">
        <v>0</v>
      </c>
      <c r="X91">
        <v>0</v>
      </c>
      <c r="Y91">
        <v>0</v>
      </c>
      <c r="Z91">
        <v>43737.51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249128.61</v>
      </c>
      <c r="AH91">
        <v>0</v>
      </c>
      <c r="AI91">
        <v>0</v>
      </c>
      <c r="AJ91">
        <v>3534765047.12784</v>
      </c>
    </row>
    <row r="92" spans="1:36" x14ac:dyDescent="0.25">
      <c r="A92" t="s">
        <v>153</v>
      </c>
      <c r="B92" t="s">
        <v>21</v>
      </c>
      <c r="D92">
        <v>6320.86</v>
      </c>
      <c r="E92">
        <v>2214.1</v>
      </c>
      <c r="G92">
        <v>3.2988999999999997E-2</v>
      </c>
      <c r="H92">
        <v>0</v>
      </c>
      <c r="I92">
        <v>314937.74</v>
      </c>
      <c r="J92">
        <v>197273.03</v>
      </c>
      <c r="K92">
        <v>0</v>
      </c>
      <c r="L92">
        <v>258328.15</v>
      </c>
      <c r="M92">
        <v>0</v>
      </c>
      <c r="N92">
        <v>372266.13</v>
      </c>
      <c r="O92">
        <v>28437.32</v>
      </c>
      <c r="P92">
        <v>29603.3</v>
      </c>
      <c r="Q92">
        <v>0</v>
      </c>
      <c r="R92">
        <v>0</v>
      </c>
      <c r="S92">
        <v>0</v>
      </c>
      <c r="T92">
        <v>0</v>
      </c>
      <c r="U92">
        <v>0</v>
      </c>
      <c r="V92">
        <v>160538</v>
      </c>
      <c r="W92">
        <v>0</v>
      </c>
      <c r="X92">
        <v>0</v>
      </c>
      <c r="Y92">
        <v>0</v>
      </c>
      <c r="Z92">
        <v>64094.3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210325.89</v>
      </c>
      <c r="AH92">
        <v>0</v>
      </c>
      <c r="AI92">
        <v>0</v>
      </c>
      <c r="AJ92">
        <v>1138766396.2694299</v>
      </c>
    </row>
    <row r="93" spans="1:36" x14ac:dyDescent="0.25">
      <c r="A93" t="s">
        <v>154</v>
      </c>
      <c r="B93" t="s">
        <v>21</v>
      </c>
      <c r="C93">
        <v>2214.1</v>
      </c>
      <c r="D93">
        <v>6320.86</v>
      </c>
      <c r="G93">
        <v>3.2988999999999997E-2</v>
      </c>
      <c r="H93">
        <v>0</v>
      </c>
      <c r="I93">
        <v>373140.9</v>
      </c>
      <c r="J93">
        <v>197273.03</v>
      </c>
      <c r="K93">
        <v>0</v>
      </c>
      <c r="L93">
        <v>258328.15</v>
      </c>
      <c r="M93">
        <v>0</v>
      </c>
      <c r="N93">
        <v>372354.54</v>
      </c>
      <c r="O93">
        <v>32680.720000000001</v>
      </c>
      <c r="P93">
        <v>29823.32</v>
      </c>
      <c r="Q93">
        <v>0</v>
      </c>
      <c r="R93">
        <v>0</v>
      </c>
      <c r="S93">
        <v>0</v>
      </c>
      <c r="T93">
        <v>0</v>
      </c>
      <c r="U93">
        <v>0</v>
      </c>
      <c r="V93">
        <v>160689.32999999999</v>
      </c>
      <c r="W93">
        <v>0</v>
      </c>
      <c r="X93">
        <v>0</v>
      </c>
      <c r="Y93">
        <v>0</v>
      </c>
      <c r="Z93">
        <v>64094.3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210329.34</v>
      </c>
      <c r="AH93">
        <v>0</v>
      </c>
      <c r="AI93">
        <v>0</v>
      </c>
      <c r="AJ93">
        <v>1219475889.6858201</v>
      </c>
    </row>
    <row r="94" spans="1:36" x14ac:dyDescent="0.25">
      <c r="A94" t="s">
        <v>155</v>
      </c>
      <c r="B94" t="s">
        <v>21</v>
      </c>
      <c r="D94">
        <v>87782.25</v>
      </c>
      <c r="E94">
        <v>30748.73</v>
      </c>
      <c r="G94">
        <v>0.458148</v>
      </c>
      <c r="H94">
        <v>0</v>
      </c>
      <c r="I94">
        <v>2873241.31</v>
      </c>
      <c r="J94">
        <v>1274541.22</v>
      </c>
      <c r="K94">
        <v>0</v>
      </c>
      <c r="L94">
        <v>3553012.2</v>
      </c>
      <c r="M94">
        <v>0</v>
      </c>
      <c r="N94">
        <v>1440160</v>
      </c>
      <c r="O94">
        <v>433116</v>
      </c>
      <c r="P94">
        <v>444328.78</v>
      </c>
      <c r="Q94">
        <v>0</v>
      </c>
      <c r="R94">
        <v>0</v>
      </c>
      <c r="S94">
        <v>0</v>
      </c>
      <c r="T94">
        <v>0</v>
      </c>
      <c r="U94">
        <v>0</v>
      </c>
      <c r="V94">
        <v>2054564.72</v>
      </c>
      <c r="W94">
        <v>0</v>
      </c>
      <c r="X94">
        <v>0</v>
      </c>
      <c r="Y94">
        <v>0</v>
      </c>
      <c r="Z94">
        <v>127428.8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667526.85</v>
      </c>
      <c r="AH94">
        <v>0</v>
      </c>
      <c r="AI94">
        <v>0</v>
      </c>
      <c r="AJ94">
        <v>7584456047.4007101</v>
      </c>
    </row>
    <row r="95" spans="1:36" x14ac:dyDescent="0.25">
      <c r="A95" t="s">
        <v>156</v>
      </c>
      <c r="B95" t="s">
        <v>21</v>
      </c>
      <c r="C95">
        <v>13542.45</v>
      </c>
      <c r="D95">
        <v>38661.339999999997</v>
      </c>
      <c r="G95">
        <v>0.20177899999999999</v>
      </c>
      <c r="H95">
        <v>0</v>
      </c>
      <c r="I95">
        <v>1412623.31</v>
      </c>
      <c r="J95">
        <v>350734.07</v>
      </c>
      <c r="K95">
        <v>0</v>
      </c>
      <c r="L95">
        <v>936314.72</v>
      </c>
      <c r="M95">
        <v>0</v>
      </c>
      <c r="N95">
        <v>415394.84</v>
      </c>
      <c r="O95">
        <v>337751.16</v>
      </c>
      <c r="P95">
        <v>305855</v>
      </c>
      <c r="Q95">
        <v>0</v>
      </c>
      <c r="R95">
        <v>0</v>
      </c>
      <c r="S95">
        <v>0</v>
      </c>
      <c r="T95">
        <v>0</v>
      </c>
      <c r="U95">
        <v>0</v>
      </c>
      <c r="V95">
        <v>451803.81</v>
      </c>
      <c r="W95">
        <v>0</v>
      </c>
      <c r="X95">
        <v>0</v>
      </c>
      <c r="Y95">
        <v>0</v>
      </c>
      <c r="Z95">
        <v>68627.600000000006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437501.61</v>
      </c>
      <c r="AH95">
        <v>0</v>
      </c>
      <c r="AI95">
        <v>0</v>
      </c>
      <c r="AJ95">
        <v>2926915090.6012402</v>
      </c>
    </row>
    <row r="96" spans="1:36" x14ac:dyDescent="0.25">
      <c r="A96" t="s">
        <v>157</v>
      </c>
      <c r="B96" t="s">
        <v>21</v>
      </c>
      <c r="C96">
        <v>30748.73</v>
      </c>
      <c r="D96">
        <v>87782.25</v>
      </c>
      <c r="G96">
        <v>0.458148</v>
      </c>
      <c r="H96">
        <v>0</v>
      </c>
      <c r="I96">
        <v>3534906.94</v>
      </c>
      <c r="J96">
        <v>1274541.22</v>
      </c>
      <c r="K96">
        <v>0</v>
      </c>
      <c r="L96">
        <v>3553012.2</v>
      </c>
      <c r="M96">
        <v>0</v>
      </c>
      <c r="N96">
        <v>1441465.93</v>
      </c>
      <c r="O96">
        <v>494354.44</v>
      </c>
      <c r="P96">
        <v>446912.93</v>
      </c>
      <c r="Q96">
        <v>0</v>
      </c>
      <c r="R96">
        <v>0</v>
      </c>
      <c r="S96">
        <v>0</v>
      </c>
      <c r="T96">
        <v>0</v>
      </c>
      <c r="U96">
        <v>0</v>
      </c>
      <c r="V96">
        <v>2046069.76</v>
      </c>
      <c r="W96">
        <v>0</v>
      </c>
      <c r="X96">
        <v>0</v>
      </c>
      <c r="Y96">
        <v>0</v>
      </c>
      <c r="Z96">
        <v>127428.8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667529.87</v>
      </c>
      <c r="AH96">
        <v>0</v>
      </c>
      <c r="AI96">
        <v>0</v>
      </c>
      <c r="AJ96">
        <v>8257675730.4593697</v>
      </c>
    </row>
    <row r="97" spans="1:36" x14ac:dyDescent="0.25">
      <c r="A97" t="s">
        <v>158</v>
      </c>
      <c r="B97" t="s">
        <v>20</v>
      </c>
      <c r="C97">
        <v>9697.85</v>
      </c>
      <c r="D97">
        <v>27685.68</v>
      </c>
      <c r="G97">
        <v>0.14449500000000001</v>
      </c>
      <c r="H97">
        <v>0</v>
      </c>
      <c r="I97">
        <v>1124942.3899999999</v>
      </c>
      <c r="J97">
        <v>774617.57</v>
      </c>
      <c r="K97">
        <v>0</v>
      </c>
      <c r="L97">
        <v>436518</v>
      </c>
      <c r="M97">
        <v>0</v>
      </c>
      <c r="N97">
        <v>321636.73</v>
      </c>
      <c r="O97">
        <v>172538.59</v>
      </c>
      <c r="P97">
        <v>154347.92000000001</v>
      </c>
      <c r="Q97">
        <v>0</v>
      </c>
      <c r="R97">
        <v>0</v>
      </c>
      <c r="S97">
        <v>0</v>
      </c>
      <c r="T97">
        <v>0</v>
      </c>
      <c r="U97">
        <v>0</v>
      </c>
      <c r="V97">
        <v>678917.41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156630.51</v>
      </c>
      <c r="AH97">
        <v>0</v>
      </c>
      <c r="AI97">
        <v>0</v>
      </c>
      <c r="AJ97">
        <v>2805044324.4605598</v>
      </c>
    </row>
    <row r="98" spans="1:36" x14ac:dyDescent="0.25">
      <c r="A98" t="s">
        <v>159</v>
      </c>
      <c r="B98" t="s">
        <v>21</v>
      </c>
      <c r="D98">
        <v>38661.339999999997</v>
      </c>
      <c r="E98">
        <v>13542.45</v>
      </c>
      <c r="G98">
        <v>0.20177899999999999</v>
      </c>
      <c r="H98">
        <v>0</v>
      </c>
      <c r="I98">
        <v>989445.66</v>
      </c>
      <c r="J98">
        <v>350734.07</v>
      </c>
      <c r="K98">
        <v>0</v>
      </c>
      <c r="L98">
        <v>936314.72</v>
      </c>
      <c r="M98">
        <v>0</v>
      </c>
      <c r="N98">
        <v>415757.44</v>
      </c>
      <c r="O98">
        <v>286246.05</v>
      </c>
      <c r="P98">
        <v>294471.40000000002</v>
      </c>
      <c r="Q98">
        <v>0</v>
      </c>
      <c r="R98">
        <v>0</v>
      </c>
      <c r="S98">
        <v>0</v>
      </c>
      <c r="T98">
        <v>0</v>
      </c>
      <c r="U98">
        <v>0</v>
      </c>
      <c r="V98">
        <v>449792.58</v>
      </c>
      <c r="W98">
        <v>0</v>
      </c>
      <c r="X98">
        <v>0</v>
      </c>
      <c r="Y98">
        <v>0</v>
      </c>
      <c r="Z98">
        <v>68627.600000000006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437501.42</v>
      </c>
      <c r="AH98">
        <v>0</v>
      </c>
      <c r="AI98">
        <v>0</v>
      </c>
      <c r="AJ98">
        <v>2682670448.6634102</v>
      </c>
    </row>
    <row r="99" spans="1:36" x14ac:dyDescent="0.25">
      <c r="A99" t="s">
        <v>160</v>
      </c>
      <c r="B99" t="s">
        <v>20</v>
      </c>
      <c r="D99">
        <v>27685.68</v>
      </c>
      <c r="E99">
        <v>9697.85</v>
      </c>
      <c r="G99">
        <v>0.14449500000000001</v>
      </c>
      <c r="H99">
        <v>0</v>
      </c>
      <c r="I99">
        <v>964300.21</v>
      </c>
      <c r="J99">
        <v>774617.57</v>
      </c>
      <c r="K99">
        <v>0</v>
      </c>
      <c r="L99">
        <v>436518</v>
      </c>
      <c r="M99">
        <v>0</v>
      </c>
      <c r="N99">
        <v>321661.37</v>
      </c>
      <c r="O99">
        <v>149482.10999999999</v>
      </c>
      <c r="P99">
        <v>150205.42000000001</v>
      </c>
      <c r="Q99">
        <v>0</v>
      </c>
      <c r="R99">
        <v>0</v>
      </c>
      <c r="S99">
        <v>0</v>
      </c>
      <c r="T99">
        <v>0</v>
      </c>
      <c r="U99">
        <v>0</v>
      </c>
      <c r="V99">
        <v>677930.11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156627.68</v>
      </c>
      <c r="AH99">
        <v>0</v>
      </c>
      <c r="AI99">
        <v>0</v>
      </c>
      <c r="AJ99">
        <v>2772497368.2497101</v>
      </c>
    </row>
    <row r="100" spans="1:36" x14ac:dyDescent="0.25">
      <c r="A100" t="s">
        <v>161</v>
      </c>
      <c r="B100" t="s">
        <v>20</v>
      </c>
      <c r="D100">
        <v>33861.050000000003</v>
      </c>
      <c r="E100">
        <v>11860.99</v>
      </c>
      <c r="G100">
        <v>0.17672499999999999</v>
      </c>
      <c r="H100">
        <v>0</v>
      </c>
      <c r="I100">
        <v>1107039.19</v>
      </c>
      <c r="J100">
        <v>463682.79</v>
      </c>
      <c r="K100">
        <v>0</v>
      </c>
      <c r="L100">
        <v>831153.37</v>
      </c>
      <c r="M100">
        <v>0</v>
      </c>
      <c r="N100">
        <v>293760.55</v>
      </c>
      <c r="O100">
        <v>266816.77</v>
      </c>
      <c r="P100">
        <v>279539.23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687865.48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102507.42</v>
      </c>
      <c r="AH100">
        <v>0</v>
      </c>
      <c r="AI100">
        <v>0</v>
      </c>
      <c r="AJ100">
        <v>2091366838.83289</v>
      </c>
    </row>
    <row r="101" spans="1:36" x14ac:dyDescent="0.25">
      <c r="A101" t="s">
        <v>162</v>
      </c>
      <c r="B101" t="s">
        <v>20</v>
      </c>
      <c r="D101">
        <v>2457.65</v>
      </c>
      <c r="E101">
        <v>860.87</v>
      </c>
      <c r="G101">
        <v>1.2827E-2</v>
      </c>
      <c r="H101">
        <v>0</v>
      </c>
      <c r="I101">
        <v>51492.04</v>
      </c>
      <c r="J101">
        <v>23792.959999999999</v>
      </c>
      <c r="K101">
        <v>0</v>
      </c>
      <c r="L101">
        <v>29466.65</v>
      </c>
      <c r="M101">
        <v>0</v>
      </c>
      <c r="N101">
        <v>112092.37</v>
      </c>
      <c r="O101">
        <v>11026.8</v>
      </c>
      <c r="P101">
        <v>11807.31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882.82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4217.4799999999996</v>
      </c>
      <c r="AH101">
        <v>0</v>
      </c>
      <c r="AI101">
        <v>0</v>
      </c>
      <c r="AJ101">
        <v>168912003.01189101</v>
      </c>
    </row>
    <row r="102" spans="1:36" x14ac:dyDescent="0.25">
      <c r="A102" t="s">
        <v>163</v>
      </c>
      <c r="B102" t="s">
        <v>20</v>
      </c>
      <c r="C102">
        <v>11860.99</v>
      </c>
      <c r="D102">
        <v>33861.050000000003</v>
      </c>
      <c r="G102">
        <v>0.17672499999999999</v>
      </c>
      <c r="H102">
        <v>0</v>
      </c>
      <c r="I102">
        <v>1537486.32</v>
      </c>
      <c r="J102">
        <v>463682.79</v>
      </c>
      <c r="K102">
        <v>0</v>
      </c>
      <c r="L102">
        <v>831153.37</v>
      </c>
      <c r="M102">
        <v>0</v>
      </c>
      <c r="N102">
        <v>293924.5</v>
      </c>
      <c r="O102">
        <v>309061.40999999997</v>
      </c>
      <c r="P102">
        <v>282829.58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686074.56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102505.1</v>
      </c>
      <c r="AH102">
        <v>0</v>
      </c>
      <c r="AI102">
        <v>0</v>
      </c>
      <c r="AJ102">
        <v>2791655686.9377398</v>
      </c>
    </row>
    <row r="103" spans="1:36" x14ac:dyDescent="0.25">
      <c r="A103" t="s">
        <v>164</v>
      </c>
      <c r="B103" t="s">
        <v>20</v>
      </c>
      <c r="C103">
        <v>860.87</v>
      </c>
      <c r="D103">
        <v>2457.65</v>
      </c>
      <c r="G103">
        <v>1.2827E-2</v>
      </c>
      <c r="H103">
        <v>0</v>
      </c>
      <c r="I103">
        <v>82181.23</v>
      </c>
      <c r="J103">
        <v>23792.959999999999</v>
      </c>
      <c r="K103">
        <v>0</v>
      </c>
      <c r="L103">
        <v>29466.65</v>
      </c>
      <c r="M103">
        <v>0</v>
      </c>
      <c r="N103">
        <v>112092.37</v>
      </c>
      <c r="O103">
        <v>15685.26</v>
      </c>
      <c r="P103">
        <v>13286.56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882.82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4217.4799999999996</v>
      </c>
      <c r="AH103">
        <v>0</v>
      </c>
      <c r="AI103">
        <v>0</v>
      </c>
      <c r="AJ103">
        <v>223650732.720844</v>
      </c>
    </row>
    <row r="104" spans="1:36" x14ac:dyDescent="0.25">
      <c r="A104" t="s">
        <v>165</v>
      </c>
      <c r="B104" t="s">
        <v>20</v>
      </c>
      <c r="D104">
        <v>5630.96</v>
      </c>
      <c r="E104">
        <v>1972.43</v>
      </c>
      <c r="G104">
        <v>2.9388999999999998E-2</v>
      </c>
      <c r="H104">
        <v>0</v>
      </c>
      <c r="I104">
        <v>276773.23</v>
      </c>
      <c r="J104">
        <v>201226.15</v>
      </c>
      <c r="K104">
        <v>0</v>
      </c>
      <c r="L104">
        <v>282049.05</v>
      </c>
      <c r="M104">
        <v>0</v>
      </c>
      <c r="N104">
        <v>144675.97</v>
      </c>
      <c r="O104">
        <v>28393.55</v>
      </c>
      <c r="P104">
        <v>29508.17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177982.45</v>
      </c>
      <c r="W104">
        <v>0</v>
      </c>
      <c r="X104">
        <v>0</v>
      </c>
      <c r="Y104">
        <v>0</v>
      </c>
      <c r="Z104">
        <v>65854.75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111784.7</v>
      </c>
      <c r="AH104">
        <v>0</v>
      </c>
      <c r="AI104">
        <v>0</v>
      </c>
      <c r="AJ104">
        <v>580774357.04543996</v>
      </c>
    </row>
    <row r="105" spans="1:36" x14ac:dyDescent="0.25">
      <c r="A105" t="s">
        <v>166</v>
      </c>
      <c r="B105" t="s">
        <v>20</v>
      </c>
      <c r="C105">
        <v>1972.43</v>
      </c>
      <c r="D105">
        <v>5630.96</v>
      </c>
      <c r="G105">
        <v>2.9388999999999998E-2</v>
      </c>
      <c r="H105">
        <v>0</v>
      </c>
      <c r="I105">
        <v>335484.39</v>
      </c>
      <c r="J105">
        <v>201226.15</v>
      </c>
      <c r="K105">
        <v>0</v>
      </c>
      <c r="L105">
        <v>282049.05</v>
      </c>
      <c r="M105">
        <v>0</v>
      </c>
      <c r="N105">
        <v>144678.09</v>
      </c>
      <c r="O105">
        <v>32042</v>
      </c>
      <c r="P105">
        <v>29562.05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177736.19</v>
      </c>
      <c r="W105">
        <v>0</v>
      </c>
      <c r="X105">
        <v>0</v>
      </c>
      <c r="Y105">
        <v>0</v>
      </c>
      <c r="Z105">
        <v>65854.75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111792.34</v>
      </c>
      <c r="AH105">
        <v>0</v>
      </c>
      <c r="AI105">
        <v>0</v>
      </c>
      <c r="AJ105">
        <v>662741255.09346902</v>
      </c>
    </row>
    <row r="106" spans="1:36" x14ac:dyDescent="0.25">
      <c r="A106" t="s">
        <v>167</v>
      </c>
      <c r="B106" t="s">
        <v>20</v>
      </c>
      <c r="C106">
        <v>15483.29</v>
      </c>
      <c r="D106">
        <v>44202.1</v>
      </c>
      <c r="G106">
        <v>0.23069700000000001</v>
      </c>
      <c r="H106">
        <v>0</v>
      </c>
      <c r="I106">
        <v>2148299.02</v>
      </c>
      <c r="J106">
        <v>857863.39</v>
      </c>
      <c r="K106">
        <v>0</v>
      </c>
      <c r="L106">
        <v>1141299.43</v>
      </c>
      <c r="M106">
        <v>0</v>
      </c>
      <c r="N106">
        <v>627837.62</v>
      </c>
      <c r="O106">
        <v>471928.1</v>
      </c>
      <c r="P106">
        <v>423924.31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1358412.55</v>
      </c>
      <c r="W106">
        <v>0</v>
      </c>
      <c r="X106">
        <v>0</v>
      </c>
      <c r="Y106">
        <v>0</v>
      </c>
      <c r="Z106">
        <v>43737.51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243580.3</v>
      </c>
      <c r="AH106">
        <v>0</v>
      </c>
      <c r="AI106">
        <v>0</v>
      </c>
      <c r="AJ106">
        <v>3621996474.0362601</v>
      </c>
    </row>
    <row r="107" spans="1:36" x14ac:dyDescent="0.25">
      <c r="A107" t="s">
        <v>168</v>
      </c>
      <c r="B107" t="s">
        <v>20</v>
      </c>
      <c r="D107">
        <v>44202.1</v>
      </c>
      <c r="E107">
        <v>15483.29</v>
      </c>
      <c r="G107">
        <v>0.23069700000000001</v>
      </c>
      <c r="H107">
        <v>0</v>
      </c>
      <c r="I107">
        <v>1804830.54</v>
      </c>
      <c r="J107">
        <v>857863.39</v>
      </c>
      <c r="K107">
        <v>0</v>
      </c>
      <c r="L107">
        <v>1141299.43</v>
      </c>
      <c r="M107">
        <v>0</v>
      </c>
      <c r="N107">
        <v>627222.98</v>
      </c>
      <c r="O107">
        <v>407317.53</v>
      </c>
      <c r="P107">
        <v>410976.95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1362452.22</v>
      </c>
      <c r="W107">
        <v>0</v>
      </c>
      <c r="X107">
        <v>0</v>
      </c>
      <c r="Y107">
        <v>0</v>
      </c>
      <c r="Z107">
        <v>43737.51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243571.32</v>
      </c>
      <c r="AH107">
        <v>0</v>
      </c>
      <c r="AI107">
        <v>0</v>
      </c>
      <c r="AJ107">
        <v>3468217838.8204999</v>
      </c>
    </row>
    <row r="108" spans="1:36" x14ac:dyDescent="0.25">
      <c r="A108" t="s">
        <v>169</v>
      </c>
      <c r="B108" t="s">
        <v>20</v>
      </c>
      <c r="D108">
        <v>6228.78</v>
      </c>
      <c r="E108">
        <v>2181.84</v>
      </c>
      <c r="G108">
        <v>3.2509000000000003E-2</v>
      </c>
      <c r="H108">
        <v>0</v>
      </c>
      <c r="I108">
        <v>322219.81</v>
      </c>
      <c r="J108">
        <v>197273.03</v>
      </c>
      <c r="K108">
        <v>0</v>
      </c>
      <c r="L108">
        <v>258328.15</v>
      </c>
      <c r="M108">
        <v>0</v>
      </c>
      <c r="N108">
        <v>357130.11</v>
      </c>
      <c r="O108">
        <v>31947.599999999999</v>
      </c>
      <c r="P108">
        <v>34054.81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102631.9</v>
      </c>
      <c r="W108">
        <v>0</v>
      </c>
      <c r="X108">
        <v>0</v>
      </c>
      <c r="Y108">
        <v>0</v>
      </c>
      <c r="Z108">
        <v>64094.3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205705.88</v>
      </c>
      <c r="AH108">
        <v>0</v>
      </c>
      <c r="AI108">
        <v>0</v>
      </c>
      <c r="AJ108">
        <v>957860757.81790197</v>
      </c>
    </row>
    <row r="109" spans="1:36" x14ac:dyDescent="0.25">
      <c r="A109" t="s">
        <v>170</v>
      </c>
      <c r="B109" t="s">
        <v>20</v>
      </c>
      <c r="C109">
        <v>2181.84</v>
      </c>
      <c r="D109">
        <v>6228.78</v>
      </c>
      <c r="G109">
        <v>3.2509000000000003E-2</v>
      </c>
      <c r="H109">
        <v>0</v>
      </c>
      <c r="I109">
        <v>388461.74</v>
      </c>
      <c r="J109">
        <v>197273.03</v>
      </c>
      <c r="K109">
        <v>0</v>
      </c>
      <c r="L109">
        <v>258328.15</v>
      </c>
      <c r="M109">
        <v>0</v>
      </c>
      <c r="N109">
        <v>357059.81</v>
      </c>
      <c r="O109">
        <v>36857.629999999997</v>
      </c>
      <c r="P109">
        <v>34268.620000000003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102532.44</v>
      </c>
      <c r="W109">
        <v>0</v>
      </c>
      <c r="X109">
        <v>0</v>
      </c>
      <c r="Y109">
        <v>0</v>
      </c>
      <c r="Z109">
        <v>64094.3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205703.65</v>
      </c>
      <c r="AH109">
        <v>0</v>
      </c>
      <c r="AI109">
        <v>0</v>
      </c>
      <c r="AJ109">
        <v>1090532780.85833</v>
      </c>
    </row>
    <row r="110" spans="1:36" x14ac:dyDescent="0.25">
      <c r="A110" t="s">
        <v>171</v>
      </c>
      <c r="B110" t="s">
        <v>20</v>
      </c>
      <c r="C110">
        <v>29886.5</v>
      </c>
      <c r="D110">
        <v>85320.76</v>
      </c>
      <c r="G110">
        <v>0.445301</v>
      </c>
      <c r="H110">
        <v>0</v>
      </c>
      <c r="I110">
        <v>3741520.9</v>
      </c>
      <c r="J110">
        <v>1274541.22</v>
      </c>
      <c r="K110">
        <v>0</v>
      </c>
      <c r="L110">
        <v>3553012.2</v>
      </c>
      <c r="M110">
        <v>0</v>
      </c>
      <c r="N110">
        <v>1392428.15</v>
      </c>
      <c r="O110">
        <v>538718.41</v>
      </c>
      <c r="P110">
        <v>497505.33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1475714.4</v>
      </c>
      <c r="W110">
        <v>0</v>
      </c>
      <c r="X110">
        <v>0</v>
      </c>
      <c r="Y110">
        <v>0</v>
      </c>
      <c r="Z110">
        <v>127428.8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652997.67000000004</v>
      </c>
      <c r="AH110">
        <v>0</v>
      </c>
      <c r="AI110">
        <v>0</v>
      </c>
      <c r="AJ110">
        <v>7964265377.5064001</v>
      </c>
    </row>
    <row r="111" spans="1:36" x14ac:dyDescent="0.25">
      <c r="A111" t="s">
        <v>172</v>
      </c>
      <c r="B111" t="s">
        <v>19</v>
      </c>
      <c r="D111">
        <v>25715.64</v>
      </c>
      <c r="E111">
        <v>9007.7800000000007</v>
      </c>
      <c r="G111">
        <v>0.134213</v>
      </c>
      <c r="H111">
        <v>0</v>
      </c>
      <c r="I111">
        <v>987148.63</v>
      </c>
      <c r="J111">
        <v>774617.57</v>
      </c>
      <c r="K111">
        <v>0</v>
      </c>
      <c r="L111">
        <v>436518</v>
      </c>
      <c r="M111">
        <v>0</v>
      </c>
      <c r="N111">
        <v>290045.14</v>
      </c>
      <c r="O111">
        <v>142484.5</v>
      </c>
      <c r="P111">
        <v>146746.32999999999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449659.05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157890.81</v>
      </c>
      <c r="AH111">
        <v>0</v>
      </c>
      <c r="AI111">
        <v>0</v>
      </c>
      <c r="AJ111">
        <v>1981791158.2892799</v>
      </c>
    </row>
    <row r="112" spans="1:36" x14ac:dyDescent="0.25">
      <c r="A112" t="s">
        <v>173</v>
      </c>
      <c r="B112" t="s">
        <v>20</v>
      </c>
      <c r="D112">
        <v>38243.21</v>
      </c>
      <c r="E112">
        <v>13395.99</v>
      </c>
      <c r="G112">
        <v>0.199597</v>
      </c>
      <c r="H112">
        <v>0</v>
      </c>
      <c r="I112">
        <v>1058650.73</v>
      </c>
      <c r="J112">
        <v>350734.07</v>
      </c>
      <c r="K112">
        <v>0</v>
      </c>
      <c r="L112">
        <v>936314.72</v>
      </c>
      <c r="M112">
        <v>0</v>
      </c>
      <c r="N112">
        <v>376587.26</v>
      </c>
      <c r="O112">
        <v>303779.40999999997</v>
      </c>
      <c r="P112">
        <v>321293.68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340678.11</v>
      </c>
      <c r="W112">
        <v>0</v>
      </c>
      <c r="X112">
        <v>0</v>
      </c>
      <c r="Y112">
        <v>0</v>
      </c>
      <c r="Z112">
        <v>68627.600000000006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428567.2</v>
      </c>
      <c r="AH112">
        <v>0</v>
      </c>
      <c r="AI112">
        <v>0</v>
      </c>
      <c r="AJ112">
        <v>2352883194.4458499</v>
      </c>
    </row>
    <row r="113" spans="1:36" x14ac:dyDescent="0.25">
      <c r="A113" t="s">
        <v>174</v>
      </c>
      <c r="B113" t="s">
        <v>20</v>
      </c>
      <c r="D113">
        <v>85320.76</v>
      </c>
      <c r="E113">
        <v>29886.5</v>
      </c>
      <c r="G113">
        <v>0.445301</v>
      </c>
      <c r="H113">
        <v>0</v>
      </c>
      <c r="I113">
        <v>2983613.96</v>
      </c>
      <c r="J113">
        <v>1274541.22</v>
      </c>
      <c r="K113">
        <v>0</v>
      </c>
      <c r="L113">
        <v>3553012.2</v>
      </c>
      <c r="M113">
        <v>0</v>
      </c>
      <c r="N113">
        <v>1391836.19</v>
      </c>
      <c r="O113">
        <v>471259.97</v>
      </c>
      <c r="P113">
        <v>494517.83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1479672.64</v>
      </c>
      <c r="W113">
        <v>0</v>
      </c>
      <c r="X113">
        <v>0</v>
      </c>
      <c r="Y113">
        <v>0</v>
      </c>
      <c r="Z113">
        <v>127428.8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653042.16</v>
      </c>
      <c r="AH113">
        <v>0</v>
      </c>
      <c r="AI113">
        <v>0</v>
      </c>
      <c r="AJ113">
        <v>7034431102.7249203</v>
      </c>
    </row>
    <row r="114" spans="1:36" x14ac:dyDescent="0.25">
      <c r="A114" t="s">
        <v>175</v>
      </c>
      <c r="B114" t="s">
        <v>20</v>
      </c>
      <c r="C114">
        <v>13395.99</v>
      </c>
      <c r="D114">
        <v>38243.21</v>
      </c>
      <c r="G114">
        <v>0.199597</v>
      </c>
      <c r="H114">
        <v>0</v>
      </c>
      <c r="I114">
        <v>1566176.55</v>
      </c>
      <c r="J114">
        <v>350734.07</v>
      </c>
      <c r="K114">
        <v>0</v>
      </c>
      <c r="L114">
        <v>936314.72</v>
      </c>
      <c r="M114">
        <v>0</v>
      </c>
      <c r="N114">
        <v>376309.04</v>
      </c>
      <c r="O114">
        <v>355847.71</v>
      </c>
      <c r="P114">
        <v>328670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340961.11</v>
      </c>
      <c r="W114">
        <v>0</v>
      </c>
      <c r="X114">
        <v>0</v>
      </c>
      <c r="Y114">
        <v>0</v>
      </c>
      <c r="Z114">
        <v>68627.600000000006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428588.69</v>
      </c>
      <c r="AH114">
        <v>0</v>
      </c>
      <c r="AI114">
        <v>0</v>
      </c>
      <c r="AJ114">
        <v>2853248834.88305</v>
      </c>
    </row>
    <row r="115" spans="1:36" x14ac:dyDescent="0.25">
      <c r="A115" t="s">
        <v>176</v>
      </c>
      <c r="B115" t="s">
        <v>19</v>
      </c>
      <c r="C115">
        <v>9007.7800000000007</v>
      </c>
      <c r="D115">
        <v>25715.64</v>
      </c>
      <c r="G115">
        <v>0.134213</v>
      </c>
      <c r="H115">
        <v>0</v>
      </c>
      <c r="I115">
        <v>1048250.4</v>
      </c>
      <c r="J115">
        <v>774617.57</v>
      </c>
      <c r="K115">
        <v>0</v>
      </c>
      <c r="L115">
        <v>436518</v>
      </c>
      <c r="M115">
        <v>0</v>
      </c>
      <c r="N115">
        <v>289952.68</v>
      </c>
      <c r="O115">
        <v>163339.20000000001</v>
      </c>
      <c r="P115">
        <v>151098.69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451636.03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157893.14000000001</v>
      </c>
      <c r="AH115">
        <v>0</v>
      </c>
      <c r="AI115">
        <v>0</v>
      </c>
      <c r="AJ115">
        <v>2154112241.6129599</v>
      </c>
    </row>
    <row r="116" spans="1:36" x14ac:dyDescent="0.25">
      <c r="A116" t="s">
        <v>177</v>
      </c>
      <c r="B116" t="s">
        <v>19</v>
      </c>
      <c r="D116">
        <v>33835.660000000003</v>
      </c>
      <c r="E116">
        <v>11852.09</v>
      </c>
      <c r="G116">
        <v>0.176593</v>
      </c>
      <c r="H116">
        <v>0</v>
      </c>
      <c r="I116">
        <v>1236774.72</v>
      </c>
      <c r="J116">
        <v>463682.79</v>
      </c>
      <c r="K116">
        <v>0</v>
      </c>
      <c r="L116">
        <v>831153.37</v>
      </c>
      <c r="M116">
        <v>0</v>
      </c>
      <c r="N116">
        <v>291330.69</v>
      </c>
      <c r="O116">
        <v>287639.90999999997</v>
      </c>
      <c r="P116">
        <v>309836.52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615093.87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103351.38</v>
      </c>
      <c r="AH116">
        <v>0</v>
      </c>
      <c r="AI116">
        <v>0</v>
      </c>
      <c r="AJ116">
        <v>1645705791.0074501</v>
      </c>
    </row>
    <row r="117" spans="1:36" x14ac:dyDescent="0.25">
      <c r="A117" t="s">
        <v>178</v>
      </c>
      <c r="B117" t="s">
        <v>19</v>
      </c>
      <c r="D117">
        <v>2621.1</v>
      </c>
      <c r="E117">
        <v>918.13</v>
      </c>
      <c r="G117">
        <v>1.3679999999999999E-2</v>
      </c>
      <c r="H117">
        <v>0</v>
      </c>
      <c r="I117">
        <v>47928.639999999999</v>
      </c>
      <c r="J117">
        <v>23792.959999999999</v>
      </c>
      <c r="K117">
        <v>0</v>
      </c>
      <c r="L117">
        <v>29466.65</v>
      </c>
      <c r="M117">
        <v>0</v>
      </c>
      <c r="N117">
        <v>121625.56</v>
      </c>
      <c r="O117">
        <v>11288.01</v>
      </c>
      <c r="P117">
        <v>12487.01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172.39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4247.5200000000004</v>
      </c>
      <c r="AH117">
        <v>0</v>
      </c>
      <c r="AI117">
        <v>0</v>
      </c>
      <c r="AJ117">
        <v>152720900.686488</v>
      </c>
    </row>
    <row r="118" spans="1:36" x14ac:dyDescent="0.25">
      <c r="A118" t="s">
        <v>179</v>
      </c>
      <c r="B118" t="s">
        <v>19</v>
      </c>
      <c r="C118">
        <v>918.13</v>
      </c>
      <c r="D118">
        <v>2621.1</v>
      </c>
      <c r="G118">
        <v>1.3679999999999999E-2</v>
      </c>
      <c r="H118">
        <v>0</v>
      </c>
      <c r="I118">
        <v>76541.16</v>
      </c>
      <c r="J118">
        <v>23792.959999999999</v>
      </c>
      <c r="K118">
        <v>0</v>
      </c>
      <c r="L118">
        <v>29466.65</v>
      </c>
      <c r="M118">
        <v>0</v>
      </c>
      <c r="N118">
        <v>121626.98</v>
      </c>
      <c r="O118">
        <v>17391.169999999998</v>
      </c>
      <c r="P118">
        <v>15378.73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172.38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4247.5200000000004</v>
      </c>
      <c r="AH118">
        <v>0</v>
      </c>
      <c r="AI118">
        <v>0</v>
      </c>
      <c r="AJ118">
        <v>195367775.80270401</v>
      </c>
    </row>
    <row r="119" spans="1:36" x14ac:dyDescent="0.25">
      <c r="A119" t="s">
        <v>180</v>
      </c>
      <c r="B119" t="s">
        <v>19</v>
      </c>
      <c r="C119">
        <v>11852.09</v>
      </c>
      <c r="D119">
        <v>33835.660000000003</v>
      </c>
      <c r="G119">
        <v>0.176593</v>
      </c>
      <c r="H119">
        <v>0</v>
      </c>
      <c r="I119">
        <v>1554097.25</v>
      </c>
      <c r="J119">
        <v>463682.79</v>
      </c>
      <c r="K119">
        <v>0</v>
      </c>
      <c r="L119">
        <v>831153.37</v>
      </c>
      <c r="M119">
        <v>0</v>
      </c>
      <c r="N119">
        <v>293444.90000000002</v>
      </c>
      <c r="O119">
        <v>331645.63</v>
      </c>
      <c r="P119">
        <v>311332.12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612322.9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103352.53</v>
      </c>
      <c r="AH119">
        <v>0</v>
      </c>
      <c r="AI119">
        <v>0</v>
      </c>
      <c r="AJ119">
        <v>2160527166.9786801</v>
      </c>
    </row>
    <row r="120" spans="1:36" x14ac:dyDescent="0.25">
      <c r="A120" t="s">
        <v>181</v>
      </c>
      <c r="B120" t="s">
        <v>19</v>
      </c>
      <c r="D120">
        <v>41548.28</v>
      </c>
      <c r="E120">
        <v>14553.7</v>
      </c>
      <c r="G120">
        <v>0.21684600000000001</v>
      </c>
      <c r="H120">
        <v>0</v>
      </c>
      <c r="I120">
        <v>1737389.15</v>
      </c>
      <c r="J120">
        <v>857863.39</v>
      </c>
      <c r="K120">
        <v>0</v>
      </c>
      <c r="L120">
        <v>1141299.43</v>
      </c>
      <c r="M120">
        <v>0</v>
      </c>
      <c r="N120">
        <v>546739.07999999996</v>
      </c>
      <c r="O120">
        <v>387328.1</v>
      </c>
      <c r="P120">
        <v>409486.97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909218.58</v>
      </c>
      <c r="W120">
        <v>0</v>
      </c>
      <c r="X120">
        <v>0</v>
      </c>
      <c r="Y120">
        <v>0</v>
      </c>
      <c r="Z120">
        <v>43737.51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245617.74</v>
      </c>
      <c r="AH120">
        <v>0</v>
      </c>
      <c r="AI120">
        <v>0</v>
      </c>
      <c r="AJ120">
        <v>2344297006.86133</v>
      </c>
    </row>
    <row r="121" spans="1:36" x14ac:dyDescent="0.25">
      <c r="A121" t="s">
        <v>182</v>
      </c>
      <c r="B121" t="s">
        <v>19</v>
      </c>
      <c r="D121">
        <v>5341.97</v>
      </c>
      <c r="E121">
        <v>1871.21</v>
      </c>
      <c r="G121">
        <v>2.7879999999999999E-2</v>
      </c>
      <c r="H121">
        <v>0</v>
      </c>
      <c r="I121">
        <v>282959.34000000003</v>
      </c>
      <c r="J121">
        <v>201226.15</v>
      </c>
      <c r="K121">
        <v>0</v>
      </c>
      <c r="L121">
        <v>282049.05</v>
      </c>
      <c r="M121">
        <v>0</v>
      </c>
      <c r="N121">
        <v>138589.15</v>
      </c>
      <c r="O121">
        <v>29757.39</v>
      </c>
      <c r="P121">
        <v>30820.16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130739.93</v>
      </c>
      <c r="W121">
        <v>0</v>
      </c>
      <c r="X121">
        <v>0</v>
      </c>
      <c r="Y121">
        <v>0</v>
      </c>
      <c r="Z121">
        <v>65854.75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112723.47</v>
      </c>
      <c r="AH121">
        <v>0</v>
      </c>
      <c r="AI121">
        <v>0</v>
      </c>
      <c r="AJ121">
        <v>375847849.230721</v>
      </c>
    </row>
    <row r="122" spans="1:36" x14ac:dyDescent="0.25">
      <c r="A122" t="s">
        <v>183</v>
      </c>
      <c r="B122" t="s">
        <v>19</v>
      </c>
      <c r="C122">
        <v>1871.21</v>
      </c>
      <c r="D122">
        <v>5341.97</v>
      </c>
      <c r="G122">
        <v>2.7879999999999999E-2</v>
      </c>
      <c r="H122">
        <v>0</v>
      </c>
      <c r="I122">
        <v>313885.81</v>
      </c>
      <c r="J122">
        <v>201226.15</v>
      </c>
      <c r="K122">
        <v>0</v>
      </c>
      <c r="L122">
        <v>282049.05</v>
      </c>
      <c r="M122">
        <v>0</v>
      </c>
      <c r="N122">
        <v>138596.95000000001</v>
      </c>
      <c r="O122">
        <v>32925.730000000003</v>
      </c>
      <c r="P122">
        <v>30842.05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130686.94</v>
      </c>
      <c r="W122">
        <v>0</v>
      </c>
      <c r="X122">
        <v>0</v>
      </c>
      <c r="Y122">
        <v>0</v>
      </c>
      <c r="Z122">
        <v>65854.75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112721.09</v>
      </c>
      <c r="AH122">
        <v>0</v>
      </c>
      <c r="AI122">
        <v>0</v>
      </c>
      <c r="AJ122">
        <v>431599725.355928</v>
      </c>
    </row>
    <row r="123" spans="1:36" x14ac:dyDescent="0.25">
      <c r="A123" t="s">
        <v>184</v>
      </c>
      <c r="B123" t="s">
        <v>19</v>
      </c>
      <c r="C123">
        <v>14553.7</v>
      </c>
      <c r="D123">
        <v>41548.28</v>
      </c>
      <c r="G123">
        <v>0.21684600000000001</v>
      </c>
      <c r="H123">
        <v>0</v>
      </c>
      <c r="I123">
        <v>2006825.36</v>
      </c>
      <c r="J123">
        <v>857863.39</v>
      </c>
      <c r="K123">
        <v>0</v>
      </c>
      <c r="L123">
        <v>1141299.43</v>
      </c>
      <c r="M123">
        <v>0</v>
      </c>
      <c r="N123">
        <v>546499.79</v>
      </c>
      <c r="O123">
        <v>446188.21</v>
      </c>
      <c r="P123">
        <v>415995.96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901610.23</v>
      </c>
      <c r="W123">
        <v>0</v>
      </c>
      <c r="X123">
        <v>0</v>
      </c>
      <c r="Y123">
        <v>0</v>
      </c>
      <c r="Z123">
        <v>43737.51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245614.97</v>
      </c>
      <c r="AH123">
        <v>0</v>
      </c>
      <c r="AI123">
        <v>0</v>
      </c>
      <c r="AJ123">
        <v>2626843715.77985</v>
      </c>
    </row>
    <row r="124" spans="1:36" x14ac:dyDescent="0.25">
      <c r="A124" t="s">
        <v>185</v>
      </c>
      <c r="B124" t="s">
        <v>19</v>
      </c>
      <c r="D124">
        <v>84058.97</v>
      </c>
      <c r="E124">
        <v>29444.52</v>
      </c>
      <c r="G124">
        <v>0.43871500000000002</v>
      </c>
      <c r="H124">
        <v>0</v>
      </c>
      <c r="I124">
        <v>3120892.26</v>
      </c>
      <c r="J124">
        <v>1274541.22</v>
      </c>
      <c r="K124">
        <v>0</v>
      </c>
      <c r="L124">
        <v>3553012.2</v>
      </c>
      <c r="M124">
        <v>0</v>
      </c>
      <c r="N124">
        <v>1301551.46</v>
      </c>
      <c r="O124">
        <v>502979.07</v>
      </c>
      <c r="P124">
        <v>533087.80000000005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1101480.07</v>
      </c>
      <c r="W124">
        <v>0</v>
      </c>
      <c r="X124">
        <v>0</v>
      </c>
      <c r="Y124">
        <v>0</v>
      </c>
      <c r="Z124">
        <v>127428.8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659369.1</v>
      </c>
      <c r="AH124">
        <v>0</v>
      </c>
      <c r="AI124">
        <v>0</v>
      </c>
      <c r="AJ124">
        <v>4328772099.7628698</v>
      </c>
    </row>
    <row r="125" spans="1:36" x14ac:dyDescent="0.25">
      <c r="A125" t="s">
        <v>186</v>
      </c>
      <c r="B125" t="s">
        <v>19</v>
      </c>
      <c r="D125">
        <v>6012.55</v>
      </c>
      <c r="E125">
        <v>2106.1</v>
      </c>
      <c r="G125">
        <v>3.1379999999999998E-2</v>
      </c>
      <c r="H125">
        <v>0</v>
      </c>
      <c r="I125">
        <v>315264.05</v>
      </c>
      <c r="J125">
        <v>197273.03</v>
      </c>
      <c r="K125">
        <v>0</v>
      </c>
      <c r="L125">
        <v>258328.15</v>
      </c>
      <c r="M125">
        <v>0</v>
      </c>
      <c r="N125">
        <v>351959.84</v>
      </c>
      <c r="O125">
        <v>34052.33</v>
      </c>
      <c r="P125">
        <v>35861.68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84433.64</v>
      </c>
      <c r="W125">
        <v>0</v>
      </c>
      <c r="X125">
        <v>0</v>
      </c>
      <c r="Y125">
        <v>0</v>
      </c>
      <c r="Z125">
        <v>64094.3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207497.9</v>
      </c>
      <c r="AH125">
        <v>0</v>
      </c>
      <c r="AI125">
        <v>0</v>
      </c>
      <c r="AJ125">
        <v>701135680.06549597</v>
      </c>
    </row>
    <row r="126" spans="1:36" x14ac:dyDescent="0.25">
      <c r="A126" t="s">
        <v>187</v>
      </c>
      <c r="B126" t="s">
        <v>19</v>
      </c>
      <c r="C126">
        <v>2106.1</v>
      </c>
      <c r="D126">
        <v>6012.55</v>
      </c>
      <c r="G126">
        <v>3.1379999999999998E-2</v>
      </c>
      <c r="H126">
        <v>0</v>
      </c>
      <c r="I126">
        <v>339963.35</v>
      </c>
      <c r="J126">
        <v>197273.03</v>
      </c>
      <c r="K126">
        <v>0</v>
      </c>
      <c r="L126">
        <v>258328.15</v>
      </c>
      <c r="M126">
        <v>0</v>
      </c>
      <c r="N126">
        <v>352221.7</v>
      </c>
      <c r="O126">
        <v>38189.42</v>
      </c>
      <c r="P126">
        <v>35869.870000000003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82959.81</v>
      </c>
      <c r="W126">
        <v>0</v>
      </c>
      <c r="X126">
        <v>0</v>
      </c>
      <c r="Y126">
        <v>0</v>
      </c>
      <c r="Z126">
        <v>64094.3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207493.44</v>
      </c>
      <c r="AH126">
        <v>0</v>
      </c>
      <c r="AI126">
        <v>0</v>
      </c>
      <c r="AJ126">
        <v>773439744.44062996</v>
      </c>
    </row>
    <row r="127" spans="1:36" x14ac:dyDescent="0.25">
      <c r="A127" t="s">
        <v>188</v>
      </c>
      <c r="B127" t="s">
        <v>19</v>
      </c>
      <c r="C127">
        <v>29444.52</v>
      </c>
      <c r="D127">
        <v>84058.97</v>
      </c>
      <c r="G127">
        <v>0.43871500000000002</v>
      </c>
      <c r="H127">
        <v>0</v>
      </c>
      <c r="I127">
        <v>3626131.11</v>
      </c>
      <c r="J127">
        <v>1274541.22</v>
      </c>
      <c r="K127">
        <v>0</v>
      </c>
      <c r="L127">
        <v>3553012.2</v>
      </c>
      <c r="M127">
        <v>0</v>
      </c>
      <c r="N127">
        <v>1301504.6299999999</v>
      </c>
      <c r="O127">
        <v>570216.21</v>
      </c>
      <c r="P127">
        <v>534893.54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1106258.8</v>
      </c>
      <c r="W127">
        <v>0</v>
      </c>
      <c r="X127">
        <v>0</v>
      </c>
      <c r="Y127">
        <v>0</v>
      </c>
      <c r="Z127">
        <v>127428.8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659431.07999999996</v>
      </c>
      <c r="AH127">
        <v>0</v>
      </c>
      <c r="AI127">
        <v>0</v>
      </c>
      <c r="AJ127">
        <v>5306186420.3983402</v>
      </c>
    </row>
    <row r="128" spans="1:36" x14ac:dyDescent="0.25">
      <c r="A128" t="s">
        <v>189</v>
      </c>
      <c r="B128" t="s">
        <v>19</v>
      </c>
      <c r="D128">
        <v>35648.49</v>
      </c>
      <c r="E128">
        <v>12487.1</v>
      </c>
      <c r="G128">
        <v>0.186054</v>
      </c>
      <c r="H128">
        <v>0</v>
      </c>
      <c r="I128">
        <v>1238916.08</v>
      </c>
      <c r="J128">
        <v>350734.07</v>
      </c>
      <c r="K128">
        <v>0</v>
      </c>
      <c r="L128">
        <v>936314.72</v>
      </c>
      <c r="M128">
        <v>0</v>
      </c>
      <c r="N128">
        <v>404672.05</v>
      </c>
      <c r="O128">
        <v>305357.28000000003</v>
      </c>
      <c r="P128">
        <v>324102.92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380325.41</v>
      </c>
      <c r="W128">
        <v>0</v>
      </c>
      <c r="X128">
        <v>0</v>
      </c>
      <c r="Y128">
        <v>0</v>
      </c>
      <c r="Z128">
        <v>68627.600000000006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433598.94</v>
      </c>
      <c r="AH128">
        <v>0</v>
      </c>
      <c r="AI128">
        <v>0</v>
      </c>
      <c r="AJ128">
        <v>1819947901.9790399</v>
      </c>
    </row>
    <row r="129" spans="1:36" x14ac:dyDescent="0.25">
      <c r="A129" t="s">
        <v>190</v>
      </c>
      <c r="B129" t="s">
        <v>18</v>
      </c>
      <c r="D129">
        <v>24616.61</v>
      </c>
      <c r="E129">
        <v>8622.81</v>
      </c>
      <c r="G129">
        <v>0.12847700000000001</v>
      </c>
      <c r="H129">
        <v>0</v>
      </c>
      <c r="I129">
        <v>896638.43</v>
      </c>
      <c r="J129">
        <v>774617.57</v>
      </c>
      <c r="K129">
        <v>0</v>
      </c>
      <c r="L129">
        <v>436518</v>
      </c>
      <c r="M129">
        <v>0</v>
      </c>
      <c r="N129">
        <v>273756.88</v>
      </c>
      <c r="O129">
        <v>133795.10999999999</v>
      </c>
      <c r="P129">
        <v>137796.23000000001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386693.48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160078.79</v>
      </c>
      <c r="AH129">
        <v>0</v>
      </c>
      <c r="AI129">
        <v>0</v>
      </c>
      <c r="AJ129">
        <v>1922744189.4756701</v>
      </c>
    </row>
    <row r="130" spans="1:36" x14ac:dyDescent="0.25">
      <c r="A130" t="s">
        <v>191</v>
      </c>
      <c r="B130" t="s">
        <v>18</v>
      </c>
      <c r="D130">
        <v>2505.4899999999998</v>
      </c>
      <c r="E130">
        <v>877.63</v>
      </c>
      <c r="G130">
        <v>1.3076000000000001E-2</v>
      </c>
      <c r="H130">
        <v>0</v>
      </c>
      <c r="I130">
        <v>41312.22</v>
      </c>
      <c r="J130">
        <v>23792.959999999999</v>
      </c>
      <c r="K130">
        <v>0</v>
      </c>
      <c r="L130">
        <v>29466.65</v>
      </c>
      <c r="M130">
        <v>0</v>
      </c>
      <c r="N130">
        <v>113792.72</v>
      </c>
      <c r="O130">
        <v>10126.56</v>
      </c>
      <c r="P130">
        <v>11094.87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215.89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4298.3500000000004</v>
      </c>
      <c r="AH130">
        <v>0</v>
      </c>
      <c r="AI130">
        <v>0</v>
      </c>
      <c r="AJ130">
        <v>141578039.60859099</v>
      </c>
    </row>
    <row r="131" spans="1:36" x14ac:dyDescent="0.25">
      <c r="A131" t="s">
        <v>192</v>
      </c>
      <c r="B131" t="s">
        <v>19</v>
      </c>
      <c r="C131">
        <v>12487.1</v>
      </c>
      <c r="D131">
        <v>35648.49</v>
      </c>
      <c r="G131">
        <v>0.186054</v>
      </c>
      <c r="H131">
        <v>0</v>
      </c>
      <c r="I131">
        <v>1568611.96</v>
      </c>
      <c r="J131">
        <v>350734.07</v>
      </c>
      <c r="K131">
        <v>0</v>
      </c>
      <c r="L131">
        <v>936314.72</v>
      </c>
      <c r="M131">
        <v>0</v>
      </c>
      <c r="N131">
        <v>404628.98</v>
      </c>
      <c r="O131">
        <v>349495.39</v>
      </c>
      <c r="P131">
        <v>327971.84000000003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381193.14</v>
      </c>
      <c r="W131">
        <v>0</v>
      </c>
      <c r="X131">
        <v>0</v>
      </c>
      <c r="Y131">
        <v>0</v>
      </c>
      <c r="Z131">
        <v>68627.600000000006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433643.07</v>
      </c>
      <c r="AH131">
        <v>0</v>
      </c>
      <c r="AI131">
        <v>0</v>
      </c>
      <c r="AJ131">
        <v>1910288323.4442201</v>
      </c>
    </row>
    <row r="132" spans="1:36" x14ac:dyDescent="0.25">
      <c r="A132" t="s">
        <v>193</v>
      </c>
      <c r="B132" t="s">
        <v>18</v>
      </c>
      <c r="C132">
        <v>877.63</v>
      </c>
      <c r="D132">
        <v>2505.4899999999998</v>
      </c>
      <c r="G132">
        <v>1.3076000000000001E-2</v>
      </c>
      <c r="H132">
        <v>0</v>
      </c>
      <c r="I132">
        <v>65263.4</v>
      </c>
      <c r="J132">
        <v>23792.959999999999</v>
      </c>
      <c r="K132">
        <v>0</v>
      </c>
      <c r="L132">
        <v>29466.65</v>
      </c>
      <c r="M132">
        <v>0</v>
      </c>
      <c r="N132">
        <v>113791.57</v>
      </c>
      <c r="O132">
        <v>15684</v>
      </c>
      <c r="P132">
        <v>13684.48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215.89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4298.3500000000004</v>
      </c>
      <c r="AH132">
        <v>0</v>
      </c>
      <c r="AI132">
        <v>0</v>
      </c>
      <c r="AJ132">
        <v>176384523.23069301</v>
      </c>
    </row>
    <row r="133" spans="1:36" x14ac:dyDescent="0.25">
      <c r="A133" t="s">
        <v>194</v>
      </c>
      <c r="B133" t="s">
        <v>18</v>
      </c>
      <c r="C133">
        <v>8622.81</v>
      </c>
      <c r="D133">
        <v>24616.61</v>
      </c>
      <c r="G133">
        <v>0.12847700000000001</v>
      </c>
      <c r="H133">
        <v>0</v>
      </c>
      <c r="I133">
        <v>939176.56</v>
      </c>
      <c r="J133">
        <v>774617.57</v>
      </c>
      <c r="K133">
        <v>0</v>
      </c>
      <c r="L133">
        <v>436518</v>
      </c>
      <c r="M133">
        <v>0</v>
      </c>
      <c r="N133">
        <v>273613.98</v>
      </c>
      <c r="O133">
        <v>153249.06</v>
      </c>
      <c r="P133">
        <v>141332.60999999999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388801.4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160082.06</v>
      </c>
      <c r="AH133">
        <v>0</v>
      </c>
      <c r="AI133">
        <v>0</v>
      </c>
      <c r="AJ133">
        <v>2017842890.6709001</v>
      </c>
    </row>
    <row r="134" spans="1:36" x14ac:dyDescent="0.25">
      <c r="A134" t="s">
        <v>195</v>
      </c>
      <c r="B134" t="s">
        <v>18</v>
      </c>
      <c r="C134">
        <v>11597.22</v>
      </c>
      <c r="D134">
        <v>33108.050000000003</v>
      </c>
      <c r="G134">
        <v>0.172795</v>
      </c>
      <c r="H134">
        <v>0</v>
      </c>
      <c r="I134">
        <v>1433074.95</v>
      </c>
      <c r="J134">
        <v>463682.79</v>
      </c>
      <c r="K134">
        <v>0</v>
      </c>
      <c r="L134">
        <v>831153.37</v>
      </c>
      <c r="M134">
        <v>0</v>
      </c>
      <c r="N134">
        <v>280777.57</v>
      </c>
      <c r="O134">
        <v>320499.63</v>
      </c>
      <c r="P134">
        <v>300312.61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556089.93000000005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104787.08</v>
      </c>
      <c r="AH134">
        <v>0</v>
      </c>
      <c r="AI134">
        <v>0</v>
      </c>
      <c r="AJ134">
        <v>1990275185.1292801</v>
      </c>
    </row>
    <row r="135" spans="1:36" x14ac:dyDescent="0.25">
      <c r="A135" t="s">
        <v>196</v>
      </c>
      <c r="B135" t="s">
        <v>18</v>
      </c>
      <c r="D135">
        <v>5304.23</v>
      </c>
      <c r="E135">
        <v>1857.99</v>
      </c>
      <c r="G135">
        <v>2.7682999999999999E-2</v>
      </c>
      <c r="H135">
        <v>0</v>
      </c>
      <c r="I135">
        <v>256420.95</v>
      </c>
      <c r="J135">
        <v>201226.15</v>
      </c>
      <c r="K135">
        <v>0</v>
      </c>
      <c r="L135">
        <v>282049.05</v>
      </c>
      <c r="M135">
        <v>0</v>
      </c>
      <c r="N135">
        <v>123101.59</v>
      </c>
      <c r="O135">
        <v>28799.91</v>
      </c>
      <c r="P135">
        <v>29765.9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105576.79</v>
      </c>
      <c r="W135">
        <v>0</v>
      </c>
      <c r="X135">
        <v>0</v>
      </c>
      <c r="Y135">
        <v>0</v>
      </c>
      <c r="Z135">
        <v>65854.75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114283.02</v>
      </c>
      <c r="AH135">
        <v>0</v>
      </c>
      <c r="AI135">
        <v>0</v>
      </c>
      <c r="AJ135">
        <v>364407059.45249599</v>
      </c>
    </row>
    <row r="136" spans="1:36" x14ac:dyDescent="0.25">
      <c r="A136" t="s">
        <v>197</v>
      </c>
      <c r="B136" t="s">
        <v>18</v>
      </c>
      <c r="D136">
        <v>33108.050000000003</v>
      </c>
      <c r="E136">
        <v>11597.22</v>
      </c>
      <c r="G136">
        <v>0.172795</v>
      </c>
      <c r="H136">
        <v>0</v>
      </c>
      <c r="I136">
        <v>1153669.7</v>
      </c>
      <c r="J136">
        <v>463682.79</v>
      </c>
      <c r="K136">
        <v>0</v>
      </c>
      <c r="L136">
        <v>831153.37</v>
      </c>
      <c r="M136">
        <v>0</v>
      </c>
      <c r="N136">
        <v>278976.19</v>
      </c>
      <c r="O136">
        <v>277528.7</v>
      </c>
      <c r="P136">
        <v>297676.21999999997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557799.43000000005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104785.89</v>
      </c>
      <c r="AH136">
        <v>0</v>
      </c>
      <c r="AI136">
        <v>0</v>
      </c>
      <c r="AJ136">
        <v>1527407985.83145</v>
      </c>
    </row>
    <row r="137" spans="1:36" x14ac:dyDescent="0.25">
      <c r="A137" t="s">
        <v>198</v>
      </c>
      <c r="B137" t="s">
        <v>18</v>
      </c>
      <c r="C137">
        <v>1857.99</v>
      </c>
      <c r="D137">
        <v>5304.23</v>
      </c>
      <c r="G137">
        <v>2.7682999999999999E-2</v>
      </c>
      <c r="H137">
        <v>0</v>
      </c>
      <c r="I137">
        <v>284369.14</v>
      </c>
      <c r="J137">
        <v>201226.15</v>
      </c>
      <c r="K137">
        <v>0</v>
      </c>
      <c r="L137">
        <v>282049.05</v>
      </c>
      <c r="M137">
        <v>0</v>
      </c>
      <c r="N137">
        <v>123117.58</v>
      </c>
      <c r="O137">
        <v>31849.59</v>
      </c>
      <c r="P137">
        <v>29798.560000000001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105550.53</v>
      </c>
      <c r="W137">
        <v>0</v>
      </c>
      <c r="X137">
        <v>0</v>
      </c>
      <c r="Y137">
        <v>0</v>
      </c>
      <c r="Z137">
        <v>65854.75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114281.87</v>
      </c>
      <c r="AH137">
        <v>0</v>
      </c>
      <c r="AI137">
        <v>0</v>
      </c>
      <c r="AJ137">
        <v>413310361.46036297</v>
      </c>
    </row>
    <row r="138" spans="1:36" x14ac:dyDescent="0.25">
      <c r="A138" t="s">
        <v>199</v>
      </c>
      <c r="B138" t="s">
        <v>18</v>
      </c>
      <c r="D138">
        <v>40699.46</v>
      </c>
      <c r="E138">
        <v>14256.37</v>
      </c>
      <c r="G138">
        <v>0.21241599999999999</v>
      </c>
      <c r="H138">
        <v>0</v>
      </c>
      <c r="I138">
        <v>1551909.58</v>
      </c>
      <c r="J138">
        <v>857863.39</v>
      </c>
      <c r="K138">
        <v>0</v>
      </c>
      <c r="L138">
        <v>1141299.43</v>
      </c>
      <c r="M138">
        <v>0</v>
      </c>
      <c r="N138">
        <v>471875.77</v>
      </c>
      <c r="O138">
        <v>375078.28</v>
      </c>
      <c r="P138">
        <v>395652.1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739596.22</v>
      </c>
      <c r="W138">
        <v>0</v>
      </c>
      <c r="X138">
        <v>0</v>
      </c>
      <c r="Y138">
        <v>0</v>
      </c>
      <c r="Z138">
        <v>43737.51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249023.41</v>
      </c>
      <c r="AH138">
        <v>0</v>
      </c>
      <c r="AI138">
        <v>0</v>
      </c>
      <c r="AJ138">
        <v>2246766593.0402298</v>
      </c>
    </row>
    <row r="139" spans="1:36" x14ac:dyDescent="0.25">
      <c r="A139" t="s">
        <v>200</v>
      </c>
      <c r="B139" t="s">
        <v>18</v>
      </c>
      <c r="C139">
        <v>14256.37</v>
      </c>
      <c r="D139">
        <v>40699.46</v>
      </c>
      <c r="G139">
        <v>0.21241599999999999</v>
      </c>
      <c r="H139">
        <v>0</v>
      </c>
      <c r="I139">
        <v>1824135.7</v>
      </c>
      <c r="J139">
        <v>857863.39</v>
      </c>
      <c r="K139">
        <v>0</v>
      </c>
      <c r="L139">
        <v>1141299.43</v>
      </c>
      <c r="M139">
        <v>0</v>
      </c>
      <c r="N139">
        <v>472077.41</v>
      </c>
      <c r="O139">
        <v>435106.53</v>
      </c>
      <c r="P139">
        <v>403975.13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730856.31</v>
      </c>
      <c r="W139">
        <v>0</v>
      </c>
      <c r="X139">
        <v>0</v>
      </c>
      <c r="Y139">
        <v>0</v>
      </c>
      <c r="Z139">
        <v>43737.51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249031.9</v>
      </c>
      <c r="AH139">
        <v>0</v>
      </c>
      <c r="AI139">
        <v>0</v>
      </c>
      <c r="AJ139">
        <v>2474954366.0676198</v>
      </c>
    </row>
    <row r="140" spans="1:36" x14ac:dyDescent="0.25">
      <c r="A140" t="s">
        <v>201</v>
      </c>
      <c r="B140" t="s">
        <v>18</v>
      </c>
      <c r="D140">
        <v>5855.28</v>
      </c>
      <c r="E140">
        <v>2051.0100000000002</v>
      </c>
      <c r="G140">
        <v>3.056E-2</v>
      </c>
      <c r="H140">
        <v>0</v>
      </c>
      <c r="I140">
        <v>260619.36</v>
      </c>
      <c r="J140">
        <v>197273.03</v>
      </c>
      <c r="K140">
        <v>0</v>
      </c>
      <c r="L140">
        <v>258328.15</v>
      </c>
      <c r="M140">
        <v>0</v>
      </c>
      <c r="N140">
        <v>334658.03999999998</v>
      </c>
      <c r="O140">
        <v>31951.74</v>
      </c>
      <c r="P140">
        <v>34160.980000000003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66094.880000000005</v>
      </c>
      <c r="W140">
        <v>0</v>
      </c>
      <c r="X140">
        <v>0</v>
      </c>
      <c r="Y140">
        <v>0</v>
      </c>
      <c r="Z140">
        <v>64094.3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210399.61</v>
      </c>
      <c r="AH140">
        <v>0</v>
      </c>
      <c r="AI140">
        <v>0</v>
      </c>
      <c r="AJ140">
        <v>621844273.00874496</v>
      </c>
    </row>
    <row r="141" spans="1:36" x14ac:dyDescent="0.25">
      <c r="A141" t="s">
        <v>202</v>
      </c>
      <c r="B141" t="s">
        <v>18</v>
      </c>
      <c r="C141">
        <v>2051.0100000000002</v>
      </c>
      <c r="D141">
        <v>5855.28</v>
      </c>
      <c r="G141">
        <v>3.056E-2</v>
      </c>
      <c r="H141">
        <v>0</v>
      </c>
      <c r="I141">
        <v>300041.8</v>
      </c>
      <c r="J141">
        <v>197273.03</v>
      </c>
      <c r="K141">
        <v>0</v>
      </c>
      <c r="L141">
        <v>258328.15</v>
      </c>
      <c r="M141">
        <v>0</v>
      </c>
      <c r="N141">
        <v>334829.65000000002</v>
      </c>
      <c r="O141">
        <v>36460.99</v>
      </c>
      <c r="P141">
        <v>34206.660000000003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65832.149999999994</v>
      </c>
      <c r="W141">
        <v>0</v>
      </c>
      <c r="X141">
        <v>0</v>
      </c>
      <c r="Y141">
        <v>0</v>
      </c>
      <c r="Z141">
        <v>64094.3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210398.35</v>
      </c>
      <c r="AH141">
        <v>0</v>
      </c>
      <c r="AI141">
        <v>0</v>
      </c>
      <c r="AJ141">
        <v>711321520.96908402</v>
      </c>
    </row>
    <row r="142" spans="1:36" x14ac:dyDescent="0.25">
      <c r="A142" t="s">
        <v>203</v>
      </c>
      <c r="B142" t="s">
        <v>18</v>
      </c>
      <c r="D142">
        <v>82729.37</v>
      </c>
      <c r="E142">
        <v>28978.78</v>
      </c>
      <c r="G142">
        <v>0.43177599999999999</v>
      </c>
      <c r="H142">
        <v>0</v>
      </c>
      <c r="I142">
        <v>2846421.33</v>
      </c>
      <c r="J142">
        <v>1274541.22</v>
      </c>
      <c r="K142">
        <v>0</v>
      </c>
      <c r="L142">
        <v>3553012.2</v>
      </c>
      <c r="M142">
        <v>0</v>
      </c>
      <c r="N142">
        <v>1223243.28</v>
      </c>
      <c r="O142">
        <v>480392.2</v>
      </c>
      <c r="P142">
        <v>509303.44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940257.93</v>
      </c>
      <c r="W142">
        <v>0</v>
      </c>
      <c r="X142">
        <v>0</v>
      </c>
      <c r="Y142">
        <v>0</v>
      </c>
      <c r="Z142">
        <v>127428.8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668519.11</v>
      </c>
      <c r="AH142">
        <v>0</v>
      </c>
      <c r="AI142">
        <v>0</v>
      </c>
      <c r="AJ142">
        <v>4081664503.5794802</v>
      </c>
    </row>
    <row r="143" spans="1:36" x14ac:dyDescent="0.25">
      <c r="A143" t="s">
        <v>204</v>
      </c>
      <c r="B143" t="s">
        <v>17</v>
      </c>
      <c r="D143">
        <v>23521.25</v>
      </c>
      <c r="E143">
        <v>8239.1200000000008</v>
      </c>
      <c r="G143">
        <v>0.122761</v>
      </c>
      <c r="H143">
        <v>0</v>
      </c>
      <c r="I143">
        <v>848652.35</v>
      </c>
      <c r="J143">
        <v>774617.57</v>
      </c>
      <c r="K143">
        <v>0</v>
      </c>
      <c r="L143">
        <v>436518</v>
      </c>
      <c r="M143">
        <v>0</v>
      </c>
      <c r="N143">
        <v>277105.5</v>
      </c>
      <c r="O143">
        <v>131743.54</v>
      </c>
      <c r="P143">
        <v>135418.57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316984.67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160360.87</v>
      </c>
      <c r="AH143">
        <v>0</v>
      </c>
      <c r="AI143">
        <v>0</v>
      </c>
      <c r="AJ143">
        <v>2080774574.10794</v>
      </c>
    </row>
    <row r="144" spans="1:36" x14ac:dyDescent="0.25">
      <c r="A144" t="s">
        <v>205</v>
      </c>
      <c r="B144" t="s">
        <v>18</v>
      </c>
      <c r="D144">
        <v>35165.43</v>
      </c>
      <c r="E144">
        <v>12317.89</v>
      </c>
      <c r="G144">
        <v>0.183533</v>
      </c>
      <c r="H144">
        <v>0</v>
      </c>
      <c r="I144">
        <v>982157.24</v>
      </c>
      <c r="J144">
        <v>350734.07</v>
      </c>
      <c r="K144">
        <v>0</v>
      </c>
      <c r="L144">
        <v>936314.72</v>
      </c>
      <c r="M144">
        <v>0</v>
      </c>
      <c r="N144">
        <v>325090.01</v>
      </c>
      <c r="O144">
        <v>293306.18</v>
      </c>
      <c r="P144">
        <v>315030.58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204240.78</v>
      </c>
      <c r="W144">
        <v>0</v>
      </c>
      <c r="X144">
        <v>0</v>
      </c>
      <c r="Y144">
        <v>0</v>
      </c>
      <c r="Z144">
        <v>68627.600000000006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439685.55</v>
      </c>
      <c r="AH144">
        <v>0</v>
      </c>
      <c r="AI144">
        <v>0</v>
      </c>
      <c r="AJ144">
        <v>1443389453.5013101</v>
      </c>
    </row>
    <row r="145" spans="1:36" x14ac:dyDescent="0.25">
      <c r="A145" t="s">
        <v>206</v>
      </c>
      <c r="B145" t="s">
        <v>17</v>
      </c>
      <c r="C145">
        <v>8239.1200000000008</v>
      </c>
      <c r="D145">
        <v>23521.25</v>
      </c>
      <c r="G145">
        <v>0.122761</v>
      </c>
      <c r="H145">
        <v>0</v>
      </c>
      <c r="I145">
        <v>894199.43</v>
      </c>
      <c r="J145">
        <v>774617.57</v>
      </c>
      <c r="K145">
        <v>0</v>
      </c>
      <c r="L145">
        <v>436518</v>
      </c>
      <c r="M145">
        <v>0</v>
      </c>
      <c r="N145">
        <v>276858.93</v>
      </c>
      <c r="O145">
        <v>149410.89000000001</v>
      </c>
      <c r="P145">
        <v>138637.85999999999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322058.06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160360.91</v>
      </c>
      <c r="AH145">
        <v>0</v>
      </c>
      <c r="AI145">
        <v>0</v>
      </c>
      <c r="AJ145">
        <v>2126943984.66644</v>
      </c>
    </row>
    <row r="146" spans="1:36" x14ac:dyDescent="0.25">
      <c r="A146" t="s">
        <v>207</v>
      </c>
      <c r="B146" t="s">
        <v>18</v>
      </c>
      <c r="C146">
        <v>28978.78</v>
      </c>
      <c r="D146">
        <v>82729.37</v>
      </c>
      <c r="G146">
        <v>0.43177599999999999</v>
      </c>
      <c r="H146">
        <v>0</v>
      </c>
      <c r="I146">
        <v>3306539.81</v>
      </c>
      <c r="J146">
        <v>1274541.22</v>
      </c>
      <c r="K146">
        <v>0</v>
      </c>
      <c r="L146">
        <v>3553012.2</v>
      </c>
      <c r="M146">
        <v>0</v>
      </c>
      <c r="N146">
        <v>1223412.8400000001</v>
      </c>
      <c r="O146">
        <v>546512.82999999996</v>
      </c>
      <c r="P146">
        <v>511290.61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944485.08</v>
      </c>
      <c r="W146">
        <v>0</v>
      </c>
      <c r="X146">
        <v>0</v>
      </c>
      <c r="Y146">
        <v>0</v>
      </c>
      <c r="Z146">
        <v>127428.8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668760.93000000005</v>
      </c>
      <c r="AH146">
        <v>0</v>
      </c>
      <c r="AI146">
        <v>0</v>
      </c>
      <c r="AJ146">
        <v>4947875351.1533499</v>
      </c>
    </row>
    <row r="147" spans="1:36" x14ac:dyDescent="0.25">
      <c r="A147" t="s">
        <v>208</v>
      </c>
      <c r="B147" t="s">
        <v>18</v>
      </c>
      <c r="C147">
        <v>12317.89</v>
      </c>
      <c r="D147">
        <v>35165.43</v>
      </c>
      <c r="G147">
        <v>0.183533</v>
      </c>
      <c r="H147">
        <v>0</v>
      </c>
      <c r="I147">
        <v>1429957.29</v>
      </c>
      <c r="J147">
        <v>350734.07</v>
      </c>
      <c r="K147">
        <v>0</v>
      </c>
      <c r="L147">
        <v>936314.72</v>
      </c>
      <c r="M147">
        <v>0</v>
      </c>
      <c r="N147">
        <v>324844.38</v>
      </c>
      <c r="O147">
        <v>341239.51</v>
      </c>
      <c r="P147">
        <v>319990.17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207737.42</v>
      </c>
      <c r="W147">
        <v>0</v>
      </c>
      <c r="X147">
        <v>0</v>
      </c>
      <c r="Y147">
        <v>0</v>
      </c>
      <c r="Z147">
        <v>68627.600000000006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439720.13</v>
      </c>
      <c r="AH147">
        <v>0</v>
      </c>
      <c r="AI147">
        <v>0</v>
      </c>
      <c r="AJ147">
        <v>1716578056.1805799</v>
      </c>
    </row>
    <row r="148" spans="1:36" x14ac:dyDescent="0.25">
      <c r="A148" t="s">
        <v>209</v>
      </c>
      <c r="B148" t="s">
        <v>17</v>
      </c>
      <c r="D148">
        <v>2325.15</v>
      </c>
      <c r="E148">
        <v>814.46</v>
      </c>
      <c r="G148">
        <v>1.2135E-2</v>
      </c>
      <c r="H148">
        <v>0</v>
      </c>
      <c r="I148">
        <v>37398.94</v>
      </c>
      <c r="J148">
        <v>23792.959999999999</v>
      </c>
      <c r="K148">
        <v>0</v>
      </c>
      <c r="L148">
        <v>29466.65</v>
      </c>
      <c r="M148">
        <v>0</v>
      </c>
      <c r="N148">
        <v>105524.53</v>
      </c>
      <c r="O148">
        <v>8971.5</v>
      </c>
      <c r="P148">
        <v>9897.44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77.739999999999995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4304.7299999999996</v>
      </c>
      <c r="AH148">
        <v>0</v>
      </c>
      <c r="AI148">
        <v>0</v>
      </c>
      <c r="AJ148">
        <v>129485721.042743</v>
      </c>
    </row>
    <row r="149" spans="1:36" x14ac:dyDescent="0.25">
      <c r="A149" t="s">
        <v>210</v>
      </c>
      <c r="B149" t="s">
        <v>17</v>
      </c>
      <c r="C149">
        <v>814.46</v>
      </c>
      <c r="D149">
        <v>2325.15</v>
      </c>
      <c r="G149">
        <v>1.2135E-2</v>
      </c>
      <c r="H149">
        <v>0</v>
      </c>
      <c r="I149">
        <v>55937.57</v>
      </c>
      <c r="J149">
        <v>23792.959999999999</v>
      </c>
      <c r="K149">
        <v>0</v>
      </c>
      <c r="L149">
        <v>29466.65</v>
      </c>
      <c r="M149">
        <v>0</v>
      </c>
      <c r="N149">
        <v>105526.17</v>
      </c>
      <c r="O149">
        <v>14740.9</v>
      </c>
      <c r="P149">
        <v>13068.72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77.73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4304.7299999999996</v>
      </c>
      <c r="AH149">
        <v>0</v>
      </c>
      <c r="AI149">
        <v>0</v>
      </c>
      <c r="AJ149">
        <v>159465511.28853601</v>
      </c>
    </row>
    <row r="150" spans="1:36" x14ac:dyDescent="0.25">
      <c r="A150" t="s">
        <v>211</v>
      </c>
      <c r="B150" t="s">
        <v>17</v>
      </c>
      <c r="C150">
        <v>10779.37</v>
      </c>
      <c r="D150">
        <v>30773.22</v>
      </c>
      <c r="G150">
        <v>0.16061</v>
      </c>
      <c r="H150">
        <v>0</v>
      </c>
      <c r="I150">
        <v>1355737.28</v>
      </c>
      <c r="J150">
        <v>463682.79</v>
      </c>
      <c r="K150">
        <v>0</v>
      </c>
      <c r="L150">
        <v>831153.37</v>
      </c>
      <c r="M150">
        <v>0</v>
      </c>
      <c r="N150">
        <v>279757.88</v>
      </c>
      <c r="O150">
        <v>312452.73</v>
      </c>
      <c r="P150">
        <v>293480.56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491993.8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104968.26</v>
      </c>
      <c r="AH150">
        <v>0</v>
      </c>
      <c r="AI150">
        <v>0</v>
      </c>
      <c r="AJ150">
        <v>1958838226.0883501</v>
      </c>
    </row>
    <row r="151" spans="1:36" x14ac:dyDescent="0.25">
      <c r="A151" t="s">
        <v>212</v>
      </c>
      <c r="B151" t="s">
        <v>17</v>
      </c>
      <c r="D151">
        <v>30773.22</v>
      </c>
      <c r="E151">
        <v>10779.37</v>
      </c>
      <c r="G151">
        <v>0.16061</v>
      </c>
      <c r="H151">
        <v>0</v>
      </c>
      <c r="I151">
        <v>1130811.83</v>
      </c>
      <c r="J151">
        <v>463682.79</v>
      </c>
      <c r="K151">
        <v>0</v>
      </c>
      <c r="L151">
        <v>831153.37</v>
      </c>
      <c r="M151">
        <v>0</v>
      </c>
      <c r="N151">
        <v>278966.89</v>
      </c>
      <c r="O151">
        <v>271826.37</v>
      </c>
      <c r="P151">
        <v>292240.86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498789.47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104973.84</v>
      </c>
      <c r="AH151">
        <v>0</v>
      </c>
      <c r="AI151">
        <v>0</v>
      </c>
      <c r="AJ151">
        <v>1557283199.4506199</v>
      </c>
    </row>
    <row r="152" spans="1:36" x14ac:dyDescent="0.25">
      <c r="A152" t="s">
        <v>213</v>
      </c>
      <c r="B152" t="s">
        <v>17</v>
      </c>
      <c r="D152">
        <v>4929.2700000000004</v>
      </c>
      <c r="E152">
        <v>1726.65</v>
      </c>
      <c r="G152">
        <v>2.5727E-2</v>
      </c>
      <c r="H152">
        <v>0</v>
      </c>
      <c r="I152">
        <v>258365.98</v>
      </c>
      <c r="J152">
        <v>201226.15</v>
      </c>
      <c r="K152">
        <v>0</v>
      </c>
      <c r="L152">
        <v>282049.05</v>
      </c>
      <c r="M152">
        <v>0</v>
      </c>
      <c r="N152">
        <v>111852.9</v>
      </c>
      <c r="O152">
        <v>28647.25</v>
      </c>
      <c r="P152">
        <v>29209.73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88075.68</v>
      </c>
      <c r="W152">
        <v>0</v>
      </c>
      <c r="X152">
        <v>0</v>
      </c>
      <c r="Y152">
        <v>0</v>
      </c>
      <c r="Z152">
        <v>65854.75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114478.96</v>
      </c>
      <c r="AH152">
        <v>0</v>
      </c>
      <c r="AI152">
        <v>0</v>
      </c>
      <c r="AJ152">
        <v>381033678.66586798</v>
      </c>
    </row>
    <row r="153" spans="1:36" x14ac:dyDescent="0.25">
      <c r="A153" t="s">
        <v>214</v>
      </c>
      <c r="B153" t="s">
        <v>17</v>
      </c>
      <c r="C153">
        <v>1726.65</v>
      </c>
      <c r="D153">
        <v>4929.2700000000004</v>
      </c>
      <c r="G153">
        <v>2.5727E-2</v>
      </c>
      <c r="H153">
        <v>0</v>
      </c>
      <c r="I153">
        <v>270774.34999999998</v>
      </c>
      <c r="J153">
        <v>201226.15</v>
      </c>
      <c r="K153">
        <v>0</v>
      </c>
      <c r="L153">
        <v>282049.05</v>
      </c>
      <c r="M153">
        <v>0</v>
      </c>
      <c r="N153">
        <v>111868.52</v>
      </c>
      <c r="O153">
        <v>31190.09</v>
      </c>
      <c r="P153">
        <v>29222.62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88082.43</v>
      </c>
      <c r="W153">
        <v>0</v>
      </c>
      <c r="X153">
        <v>0</v>
      </c>
      <c r="Y153">
        <v>0</v>
      </c>
      <c r="Z153">
        <v>65854.75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114483.69</v>
      </c>
      <c r="AH153">
        <v>0</v>
      </c>
      <c r="AI153">
        <v>0</v>
      </c>
      <c r="AJ153">
        <v>400423417.22647798</v>
      </c>
    </row>
    <row r="154" spans="1:36" x14ac:dyDescent="0.25">
      <c r="A154" t="s">
        <v>215</v>
      </c>
      <c r="B154" t="s">
        <v>17</v>
      </c>
      <c r="D154">
        <v>38730.120000000003</v>
      </c>
      <c r="E154">
        <v>13566.54</v>
      </c>
      <c r="G154">
        <v>0.20213800000000001</v>
      </c>
      <c r="H154">
        <v>0</v>
      </c>
      <c r="I154">
        <v>1439821.78</v>
      </c>
      <c r="J154">
        <v>857863.39</v>
      </c>
      <c r="K154">
        <v>0</v>
      </c>
      <c r="L154">
        <v>1141299.43</v>
      </c>
      <c r="M154">
        <v>0</v>
      </c>
      <c r="N154">
        <v>409183.65</v>
      </c>
      <c r="O154">
        <v>363494.62</v>
      </c>
      <c r="P154">
        <v>391370.61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545747.41</v>
      </c>
      <c r="W154">
        <v>0</v>
      </c>
      <c r="X154">
        <v>0</v>
      </c>
      <c r="Y154">
        <v>0</v>
      </c>
      <c r="Z154">
        <v>43737.51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249459.29</v>
      </c>
      <c r="AH154">
        <v>0</v>
      </c>
      <c r="AI154">
        <v>0</v>
      </c>
      <c r="AJ154">
        <v>2460465906.3173599</v>
      </c>
    </row>
    <row r="155" spans="1:36" x14ac:dyDescent="0.25">
      <c r="A155" t="s">
        <v>216</v>
      </c>
      <c r="B155" t="s">
        <v>17</v>
      </c>
      <c r="C155">
        <v>1918.23</v>
      </c>
      <c r="D155">
        <v>5476.21</v>
      </c>
      <c r="G155">
        <v>2.8580999999999999E-2</v>
      </c>
      <c r="H155">
        <v>0</v>
      </c>
      <c r="I155">
        <v>256932.55</v>
      </c>
      <c r="J155">
        <v>197273.03</v>
      </c>
      <c r="K155">
        <v>0</v>
      </c>
      <c r="L155">
        <v>258328.15</v>
      </c>
      <c r="M155">
        <v>0</v>
      </c>
      <c r="N155">
        <v>332607.19</v>
      </c>
      <c r="O155">
        <v>34975.46</v>
      </c>
      <c r="P155">
        <v>32888.639999999999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45852.67</v>
      </c>
      <c r="W155">
        <v>0</v>
      </c>
      <c r="X155">
        <v>0</v>
      </c>
      <c r="Y155">
        <v>0</v>
      </c>
      <c r="Z155">
        <v>64094.3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210772.48000000001</v>
      </c>
      <c r="AH155">
        <v>0</v>
      </c>
      <c r="AI155">
        <v>0</v>
      </c>
      <c r="AJ155">
        <v>663049648.01214898</v>
      </c>
    </row>
    <row r="156" spans="1:36" x14ac:dyDescent="0.25">
      <c r="A156" t="s">
        <v>217</v>
      </c>
      <c r="B156" t="s">
        <v>17</v>
      </c>
      <c r="C156">
        <v>13566.54</v>
      </c>
      <c r="D156">
        <v>38730.120000000003</v>
      </c>
      <c r="G156">
        <v>0.20213800000000001</v>
      </c>
      <c r="H156">
        <v>0</v>
      </c>
      <c r="I156">
        <v>1701708.7</v>
      </c>
      <c r="J156">
        <v>857863.39</v>
      </c>
      <c r="K156">
        <v>0</v>
      </c>
      <c r="L156">
        <v>1141299.43</v>
      </c>
      <c r="M156">
        <v>0</v>
      </c>
      <c r="N156">
        <v>411413.69</v>
      </c>
      <c r="O156">
        <v>421911.93</v>
      </c>
      <c r="P156">
        <v>395585.27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525400.80000000005</v>
      </c>
      <c r="W156">
        <v>0</v>
      </c>
      <c r="X156">
        <v>0</v>
      </c>
      <c r="Y156">
        <v>0</v>
      </c>
      <c r="Z156">
        <v>43737.51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249462.94</v>
      </c>
      <c r="AH156">
        <v>0</v>
      </c>
      <c r="AI156">
        <v>0</v>
      </c>
      <c r="AJ156">
        <v>2581295111.4147501</v>
      </c>
    </row>
    <row r="157" spans="1:36" x14ac:dyDescent="0.25">
      <c r="A157" t="s">
        <v>218</v>
      </c>
      <c r="B157" t="s">
        <v>17</v>
      </c>
      <c r="D157">
        <v>5476.21</v>
      </c>
      <c r="E157">
        <v>1918.23</v>
      </c>
      <c r="G157">
        <v>2.8580999999999999E-2</v>
      </c>
      <c r="H157">
        <v>0</v>
      </c>
      <c r="I157">
        <v>233009.09</v>
      </c>
      <c r="J157">
        <v>197273.03</v>
      </c>
      <c r="K157">
        <v>0</v>
      </c>
      <c r="L157">
        <v>258328.15</v>
      </c>
      <c r="M157">
        <v>0</v>
      </c>
      <c r="N157">
        <v>332488.65999999997</v>
      </c>
      <c r="O157">
        <v>31065.46</v>
      </c>
      <c r="P157">
        <v>32868.51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47458.48</v>
      </c>
      <c r="W157">
        <v>0</v>
      </c>
      <c r="X157">
        <v>0</v>
      </c>
      <c r="Y157">
        <v>0</v>
      </c>
      <c r="Z157">
        <v>64094.3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210774.78</v>
      </c>
      <c r="AH157">
        <v>0</v>
      </c>
      <c r="AI157">
        <v>0</v>
      </c>
      <c r="AJ157">
        <v>598609974.00428796</v>
      </c>
    </row>
    <row r="158" spans="1:36" x14ac:dyDescent="0.25">
      <c r="A158" t="s">
        <v>219</v>
      </c>
      <c r="B158" t="s">
        <v>17</v>
      </c>
      <c r="D158">
        <v>32761.73</v>
      </c>
      <c r="E158">
        <v>11475.91</v>
      </c>
      <c r="G158">
        <v>0.170988</v>
      </c>
      <c r="H158">
        <v>0</v>
      </c>
      <c r="I158">
        <v>952329.75</v>
      </c>
      <c r="J158">
        <v>350734.07</v>
      </c>
      <c r="K158">
        <v>0</v>
      </c>
      <c r="L158">
        <v>936314.72</v>
      </c>
      <c r="M158">
        <v>0</v>
      </c>
      <c r="N158">
        <v>325690.06</v>
      </c>
      <c r="O158">
        <v>280886.81</v>
      </c>
      <c r="P158">
        <v>302120.61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166418.81</v>
      </c>
      <c r="W158">
        <v>0</v>
      </c>
      <c r="X158">
        <v>0</v>
      </c>
      <c r="Y158">
        <v>0</v>
      </c>
      <c r="Z158">
        <v>68627.600000000006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440567.05</v>
      </c>
      <c r="AH158">
        <v>0</v>
      </c>
      <c r="AI158">
        <v>0</v>
      </c>
      <c r="AJ158">
        <v>1470041628.2316599</v>
      </c>
    </row>
    <row r="159" spans="1:36" x14ac:dyDescent="0.25">
      <c r="A159" t="s">
        <v>220</v>
      </c>
      <c r="B159" t="s">
        <v>17</v>
      </c>
      <c r="C159">
        <v>27498.13</v>
      </c>
      <c r="D159">
        <v>78502.37</v>
      </c>
      <c r="G159">
        <v>0.409715</v>
      </c>
      <c r="H159">
        <v>0</v>
      </c>
      <c r="I159">
        <v>3118809.08</v>
      </c>
      <c r="J159">
        <v>1274541.22</v>
      </c>
      <c r="K159">
        <v>0</v>
      </c>
      <c r="L159">
        <v>3553012.2</v>
      </c>
      <c r="M159">
        <v>0</v>
      </c>
      <c r="N159">
        <v>1200884.32</v>
      </c>
      <c r="O159">
        <v>535168.64</v>
      </c>
      <c r="P159">
        <v>502429.98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856302.67</v>
      </c>
      <c r="W159">
        <v>0</v>
      </c>
      <c r="X159">
        <v>0</v>
      </c>
      <c r="Y159">
        <v>0</v>
      </c>
      <c r="Z159">
        <v>127428.8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669845.18999999994</v>
      </c>
      <c r="AH159">
        <v>0</v>
      </c>
      <c r="AI159">
        <v>0</v>
      </c>
      <c r="AJ159">
        <v>4738543211.6895304</v>
      </c>
    </row>
    <row r="160" spans="1:36" x14ac:dyDescent="0.25">
      <c r="A160" t="s">
        <v>221</v>
      </c>
      <c r="B160" t="s">
        <v>17</v>
      </c>
      <c r="D160">
        <v>78502.37</v>
      </c>
      <c r="E160">
        <v>27498.13</v>
      </c>
      <c r="G160">
        <v>0.409715</v>
      </c>
      <c r="H160">
        <v>0</v>
      </c>
      <c r="I160">
        <v>2757916.95</v>
      </c>
      <c r="J160">
        <v>1274541.22</v>
      </c>
      <c r="K160">
        <v>0</v>
      </c>
      <c r="L160">
        <v>3553012.2</v>
      </c>
      <c r="M160">
        <v>0</v>
      </c>
      <c r="N160">
        <v>1199956.79</v>
      </c>
      <c r="O160">
        <v>475069.55</v>
      </c>
      <c r="P160">
        <v>501295.04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853637.05</v>
      </c>
      <c r="W160">
        <v>0</v>
      </c>
      <c r="X160">
        <v>0</v>
      </c>
      <c r="Y160">
        <v>0</v>
      </c>
      <c r="Z160">
        <v>127428.8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669785.75</v>
      </c>
      <c r="AH160">
        <v>0</v>
      </c>
      <c r="AI160">
        <v>0</v>
      </c>
      <c r="AJ160">
        <v>4285778727.4356899</v>
      </c>
    </row>
    <row r="161" spans="1:36" x14ac:dyDescent="0.25">
      <c r="A161" t="s">
        <v>222</v>
      </c>
      <c r="B161" t="s">
        <v>17</v>
      </c>
      <c r="C161">
        <v>11475.91</v>
      </c>
      <c r="D161">
        <v>32761.73</v>
      </c>
      <c r="G161">
        <v>0.170988</v>
      </c>
      <c r="H161">
        <v>0</v>
      </c>
      <c r="I161">
        <v>1327208.04</v>
      </c>
      <c r="J161">
        <v>350734.07</v>
      </c>
      <c r="K161">
        <v>0</v>
      </c>
      <c r="L161">
        <v>936314.72</v>
      </c>
      <c r="M161">
        <v>0</v>
      </c>
      <c r="N161">
        <v>325814.03000000003</v>
      </c>
      <c r="O161">
        <v>323279.40000000002</v>
      </c>
      <c r="P161">
        <v>304095.23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166102.47</v>
      </c>
      <c r="W161">
        <v>0</v>
      </c>
      <c r="X161">
        <v>0</v>
      </c>
      <c r="Y161">
        <v>0</v>
      </c>
      <c r="Z161">
        <v>68627.600000000006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440535.58</v>
      </c>
      <c r="AH161">
        <v>0</v>
      </c>
      <c r="AI161">
        <v>0</v>
      </c>
      <c r="AJ161">
        <v>1721510964.1675899</v>
      </c>
    </row>
    <row r="162" spans="1:36" x14ac:dyDescent="0.25">
      <c r="A162" t="s">
        <v>223</v>
      </c>
      <c r="B162" t="s">
        <v>16</v>
      </c>
      <c r="D162">
        <v>22512</v>
      </c>
      <c r="E162">
        <v>7885.59</v>
      </c>
      <c r="G162">
        <v>0.117493</v>
      </c>
      <c r="H162">
        <v>0</v>
      </c>
      <c r="I162">
        <v>730108.13</v>
      </c>
      <c r="J162">
        <v>774617.57</v>
      </c>
      <c r="K162">
        <v>0</v>
      </c>
      <c r="L162">
        <v>436518</v>
      </c>
      <c r="M162">
        <v>0</v>
      </c>
      <c r="N162">
        <v>227618.63</v>
      </c>
      <c r="O162">
        <v>120502.11</v>
      </c>
      <c r="P162">
        <v>125045.98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187208.49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162396.91</v>
      </c>
      <c r="AH162">
        <v>0</v>
      </c>
      <c r="AI162">
        <v>0</v>
      </c>
      <c r="AJ162">
        <v>1879081168.2969601</v>
      </c>
    </row>
    <row r="163" spans="1:36" x14ac:dyDescent="0.25">
      <c r="A163" t="s">
        <v>224</v>
      </c>
      <c r="B163" t="s">
        <v>16</v>
      </c>
      <c r="D163">
        <v>2323.52</v>
      </c>
      <c r="E163">
        <v>813.89</v>
      </c>
      <c r="G163">
        <v>1.2127000000000001E-2</v>
      </c>
      <c r="H163">
        <v>0</v>
      </c>
      <c r="I163">
        <v>30017.95</v>
      </c>
      <c r="J163">
        <v>23792.959999999999</v>
      </c>
      <c r="K163">
        <v>0</v>
      </c>
      <c r="L163">
        <v>29466.65</v>
      </c>
      <c r="M163">
        <v>0</v>
      </c>
      <c r="N163">
        <v>108148.41</v>
      </c>
      <c r="O163">
        <v>8457.7900000000009</v>
      </c>
      <c r="P163">
        <v>9303.33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115.72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4351.87</v>
      </c>
      <c r="AH163">
        <v>0</v>
      </c>
      <c r="AI163">
        <v>0</v>
      </c>
      <c r="AJ163">
        <v>114561401.915198</v>
      </c>
    </row>
    <row r="164" spans="1:36" x14ac:dyDescent="0.25">
      <c r="A164" t="s">
        <v>225</v>
      </c>
      <c r="B164" t="s">
        <v>16</v>
      </c>
      <c r="C164">
        <v>7885.59</v>
      </c>
      <c r="D164">
        <v>22512</v>
      </c>
      <c r="G164">
        <v>0.117493</v>
      </c>
      <c r="H164">
        <v>0</v>
      </c>
      <c r="I164">
        <v>755659.01</v>
      </c>
      <c r="J164">
        <v>774617.57</v>
      </c>
      <c r="K164">
        <v>0</v>
      </c>
      <c r="L164">
        <v>436518</v>
      </c>
      <c r="M164">
        <v>0</v>
      </c>
      <c r="N164">
        <v>227658.66</v>
      </c>
      <c r="O164">
        <v>139215.53</v>
      </c>
      <c r="P164">
        <v>128855.74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189480.48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162393.85999999999</v>
      </c>
      <c r="AH164">
        <v>0</v>
      </c>
      <c r="AI164">
        <v>0</v>
      </c>
      <c r="AJ164">
        <v>1907844656.7614701</v>
      </c>
    </row>
    <row r="165" spans="1:36" x14ac:dyDescent="0.25">
      <c r="A165" t="s">
        <v>226</v>
      </c>
      <c r="B165" t="s">
        <v>16</v>
      </c>
      <c r="C165">
        <v>813.89</v>
      </c>
      <c r="D165">
        <v>2323.52</v>
      </c>
      <c r="G165">
        <v>1.2127000000000001E-2</v>
      </c>
      <c r="H165">
        <v>0</v>
      </c>
      <c r="I165">
        <v>44640.2</v>
      </c>
      <c r="J165">
        <v>23792.959999999999</v>
      </c>
      <c r="K165">
        <v>0</v>
      </c>
      <c r="L165">
        <v>29466.65</v>
      </c>
      <c r="M165">
        <v>0</v>
      </c>
      <c r="N165">
        <v>108147.31</v>
      </c>
      <c r="O165">
        <v>14279.21</v>
      </c>
      <c r="P165">
        <v>12607.38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115.72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4351.87</v>
      </c>
      <c r="AH165">
        <v>0</v>
      </c>
      <c r="AI165">
        <v>0</v>
      </c>
      <c r="AJ165">
        <v>133751214.87320299</v>
      </c>
    </row>
    <row r="166" spans="1:36" x14ac:dyDescent="0.25">
      <c r="A166" t="s">
        <v>227</v>
      </c>
      <c r="B166" t="s">
        <v>16</v>
      </c>
      <c r="D166">
        <v>30575.87</v>
      </c>
      <c r="E166">
        <v>10710.24</v>
      </c>
      <c r="G166">
        <v>0.15958</v>
      </c>
      <c r="H166">
        <v>0</v>
      </c>
      <c r="I166">
        <v>1057465.6100000001</v>
      </c>
      <c r="J166">
        <v>463682.79</v>
      </c>
      <c r="K166">
        <v>0</v>
      </c>
      <c r="L166">
        <v>831153.37</v>
      </c>
      <c r="M166">
        <v>0</v>
      </c>
      <c r="N166">
        <v>253487.47</v>
      </c>
      <c r="O166">
        <v>266537.40000000002</v>
      </c>
      <c r="P166">
        <v>287665.67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410618.59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106295.79</v>
      </c>
      <c r="AH166">
        <v>0</v>
      </c>
      <c r="AI166">
        <v>0</v>
      </c>
      <c r="AJ166">
        <v>1456214409.51529</v>
      </c>
    </row>
    <row r="167" spans="1:36" x14ac:dyDescent="0.25">
      <c r="A167" t="s">
        <v>228</v>
      </c>
      <c r="B167" t="s">
        <v>16</v>
      </c>
      <c r="D167">
        <v>4838.79</v>
      </c>
      <c r="E167">
        <v>1694.95</v>
      </c>
      <c r="G167">
        <v>2.5253999999999999E-2</v>
      </c>
      <c r="H167">
        <v>0</v>
      </c>
      <c r="I167">
        <v>236156.4</v>
      </c>
      <c r="J167">
        <v>201226.15</v>
      </c>
      <c r="K167">
        <v>0</v>
      </c>
      <c r="L167">
        <v>282049.05</v>
      </c>
      <c r="M167">
        <v>0</v>
      </c>
      <c r="N167">
        <v>103252.13</v>
      </c>
      <c r="O167">
        <v>26870.18</v>
      </c>
      <c r="P167">
        <v>27751.09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69251.58</v>
      </c>
      <c r="W167">
        <v>0</v>
      </c>
      <c r="X167">
        <v>0</v>
      </c>
      <c r="Y167">
        <v>0</v>
      </c>
      <c r="Z167">
        <v>65854.75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115935.89</v>
      </c>
      <c r="AH167">
        <v>0</v>
      </c>
      <c r="AI167">
        <v>0</v>
      </c>
      <c r="AJ167">
        <v>332517340.75485802</v>
      </c>
    </row>
    <row r="168" spans="1:36" x14ac:dyDescent="0.25">
      <c r="A168" t="s">
        <v>229</v>
      </c>
      <c r="B168" t="s">
        <v>16</v>
      </c>
      <c r="C168">
        <v>10710.24</v>
      </c>
      <c r="D168">
        <v>30575.87</v>
      </c>
      <c r="G168">
        <v>0.15958</v>
      </c>
      <c r="H168">
        <v>0</v>
      </c>
      <c r="I168">
        <v>1244850.69</v>
      </c>
      <c r="J168">
        <v>463682.79</v>
      </c>
      <c r="K168">
        <v>0</v>
      </c>
      <c r="L168">
        <v>831153.37</v>
      </c>
      <c r="M168">
        <v>0</v>
      </c>
      <c r="N168">
        <v>254474.02</v>
      </c>
      <c r="O168">
        <v>307826.68</v>
      </c>
      <c r="P168">
        <v>289149.82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408826.6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106297.72</v>
      </c>
      <c r="AH168">
        <v>0</v>
      </c>
      <c r="AI168">
        <v>0</v>
      </c>
      <c r="AJ168">
        <v>1636878896.07989</v>
      </c>
    </row>
    <row r="169" spans="1:36" x14ac:dyDescent="0.25">
      <c r="A169" t="s">
        <v>230</v>
      </c>
      <c r="B169" t="s">
        <v>16</v>
      </c>
      <c r="C169">
        <v>1694.95</v>
      </c>
      <c r="D169">
        <v>4838.79</v>
      </c>
      <c r="G169">
        <v>2.5253999999999999E-2</v>
      </c>
      <c r="H169">
        <v>0</v>
      </c>
      <c r="I169">
        <v>243585.64</v>
      </c>
      <c r="J169">
        <v>201226.15</v>
      </c>
      <c r="K169">
        <v>0</v>
      </c>
      <c r="L169">
        <v>282049.05</v>
      </c>
      <c r="M169">
        <v>0</v>
      </c>
      <c r="N169">
        <v>103261.54</v>
      </c>
      <c r="O169">
        <v>29620.54</v>
      </c>
      <c r="P169">
        <v>27768.66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69266.960000000006</v>
      </c>
      <c r="W169">
        <v>0</v>
      </c>
      <c r="X169">
        <v>0</v>
      </c>
      <c r="Y169">
        <v>0</v>
      </c>
      <c r="Z169">
        <v>65854.75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115932.59</v>
      </c>
      <c r="AH169">
        <v>0</v>
      </c>
      <c r="AI169">
        <v>0</v>
      </c>
      <c r="AJ169">
        <v>347567082.35585499</v>
      </c>
    </row>
    <row r="170" spans="1:36" x14ac:dyDescent="0.25">
      <c r="A170" t="s">
        <v>231</v>
      </c>
      <c r="B170" t="s">
        <v>16</v>
      </c>
      <c r="D170">
        <v>37793.910000000003</v>
      </c>
      <c r="E170">
        <v>13238.61</v>
      </c>
      <c r="G170">
        <v>0.19725200000000001</v>
      </c>
      <c r="H170">
        <v>0</v>
      </c>
      <c r="I170">
        <v>1282461.55</v>
      </c>
      <c r="J170">
        <v>857863.39</v>
      </c>
      <c r="K170">
        <v>0</v>
      </c>
      <c r="L170">
        <v>1141299.43</v>
      </c>
      <c r="M170">
        <v>0</v>
      </c>
      <c r="N170">
        <v>350751.15</v>
      </c>
      <c r="O170">
        <v>348853.53</v>
      </c>
      <c r="P170">
        <v>376268.83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366843.68</v>
      </c>
      <c r="W170">
        <v>0</v>
      </c>
      <c r="X170">
        <v>0</v>
      </c>
      <c r="Y170">
        <v>0</v>
      </c>
      <c r="Z170">
        <v>43737.51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252623.1</v>
      </c>
      <c r="AH170">
        <v>0</v>
      </c>
      <c r="AI170">
        <v>0</v>
      </c>
      <c r="AJ170">
        <v>2193659713.0514898</v>
      </c>
    </row>
    <row r="171" spans="1:36" x14ac:dyDescent="0.25">
      <c r="A171" t="s">
        <v>232</v>
      </c>
      <c r="B171" t="s">
        <v>16</v>
      </c>
      <c r="C171">
        <v>1871.91</v>
      </c>
      <c r="D171">
        <v>5343.99</v>
      </c>
      <c r="G171">
        <v>2.7890999999999999E-2</v>
      </c>
      <c r="H171">
        <v>0</v>
      </c>
      <c r="I171">
        <v>229102.42</v>
      </c>
      <c r="J171">
        <v>197273.03</v>
      </c>
      <c r="K171">
        <v>0</v>
      </c>
      <c r="L171">
        <v>258328.15</v>
      </c>
      <c r="M171">
        <v>0</v>
      </c>
      <c r="N171">
        <v>328478.58</v>
      </c>
      <c r="O171">
        <v>33355.1</v>
      </c>
      <c r="P171">
        <v>31355.63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34426.86</v>
      </c>
      <c r="W171">
        <v>0</v>
      </c>
      <c r="X171">
        <v>0</v>
      </c>
      <c r="Y171">
        <v>0</v>
      </c>
      <c r="Z171">
        <v>64094.3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213473.59</v>
      </c>
      <c r="AH171">
        <v>0</v>
      </c>
      <c r="AI171">
        <v>0</v>
      </c>
      <c r="AJ171">
        <v>559391084.025828</v>
      </c>
    </row>
    <row r="172" spans="1:36" x14ac:dyDescent="0.25">
      <c r="A172" t="s">
        <v>233</v>
      </c>
      <c r="B172" t="s">
        <v>16</v>
      </c>
      <c r="D172">
        <v>31945.7</v>
      </c>
      <c r="E172">
        <v>11190.07</v>
      </c>
      <c r="G172">
        <v>0.16672899999999999</v>
      </c>
      <c r="H172">
        <v>0</v>
      </c>
      <c r="I172">
        <v>878658.01</v>
      </c>
      <c r="J172">
        <v>350734.07</v>
      </c>
      <c r="K172">
        <v>0</v>
      </c>
      <c r="L172">
        <v>936314.72</v>
      </c>
      <c r="M172">
        <v>0</v>
      </c>
      <c r="N172">
        <v>303296.08</v>
      </c>
      <c r="O172">
        <v>273088.55</v>
      </c>
      <c r="P172">
        <v>294907.96999999997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102125.54</v>
      </c>
      <c r="W172">
        <v>0</v>
      </c>
      <c r="X172">
        <v>0</v>
      </c>
      <c r="Y172">
        <v>0</v>
      </c>
      <c r="Z172">
        <v>68627.600000000006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446563.07</v>
      </c>
      <c r="AH172">
        <v>0</v>
      </c>
      <c r="AI172">
        <v>0</v>
      </c>
      <c r="AJ172">
        <v>1273419062.81283</v>
      </c>
    </row>
    <row r="173" spans="1:36" x14ac:dyDescent="0.25">
      <c r="A173" t="s">
        <v>234</v>
      </c>
      <c r="B173" t="s">
        <v>16</v>
      </c>
      <c r="D173">
        <v>5343.99</v>
      </c>
      <c r="E173">
        <v>1871.91</v>
      </c>
      <c r="G173">
        <v>2.7890999999999999E-2</v>
      </c>
      <c r="H173">
        <v>0</v>
      </c>
      <c r="I173">
        <v>212650.7</v>
      </c>
      <c r="J173">
        <v>197273.03</v>
      </c>
      <c r="K173">
        <v>0</v>
      </c>
      <c r="L173">
        <v>258328.15</v>
      </c>
      <c r="M173">
        <v>0</v>
      </c>
      <c r="N173">
        <v>328628.5</v>
      </c>
      <c r="O173">
        <v>29512.95</v>
      </c>
      <c r="P173">
        <v>31365.37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35524.85</v>
      </c>
      <c r="W173">
        <v>0</v>
      </c>
      <c r="X173">
        <v>0</v>
      </c>
      <c r="Y173">
        <v>0</v>
      </c>
      <c r="Z173">
        <v>64094.3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213474.56</v>
      </c>
      <c r="AH173">
        <v>0</v>
      </c>
      <c r="AI173">
        <v>0</v>
      </c>
      <c r="AJ173">
        <v>531448465.95458502</v>
      </c>
    </row>
    <row r="174" spans="1:36" x14ac:dyDescent="0.25">
      <c r="A174" t="s">
        <v>235</v>
      </c>
      <c r="B174" t="s">
        <v>16</v>
      </c>
      <c r="C174">
        <v>13238.61</v>
      </c>
      <c r="D174">
        <v>37793.910000000003</v>
      </c>
      <c r="G174">
        <v>0.19725200000000001</v>
      </c>
      <c r="H174">
        <v>0</v>
      </c>
      <c r="I174">
        <v>1545982.61</v>
      </c>
      <c r="J174">
        <v>857863.39</v>
      </c>
      <c r="K174">
        <v>0</v>
      </c>
      <c r="L174">
        <v>1141299.43</v>
      </c>
      <c r="M174">
        <v>0</v>
      </c>
      <c r="N174">
        <v>350635.77</v>
      </c>
      <c r="O174">
        <v>407617.53</v>
      </c>
      <c r="P174">
        <v>381605.1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355594.73</v>
      </c>
      <c r="W174">
        <v>0</v>
      </c>
      <c r="X174">
        <v>0</v>
      </c>
      <c r="Y174">
        <v>0</v>
      </c>
      <c r="Z174">
        <v>43737.51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252628.46</v>
      </c>
      <c r="AH174">
        <v>0</v>
      </c>
      <c r="AI174">
        <v>0</v>
      </c>
      <c r="AJ174">
        <v>2279115165.5387998</v>
      </c>
    </row>
    <row r="175" spans="1:36" x14ac:dyDescent="0.25">
      <c r="A175" t="s">
        <v>236</v>
      </c>
      <c r="B175" t="s">
        <v>16</v>
      </c>
      <c r="D175">
        <v>77085.25</v>
      </c>
      <c r="E175">
        <v>27001.74</v>
      </c>
      <c r="G175">
        <v>0.40231800000000001</v>
      </c>
      <c r="H175">
        <v>0</v>
      </c>
      <c r="I175">
        <v>2477600.44</v>
      </c>
      <c r="J175">
        <v>1274541.22</v>
      </c>
      <c r="K175">
        <v>0</v>
      </c>
      <c r="L175">
        <v>3553012.2</v>
      </c>
      <c r="M175">
        <v>0</v>
      </c>
      <c r="N175">
        <v>1106346.8500000001</v>
      </c>
      <c r="O175">
        <v>446182.66</v>
      </c>
      <c r="P175">
        <v>475914.12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530805.19999999995</v>
      </c>
      <c r="W175">
        <v>0</v>
      </c>
      <c r="X175">
        <v>0</v>
      </c>
      <c r="Y175">
        <v>0</v>
      </c>
      <c r="Z175">
        <v>127428.8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678590.72</v>
      </c>
      <c r="AH175">
        <v>0</v>
      </c>
      <c r="AI175">
        <v>0</v>
      </c>
      <c r="AJ175">
        <v>3632865481.3134699</v>
      </c>
    </row>
    <row r="176" spans="1:36" x14ac:dyDescent="0.25">
      <c r="A176" t="s">
        <v>237</v>
      </c>
      <c r="B176" t="s">
        <v>16</v>
      </c>
      <c r="C176">
        <v>27001.74</v>
      </c>
      <c r="D176">
        <v>77085.25</v>
      </c>
      <c r="G176">
        <v>0.40231800000000001</v>
      </c>
      <c r="H176">
        <v>0</v>
      </c>
      <c r="I176">
        <v>2733098.12</v>
      </c>
      <c r="J176">
        <v>1274541.22</v>
      </c>
      <c r="K176">
        <v>0</v>
      </c>
      <c r="L176">
        <v>3553012.2</v>
      </c>
      <c r="M176">
        <v>0</v>
      </c>
      <c r="N176">
        <v>1106180.1599999999</v>
      </c>
      <c r="O176">
        <v>507912.3</v>
      </c>
      <c r="P176">
        <v>477035.17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534335.22</v>
      </c>
      <c r="W176">
        <v>0</v>
      </c>
      <c r="X176">
        <v>0</v>
      </c>
      <c r="Y176">
        <v>0</v>
      </c>
      <c r="Z176">
        <v>127428.8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678638.88</v>
      </c>
      <c r="AH176">
        <v>0</v>
      </c>
      <c r="AI176">
        <v>0</v>
      </c>
      <c r="AJ176">
        <v>3967525000.6695399</v>
      </c>
    </row>
    <row r="177" spans="1:36" x14ac:dyDescent="0.25">
      <c r="A177" t="s">
        <v>238</v>
      </c>
      <c r="B177" t="s">
        <v>16</v>
      </c>
      <c r="C177">
        <v>11190.07</v>
      </c>
      <c r="D177">
        <v>31945.7</v>
      </c>
      <c r="G177">
        <v>0.16672899999999999</v>
      </c>
      <c r="H177">
        <v>0</v>
      </c>
      <c r="I177">
        <v>1212947.3400000001</v>
      </c>
      <c r="J177">
        <v>350734.07</v>
      </c>
      <c r="K177">
        <v>0</v>
      </c>
      <c r="L177">
        <v>936314.72</v>
      </c>
      <c r="M177">
        <v>0</v>
      </c>
      <c r="N177">
        <v>304531.81</v>
      </c>
      <c r="O177">
        <v>315745.71000000002</v>
      </c>
      <c r="P177">
        <v>297038.83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102830.32</v>
      </c>
      <c r="W177">
        <v>0</v>
      </c>
      <c r="X177">
        <v>0</v>
      </c>
      <c r="Y177">
        <v>0</v>
      </c>
      <c r="Z177">
        <v>68627.600000000006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446568.6</v>
      </c>
      <c r="AH177">
        <v>0</v>
      </c>
      <c r="AI177">
        <v>0</v>
      </c>
      <c r="AJ177">
        <v>1430135714.3174801</v>
      </c>
    </row>
    <row r="178" spans="1:36" x14ac:dyDescent="0.25">
      <c r="A178" t="s">
        <v>239</v>
      </c>
      <c r="B178" t="s">
        <v>15</v>
      </c>
      <c r="D178">
        <v>21066.880000000001</v>
      </c>
      <c r="E178">
        <v>7379.39</v>
      </c>
      <c r="G178">
        <v>0.10995099999999999</v>
      </c>
      <c r="H178">
        <v>0</v>
      </c>
      <c r="I178">
        <v>408362.21</v>
      </c>
      <c r="J178">
        <v>774617.57</v>
      </c>
      <c r="K178">
        <v>0</v>
      </c>
      <c r="L178">
        <v>436518</v>
      </c>
      <c r="M178">
        <v>0</v>
      </c>
      <c r="N178">
        <v>178653.7</v>
      </c>
      <c r="O178">
        <v>88886.94</v>
      </c>
      <c r="P178">
        <v>89666.240000000005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252665.76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176296.6</v>
      </c>
      <c r="AH178">
        <v>0</v>
      </c>
      <c r="AI178">
        <v>0</v>
      </c>
      <c r="AJ178">
        <v>1721019157.40026</v>
      </c>
    </row>
    <row r="179" spans="1:36" x14ac:dyDescent="0.25">
      <c r="A179" t="s">
        <v>240</v>
      </c>
      <c r="B179" t="s">
        <v>15</v>
      </c>
      <c r="D179">
        <v>2273.9</v>
      </c>
      <c r="E179">
        <v>796.51</v>
      </c>
      <c r="G179">
        <v>1.1868E-2</v>
      </c>
      <c r="H179">
        <v>0</v>
      </c>
      <c r="I179">
        <v>18733.98</v>
      </c>
      <c r="J179">
        <v>23792.959999999999</v>
      </c>
      <c r="K179">
        <v>0</v>
      </c>
      <c r="L179">
        <v>29466.65</v>
      </c>
      <c r="M179">
        <v>0</v>
      </c>
      <c r="N179">
        <v>106239.22</v>
      </c>
      <c r="O179">
        <v>6904.59</v>
      </c>
      <c r="P179">
        <v>6744.67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1605.08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4673.0200000000004</v>
      </c>
      <c r="AH179">
        <v>0</v>
      </c>
      <c r="AI179">
        <v>0</v>
      </c>
      <c r="AJ179">
        <v>115446318.558943</v>
      </c>
    </row>
    <row r="180" spans="1:36" x14ac:dyDescent="0.25">
      <c r="A180" t="s">
        <v>241</v>
      </c>
      <c r="B180" t="s">
        <v>15</v>
      </c>
      <c r="C180">
        <v>796.51</v>
      </c>
      <c r="D180">
        <v>2273.9</v>
      </c>
      <c r="G180">
        <v>1.1868E-2</v>
      </c>
      <c r="H180">
        <v>0</v>
      </c>
      <c r="I180">
        <v>26354.46</v>
      </c>
      <c r="J180">
        <v>23792.959999999999</v>
      </c>
      <c r="K180">
        <v>0</v>
      </c>
      <c r="L180">
        <v>29466.65</v>
      </c>
      <c r="M180">
        <v>0</v>
      </c>
      <c r="N180">
        <v>106238.94</v>
      </c>
      <c r="O180">
        <v>12157.28</v>
      </c>
      <c r="P180">
        <v>9363.7000000000007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1604.82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4673.0200000000004</v>
      </c>
      <c r="AH180">
        <v>0</v>
      </c>
      <c r="AI180">
        <v>0</v>
      </c>
      <c r="AJ180">
        <v>131529768.98656701</v>
      </c>
    </row>
    <row r="181" spans="1:36" x14ac:dyDescent="0.25">
      <c r="A181" t="s">
        <v>242</v>
      </c>
      <c r="B181" t="s">
        <v>15</v>
      </c>
      <c r="C181">
        <v>7379.39</v>
      </c>
      <c r="D181">
        <v>21066.880000000001</v>
      </c>
      <c r="G181">
        <v>0.10995099999999999</v>
      </c>
      <c r="H181">
        <v>0</v>
      </c>
      <c r="I181">
        <v>429153.77</v>
      </c>
      <c r="J181">
        <v>774617.57</v>
      </c>
      <c r="K181">
        <v>0</v>
      </c>
      <c r="L181">
        <v>436518</v>
      </c>
      <c r="M181">
        <v>0</v>
      </c>
      <c r="N181">
        <v>178834.68</v>
      </c>
      <c r="O181">
        <v>107872.49</v>
      </c>
      <c r="P181">
        <v>94872.68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253357.64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176293.56</v>
      </c>
      <c r="AH181">
        <v>0</v>
      </c>
      <c r="AI181">
        <v>0</v>
      </c>
      <c r="AJ181">
        <v>1727174374.70525</v>
      </c>
    </row>
    <row r="182" spans="1:36" x14ac:dyDescent="0.25">
      <c r="A182" t="s">
        <v>243</v>
      </c>
      <c r="B182" t="s">
        <v>15</v>
      </c>
      <c r="D182">
        <v>30217.01</v>
      </c>
      <c r="E182">
        <v>10584.54</v>
      </c>
      <c r="G182">
        <v>0.15770700000000001</v>
      </c>
      <c r="H182">
        <v>0</v>
      </c>
      <c r="I182">
        <v>582132.86</v>
      </c>
      <c r="J182">
        <v>463682.79</v>
      </c>
      <c r="K182">
        <v>0</v>
      </c>
      <c r="L182">
        <v>831153.37</v>
      </c>
      <c r="M182">
        <v>0</v>
      </c>
      <c r="N182">
        <v>214578.89</v>
      </c>
      <c r="O182">
        <v>196968.7</v>
      </c>
      <c r="P182">
        <v>206327.71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554526.21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115374.26</v>
      </c>
      <c r="AH182">
        <v>0</v>
      </c>
      <c r="AI182">
        <v>0</v>
      </c>
      <c r="AJ182">
        <v>1513528330.0994899</v>
      </c>
    </row>
    <row r="183" spans="1:36" x14ac:dyDescent="0.25">
      <c r="A183" t="s">
        <v>244</v>
      </c>
      <c r="B183" t="s">
        <v>15</v>
      </c>
      <c r="C183">
        <v>10584.54</v>
      </c>
      <c r="D183">
        <v>30217.01</v>
      </c>
      <c r="G183">
        <v>0.15770700000000001</v>
      </c>
      <c r="H183">
        <v>0</v>
      </c>
      <c r="I183">
        <v>707430.33</v>
      </c>
      <c r="J183">
        <v>463682.79</v>
      </c>
      <c r="K183">
        <v>0</v>
      </c>
      <c r="L183">
        <v>831153.37</v>
      </c>
      <c r="M183">
        <v>0</v>
      </c>
      <c r="N183">
        <v>215277.63</v>
      </c>
      <c r="O183">
        <v>232980.66</v>
      </c>
      <c r="P183">
        <v>210536.27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552310.99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115373.97</v>
      </c>
      <c r="AH183">
        <v>0</v>
      </c>
      <c r="AI183">
        <v>0</v>
      </c>
      <c r="AJ183">
        <v>1769494770.7680399</v>
      </c>
    </row>
    <row r="184" spans="1:36" x14ac:dyDescent="0.25">
      <c r="A184" t="s">
        <v>245</v>
      </c>
      <c r="B184" t="s">
        <v>15</v>
      </c>
      <c r="C184">
        <v>1625.83</v>
      </c>
      <c r="D184">
        <v>4641.45</v>
      </c>
      <c r="G184">
        <v>2.4223999999999999E-2</v>
      </c>
      <c r="H184">
        <v>0</v>
      </c>
      <c r="I184">
        <v>144597.54</v>
      </c>
      <c r="J184">
        <v>201226.15</v>
      </c>
      <c r="K184">
        <v>0</v>
      </c>
      <c r="L184">
        <v>282049.05</v>
      </c>
      <c r="M184">
        <v>0</v>
      </c>
      <c r="N184">
        <v>92316.81</v>
      </c>
      <c r="O184">
        <v>19690.830000000002</v>
      </c>
      <c r="P184">
        <v>17856.21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98956.67</v>
      </c>
      <c r="W184">
        <v>0</v>
      </c>
      <c r="X184">
        <v>0</v>
      </c>
      <c r="Y184">
        <v>0</v>
      </c>
      <c r="Z184">
        <v>65854.75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125832.03</v>
      </c>
      <c r="AH184">
        <v>0</v>
      </c>
      <c r="AI184">
        <v>0</v>
      </c>
      <c r="AJ184">
        <v>412082466.745314</v>
      </c>
    </row>
    <row r="185" spans="1:36" x14ac:dyDescent="0.25">
      <c r="A185" t="s">
        <v>246</v>
      </c>
      <c r="B185" t="s">
        <v>15</v>
      </c>
      <c r="D185">
        <v>4641.45</v>
      </c>
      <c r="E185">
        <v>1625.83</v>
      </c>
      <c r="G185">
        <v>2.4223999999999999E-2</v>
      </c>
      <c r="H185">
        <v>0</v>
      </c>
      <c r="I185">
        <v>137597.88</v>
      </c>
      <c r="J185">
        <v>201226.15</v>
      </c>
      <c r="K185">
        <v>0</v>
      </c>
      <c r="L185">
        <v>282049.05</v>
      </c>
      <c r="M185">
        <v>0</v>
      </c>
      <c r="N185">
        <v>92196.27</v>
      </c>
      <c r="O185">
        <v>17714.990000000002</v>
      </c>
      <c r="P185">
        <v>17781.37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98893.35</v>
      </c>
      <c r="W185">
        <v>0</v>
      </c>
      <c r="X185">
        <v>0</v>
      </c>
      <c r="Y185">
        <v>0</v>
      </c>
      <c r="Z185">
        <v>65854.75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125830.61</v>
      </c>
      <c r="AH185">
        <v>0</v>
      </c>
      <c r="AI185">
        <v>0</v>
      </c>
      <c r="AJ185">
        <v>387873265.90719497</v>
      </c>
    </row>
    <row r="186" spans="1:36" x14ac:dyDescent="0.25">
      <c r="A186" t="s">
        <v>247</v>
      </c>
      <c r="B186" t="s">
        <v>15</v>
      </c>
      <c r="D186">
        <v>36319.089999999997</v>
      </c>
      <c r="E186">
        <v>12722</v>
      </c>
      <c r="G186">
        <v>0.189554</v>
      </c>
      <c r="H186">
        <v>0</v>
      </c>
      <c r="I186">
        <v>746069.97</v>
      </c>
      <c r="J186">
        <v>857863.39</v>
      </c>
      <c r="K186">
        <v>0</v>
      </c>
      <c r="L186">
        <v>1141299.43</v>
      </c>
      <c r="M186">
        <v>0</v>
      </c>
      <c r="N186">
        <v>334200.8</v>
      </c>
      <c r="O186">
        <v>310323.93</v>
      </c>
      <c r="P186">
        <v>320180.58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558461.1</v>
      </c>
      <c r="W186">
        <v>0</v>
      </c>
      <c r="X186">
        <v>0</v>
      </c>
      <c r="Y186">
        <v>0</v>
      </c>
      <c r="Z186">
        <v>43737.51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274267.07</v>
      </c>
      <c r="AH186">
        <v>0</v>
      </c>
      <c r="AI186">
        <v>0</v>
      </c>
      <c r="AJ186">
        <v>2144209207.01511</v>
      </c>
    </row>
    <row r="187" spans="1:36" x14ac:dyDescent="0.25">
      <c r="A187" t="s">
        <v>248</v>
      </c>
      <c r="B187" t="s">
        <v>15</v>
      </c>
      <c r="C187">
        <v>12722</v>
      </c>
      <c r="D187">
        <v>36319.089999999997</v>
      </c>
      <c r="G187">
        <v>0.189554</v>
      </c>
      <c r="H187">
        <v>0</v>
      </c>
      <c r="I187">
        <v>930906.33</v>
      </c>
      <c r="J187">
        <v>857863.39</v>
      </c>
      <c r="K187">
        <v>0</v>
      </c>
      <c r="L187">
        <v>1141299.43</v>
      </c>
      <c r="M187">
        <v>0</v>
      </c>
      <c r="N187">
        <v>335171.09999999998</v>
      </c>
      <c r="O187">
        <v>372012.3</v>
      </c>
      <c r="P187">
        <v>333479.17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550871.74</v>
      </c>
      <c r="W187">
        <v>0</v>
      </c>
      <c r="X187">
        <v>0</v>
      </c>
      <c r="Y187">
        <v>0</v>
      </c>
      <c r="Z187">
        <v>43737.51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274264.18</v>
      </c>
      <c r="AH187">
        <v>0</v>
      </c>
      <c r="AI187">
        <v>0</v>
      </c>
      <c r="AJ187">
        <v>2199100243.9850402</v>
      </c>
    </row>
    <row r="188" spans="1:36" x14ac:dyDescent="0.25">
      <c r="A188" t="s">
        <v>249</v>
      </c>
      <c r="B188" t="s">
        <v>15</v>
      </c>
      <c r="D188">
        <v>5105.82</v>
      </c>
      <c r="E188">
        <v>1788.49</v>
      </c>
      <c r="G188">
        <v>2.6648000000000002E-2</v>
      </c>
      <c r="H188">
        <v>0</v>
      </c>
      <c r="I188">
        <v>131945.31</v>
      </c>
      <c r="J188">
        <v>197273.03</v>
      </c>
      <c r="K188">
        <v>0</v>
      </c>
      <c r="L188">
        <v>258328.15</v>
      </c>
      <c r="M188">
        <v>0</v>
      </c>
      <c r="N188">
        <v>339259.77</v>
      </c>
      <c r="O188">
        <v>20762.89</v>
      </c>
      <c r="P188">
        <v>21753.73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87090.41</v>
      </c>
      <c r="W188">
        <v>0</v>
      </c>
      <c r="X188">
        <v>0</v>
      </c>
      <c r="Y188">
        <v>0</v>
      </c>
      <c r="Z188">
        <v>64094.3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231746.62</v>
      </c>
      <c r="AH188">
        <v>0</v>
      </c>
      <c r="AI188">
        <v>0</v>
      </c>
      <c r="AJ188">
        <v>567736781.42712295</v>
      </c>
    </row>
    <row r="189" spans="1:36" x14ac:dyDescent="0.25">
      <c r="A189" t="s">
        <v>250</v>
      </c>
      <c r="B189" t="s">
        <v>15</v>
      </c>
      <c r="C189">
        <v>10732.08</v>
      </c>
      <c r="D189">
        <v>30638.23</v>
      </c>
      <c r="G189">
        <v>0.15990499999999999</v>
      </c>
      <c r="H189">
        <v>0</v>
      </c>
      <c r="I189">
        <v>751853.37</v>
      </c>
      <c r="J189">
        <v>350734.07</v>
      </c>
      <c r="K189">
        <v>0</v>
      </c>
      <c r="L189">
        <v>936314.72</v>
      </c>
      <c r="M189">
        <v>0</v>
      </c>
      <c r="N189">
        <v>266586.45</v>
      </c>
      <c r="O189">
        <v>279146.83</v>
      </c>
      <c r="P189">
        <v>256872.54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174554.05</v>
      </c>
      <c r="W189">
        <v>0</v>
      </c>
      <c r="X189">
        <v>0</v>
      </c>
      <c r="Y189">
        <v>0</v>
      </c>
      <c r="Z189">
        <v>68627.600000000006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485038.18</v>
      </c>
      <c r="AH189">
        <v>0</v>
      </c>
      <c r="AI189">
        <v>0</v>
      </c>
      <c r="AJ189">
        <v>1437974802.8610899</v>
      </c>
    </row>
    <row r="190" spans="1:36" x14ac:dyDescent="0.25">
      <c r="A190" t="s">
        <v>251</v>
      </c>
      <c r="B190" t="s">
        <v>15</v>
      </c>
      <c r="C190">
        <v>1788.49</v>
      </c>
      <c r="D190">
        <v>5105.82</v>
      </c>
      <c r="G190">
        <v>2.6648000000000002E-2</v>
      </c>
      <c r="H190">
        <v>0</v>
      </c>
      <c r="I190">
        <v>143168.95999999999</v>
      </c>
      <c r="J190">
        <v>197273.03</v>
      </c>
      <c r="K190">
        <v>0</v>
      </c>
      <c r="L190">
        <v>258328.15</v>
      </c>
      <c r="M190">
        <v>0</v>
      </c>
      <c r="N190">
        <v>339231.36</v>
      </c>
      <c r="O190">
        <v>23696.32</v>
      </c>
      <c r="P190">
        <v>21823.84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86779.33</v>
      </c>
      <c r="W190">
        <v>0</v>
      </c>
      <c r="X190">
        <v>0</v>
      </c>
      <c r="Y190">
        <v>0</v>
      </c>
      <c r="Z190">
        <v>64094.3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231753.71</v>
      </c>
      <c r="AH190">
        <v>0</v>
      </c>
      <c r="AI190">
        <v>0</v>
      </c>
      <c r="AJ190">
        <v>608328931.82084501</v>
      </c>
    </row>
    <row r="191" spans="1:36" x14ac:dyDescent="0.25">
      <c r="A191" t="s">
        <v>252</v>
      </c>
      <c r="B191" t="s">
        <v>15</v>
      </c>
      <c r="D191">
        <v>74767.08</v>
      </c>
      <c r="E191">
        <v>26189.72</v>
      </c>
      <c r="G191">
        <v>0.39022000000000001</v>
      </c>
      <c r="H191">
        <v>0</v>
      </c>
      <c r="I191">
        <v>1376068.88</v>
      </c>
      <c r="J191">
        <v>1274541.22</v>
      </c>
      <c r="K191">
        <v>0</v>
      </c>
      <c r="L191">
        <v>3553012.2</v>
      </c>
      <c r="M191">
        <v>0</v>
      </c>
      <c r="N191">
        <v>1006475.26</v>
      </c>
      <c r="O191">
        <v>297688.55</v>
      </c>
      <c r="P191">
        <v>309485.7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713385.48</v>
      </c>
      <c r="W191">
        <v>0</v>
      </c>
      <c r="X191">
        <v>0</v>
      </c>
      <c r="Y191">
        <v>0</v>
      </c>
      <c r="Z191">
        <v>127428.8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736986.56</v>
      </c>
      <c r="AH191">
        <v>0</v>
      </c>
      <c r="AI191">
        <v>0</v>
      </c>
      <c r="AJ191">
        <v>3892954584.7011399</v>
      </c>
    </row>
    <row r="192" spans="1:36" x14ac:dyDescent="0.25">
      <c r="A192" t="s">
        <v>253</v>
      </c>
      <c r="B192" t="s">
        <v>15</v>
      </c>
      <c r="D192">
        <v>30638.23</v>
      </c>
      <c r="E192">
        <v>10732.08</v>
      </c>
      <c r="G192">
        <v>0.15990499999999999</v>
      </c>
      <c r="H192">
        <v>0</v>
      </c>
      <c r="I192">
        <v>487292.09</v>
      </c>
      <c r="J192">
        <v>350734.07</v>
      </c>
      <c r="K192">
        <v>0</v>
      </c>
      <c r="L192">
        <v>936314.72</v>
      </c>
      <c r="M192">
        <v>0</v>
      </c>
      <c r="N192">
        <v>265387.39</v>
      </c>
      <c r="O192">
        <v>235024.77</v>
      </c>
      <c r="P192">
        <v>249889.62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174062.07</v>
      </c>
      <c r="W192">
        <v>0</v>
      </c>
      <c r="X192">
        <v>0</v>
      </c>
      <c r="Y192">
        <v>0</v>
      </c>
      <c r="Z192">
        <v>68627.600000000006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485029.65</v>
      </c>
      <c r="AH192">
        <v>0</v>
      </c>
      <c r="AI192">
        <v>0</v>
      </c>
      <c r="AJ192">
        <v>1279953921.388</v>
      </c>
    </row>
    <row r="193" spans="1:36" x14ac:dyDescent="0.25">
      <c r="A193" t="s">
        <v>254</v>
      </c>
      <c r="B193" t="s">
        <v>15</v>
      </c>
      <c r="C193">
        <v>26189.72</v>
      </c>
      <c r="D193">
        <v>74767.08</v>
      </c>
      <c r="G193">
        <v>0.39022000000000001</v>
      </c>
      <c r="H193">
        <v>0</v>
      </c>
      <c r="I193">
        <v>1538965.76</v>
      </c>
      <c r="J193">
        <v>1274541.22</v>
      </c>
      <c r="K193">
        <v>0</v>
      </c>
      <c r="L193">
        <v>3553012.2</v>
      </c>
      <c r="M193">
        <v>0</v>
      </c>
      <c r="N193">
        <v>1006794.9</v>
      </c>
      <c r="O193">
        <v>344606.87</v>
      </c>
      <c r="P193">
        <v>312784.17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713748.92</v>
      </c>
      <c r="W193">
        <v>0</v>
      </c>
      <c r="X193">
        <v>0</v>
      </c>
      <c r="Y193">
        <v>0</v>
      </c>
      <c r="Z193">
        <v>127428.8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737011.51</v>
      </c>
      <c r="AH193">
        <v>0</v>
      </c>
      <c r="AI193">
        <v>0</v>
      </c>
      <c r="AJ193">
        <v>4388293237.3875599</v>
      </c>
    </row>
    <row r="194" spans="1:36" x14ac:dyDescent="0.25">
      <c r="A194" t="s">
        <v>255</v>
      </c>
      <c r="B194" t="s">
        <v>14</v>
      </c>
      <c r="C194">
        <v>8402.17</v>
      </c>
      <c r="D194">
        <v>23986.720000000001</v>
      </c>
      <c r="G194">
        <v>0.12519</v>
      </c>
      <c r="H194">
        <v>0</v>
      </c>
      <c r="I194">
        <v>628072.87</v>
      </c>
      <c r="J194">
        <v>774617.57</v>
      </c>
      <c r="K194">
        <v>0</v>
      </c>
      <c r="L194">
        <v>436518</v>
      </c>
      <c r="M194">
        <v>0</v>
      </c>
      <c r="N194">
        <v>227845.29</v>
      </c>
      <c r="O194">
        <v>125971.47</v>
      </c>
      <c r="P194">
        <v>112831.11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366917.39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170226.86</v>
      </c>
      <c r="AH194">
        <v>0</v>
      </c>
      <c r="AI194">
        <v>0</v>
      </c>
      <c r="AJ194">
        <v>2481870198.8495698</v>
      </c>
    </row>
    <row r="195" spans="1:36" x14ac:dyDescent="0.25">
      <c r="A195" t="s">
        <v>256</v>
      </c>
      <c r="B195" t="s">
        <v>14</v>
      </c>
      <c r="D195">
        <v>23986.720000000001</v>
      </c>
      <c r="E195">
        <v>8402.17</v>
      </c>
      <c r="G195">
        <v>0.12519</v>
      </c>
      <c r="H195">
        <v>0</v>
      </c>
      <c r="I195">
        <v>602142.4</v>
      </c>
      <c r="J195">
        <v>774617.57</v>
      </c>
      <c r="K195">
        <v>0</v>
      </c>
      <c r="L195">
        <v>436518</v>
      </c>
      <c r="M195">
        <v>0</v>
      </c>
      <c r="N195">
        <v>227846.94</v>
      </c>
      <c r="O195">
        <v>105510.93</v>
      </c>
      <c r="P195">
        <v>106955.38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365805.1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170226.89</v>
      </c>
      <c r="AH195">
        <v>0</v>
      </c>
      <c r="AI195">
        <v>0</v>
      </c>
      <c r="AJ195">
        <v>2485631563.3695202</v>
      </c>
    </row>
    <row r="196" spans="1:36" x14ac:dyDescent="0.25">
      <c r="A196" t="s">
        <v>257</v>
      </c>
      <c r="B196" t="s">
        <v>14</v>
      </c>
      <c r="D196">
        <v>33296.29</v>
      </c>
      <c r="E196">
        <v>11663.16</v>
      </c>
      <c r="G196">
        <v>0.17377799999999999</v>
      </c>
      <c r="H196">
        <v>0</v>
      </c>
      <c r="I196">
        <v>776259.73</v>
      </c>
      <c r="J196">
        <v>463682.79</v>
      </c>
      <c r="K196">
        <v>0</v>
      </c>
      <c r="L196">
        <v>831153.37</v>
      </c>
      <c r="M196">
        <v>0</v>
      </c>
      <c r="N196">
        <v>237944.38</v>
      </c>
      <c r="O196">
        <v>229232.17</v>
      </c>
      <c r="P196">
        <v>245263.07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660914.11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111411.6</v>
      </c>
      <c r="AH196">
        <v>0</v>
      </c>
      <c r="AI196">
        <v>0</v>
      </c>
      <c r="AJ196">
        <v>2075494651.8278201</v>
      </c>
    </row>
    <row r="197" spans="1:36" x14ac:dyDescent="0.25">
      <c r="A197" t="s">
        <v>258</v>
      </c>
      <c r="B197" t="s">
        <v>14</v>
      </c>
      <c r="D197">
        <v>2515.5500000000002</v>
      </c>
      <c r="E197">
        <v>881.16</v>
      </c>
      <c r="G197">
        <v>1.3129E-2</v>
      </c>
      <c r="H197">
        <v>0</v>
      </c>
      <c r="I197">
        <v>30445.119999999999</v>
      </c>
      <c r="J197">
        <v>23792.959999999999</v>
      </c>
      <c r="K197">
        <v>0</v>
      </c>
      <c r="L197">
        <v>29466.65</v>
      </c>
      <c r="M197">
        <v>0</v>
      </c>
      <c r="N197">
        <v>114175.89</v>
      </c>
      <c r="O197">
        <v>8949.1</v>
      </c>
      <c r="P197">
        <v>9212.2199999999993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1512.21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4532.7</v>
      </c>
      <c r="AH197">
        <v>0</v>
      </c>
      <c r="AI197">
        <v>0</v>
      </c>
      <c r="AJ197">
        <v>175031952.13324001</v>
      </c>
    </row>
    <row r="198" spans="1:36" x14ac:dyDescent="0.25">
      <c r="A198" t="s">
        <v>259</v>
      </c>
      <c r="B198" t="s">
        <v>14</v>
      </c>
      <c r="C198">
        <v>881.16</v>
      </c>
      <c r="D198">
        <v>2515.5500000000002</v>
      </c>
      <c r="G198">
        <v>1.3129E-2</v>
      </c>
      <c r="H198">
        <v>0</v>
      </c>
      <c r="I198">
        <v>46515.39</v>
      </c>
      <c r="J198">
        <v>23792.959999999999</v>
      </c>
      <c r="K198">
        <v>0</v>
      </c>
      <c r="L198">
        <v>29466.65</v>
      </c>
      <c r="M198">
        <v>0</v>
      </c>
      <c r="N198">
        <v>114175.89</v>
      </c>
      <c r="O198">
        <v>14056.51</v>
      </c>
      <c r="P198">
        <v>11502.52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1512.21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4532.7</v>
      </c>
      <c r="AH198">
        <v>0</v>
      </c>
      <c r="AI198">
        <v>0</v>
      </c>
      <c r="AJ198">
        <v>213913516.03905001</v>
      </c>
    </row>
    <row r="199" spans="1:36" x14ac:dyDescent="0.25">
      <c r="A199" t="s">
        <v>260</v>
      </c>
      <c r="B199" t="s">
        <v>14</v>
      </c>
      <c r="D199">
        <v>5286.59</v>
      </c>
      <c r="E199">
        <v>1851.81</v>
      </c>
      <c r="G199">
        <v>2.7591000000000001E-2</v>
      </c>
      <c r="H199">
        <v>0</v>
      </c>
      <c r="I199">
        <v>174472.17</v>
      </c>
      <c r="J199">
        <v>201226.15</v>
      </c>
      <c r="K199">
        <v>0</v>
      </c>
      <c r="L199">
        <v>282049.05</v>
      </c>
      <c r="M199">
        <v>0</v>
      </c>
      <c r="N199">
        <v>107769.06</v>
      </c>
      <c r="O199">
        <v>21753.08</v>
      </c>
      <c r="P199">
        <v>22281.59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122594.98</v>
      </c>
      <c r="W199">
        <v>0</v>
      </c>
      <c r="X199">
        <v>0</v>
      </c>
      <c r="Y199">
        <v>0</v>
      </c>
      <c r="Z199">
        <v>65854.75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121506.39</v>
      </c>
      <c r="AH199">
        <v>0</v>
      </c>
      <c r="AI199">
        <v>0</v>
      </c>
      <c r="AJ199">
        <v>569553045.06166804</v>
      </c>
    </row>
    <row r="200" spans="1:36" x14ac:dyDescent="0.25">
      <c r="A200" t="s">
        <v>261</v>
      </c>
      <c r="B200" t="s">
        <v>14</v>
      </c>
      <c r="C200">
        <v>11663.16</v>
      </c>
      <c r="D200">
        <v>33296.29</v>
      </c>
      <c r="G200">
        <v>0.17377799999999999</v>
      </c>
      <c r="H200">
        <v>0</v>
      </c>
      <c r="I200">
        <v>992511.14</v>
      </c>
      <c r="J200">
        <v>463682.79</v>
      </c>
      <c r="K200">
        <v>0</v>
      </c>
      <c r="L200">
        <v>831153.37</v>
      </c>
      <c r="M200">
        <v>0</v>
      </c>
      <c r="N200">
        <v>239060.85</v>
      </c>
      <c r="O200">
        <v>269148.12</v>
      </c>
      <c r="P200">
        <v>248101.87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659097.11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111403.58</v>
      </c>
      <c r="AH200">
        <v>0</v>
      </c>
      <c r="AI200">
        <v>0</v>
      </c>
      <c r="AJ200">
        <v>2596283486.6064901</v>
      </c>
    </row>
    <row r="201" spans="1:36" x14ac:dyDescent="0.25">
      <c r="A201" t="s">
        <v>262</v>
      </c>
      <c r="B201" t="s">
        <v>14</v>
      </c>
      <c r="C201">
        <v>1851.81</v>
      </c>
      <c r="D201">
        <v>5286.59</v>
      </c>
      <c r="G201">
        <v>2.7591000000000001E-2</v>
      </c>
      <c r="H201">
        <v>0</v>
      </c>
      <c r="I201">
        <v>198944.31</v>
      </c>
      <c r="J201">
        <v>201226.15</v>
      </c>
      <c r="K201">
        <v>0</v>
      </c>
      <c r="L201">
        <v>282049.05</v>
      </c>
      <c r="M201">
        <v>0</v>
      </c>
      <c r="N201">
        <v>107776.17</v>
      </c>
      <c r="O201">
        <v>24220.44</v>
      </c>
      <c r="P201">
        <v>22343.38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122619.85</v>
      </c>
      <c r="W201">
        <v>0</v>
      </c>
      <c r="X201">
        <v>0</v>
      </c>
      <c r="Y201">
        <v>0</v>
      </c>
      <c r="Z201">
        <v>65854.75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121502.88</v>
      </c>
      <c r="AH201">
        <v>0</v>
      </c>
      <c r="AI201">
        <v>0</v>
      </c>
      <c r="AJ201">
        <v>618269519.41176295</v>
      </c>
    </row>
    <row r="202" spans="1:36" x14ac:dyDescent="0.25">
      <c r="A202" t="s">
        <v>263</v>
      </c>
      <c r="B202" t="s">
        <v>14</v>
      </c>
      <c r="D202">
        <v>40125.19</v>
      </c>
      <c r="E202">
        <v>14055.21</v>
      </c>
      <c r="G202">
        <v>0.20941899999999999</v>
      </c>
      <c r="H202">
        <v>0</v>
      </c>
      <c r="I202">
        <v>1059222.58</v>
      </c>
      <c r="J202">
        <v>857863.39</v>
      </c>
      <c r="K202">
        <v>0</v>
      </c>
      <c r="L202">
        <v>1141299.43</v>
      </c>
      <c r="M202">
        <v>0</v>
      </c>
      <c r="N202">
        <v>408287.49</v>
      </c>
      <c r="O202">
        <v>349011.21</v>
      </c>
      <c r="P202">
        <v>365875.84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761727.43</v>
      </c>
      <c r="W202">
        <v>0</v>
      </c>
      <c r="X202">
        <v>0</v>
      </c>
      <c r="Y202">
        <v>0</v>
      </c>
      <c r="Z202">
        <v>43737.51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264795.84999999998</v>
      </c>
      <c r="AH202">
        <v>0</v>
      </c>
      <c r="AI202">
        <v>0</v>
      </c>
      <c r="AJ202">
        <v>3069307956.5953999</v>
      </c>
    </row>
    <row r="203" spans="1:36" x14ac:dyDescent="0.25">
      <c r="A203" t="s">
        <v>264</v>
      </c>
      <c r="B203" t="s">
        <v>14</v>
      </c>
      <c r="C203">
        <v>14055.21</v>
      </c>
      <c r="D203">
        <v>40125.19</v>
      </c>
      <c r="G203">
        <v>0.20941899999999999</v>
      </c>
      <c r="H203">
        <v>0</v>
      </c>
      <c r="I203">
        <v>1281350.47</v>
      </c>
      <c r="J203">
        <v>857863.39</v>
      </c>
      <c r="K203">
        <v>0</v>
      </c>
      <c r="L203">
        <v>1141299.43</v>
      </c>
      <c r="M203">
        <v>0</v>
      </c>
      <c r="N203">
        <v>408854.6</v>
      </c>
      <c r="O203">
        <v>414536.98</v>
      </c>
      <c r="P203">
        <v>380107.7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756698.85</v>
      </c>
      <c r="W203">
        <v>0</v>
      </c>
      <c r="X203">
        <v>0</v>
      </c>
      <c r="Y203">
        <v>0</v>
      </c>
      <c r="Z203">
        <v>43737.51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264804.94</v>
      </c>
      <c r="AH203">
        <v>0</v>
      </c>
      <c r="AI203">
        <v>0</v>
      </c>
      <c r="AJ203">
        <v>3188777588.49652</v>
      </c>
    </row>
    <row r="204" spans="1:36" x14ac:dyDescent="0.25">
      <c r="A204" t="s">
        <v>265</v>
      </c>
      <c r="B204" t="s">
        <v>14</v>
      </c>
      <c r="C204">
        <v>2033.53</v>
      </c>
      <c r="D204">
        <v>5805.39</v>
      </c>
      <c r="G204">
        <v>3.0299E-2</v>
      </c>
      <c r="H204">
        <v>0</v>
      </c>
      <c r="I204">
        <v>213998.95</v>
      </c>
      <c r="J204">
        <v>197273.03</v>
      </c>
      <c r="K204">
        <v>0</v>
      </c>
      <c r="L204">
        <v>258328.15</v>
      </c>
      <c r="M204">
        <v>0</v>
      </c>
      <c r="N204">
        <v>356153.55</v>
      </c>
      <c r="O204">
        <v>28402.75</v>
      </c>
      <c r="P204">
        <v>26321.42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95072.45</v>
      </c>
      <c r="W204">
        <v>0</v>
      </c>
      <c r="X204">
        <v>0</v>
      </c>
      <c r="Y204">
        <v>0</v>
      </c>
      <c r="Z204">
        <v>64094.3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223734.47</v>
      </c>
      <c r="AH204">
        <v>0</v>
      </c>
      <c r="AI204">
        <v>0</v>
      </c>
      <c r="AJ204">
        <v>956654107.70182097</v>
      </c>
    </row>
    <row r="205" spans="1:36" x14ac:dyDescent="0.25">
      <c r="A205" t="s">
        <v>266</v>
      </c>
      <c r="B205" t="s">
        <v>14</v>
      </c>
      <c r="D205">
        <v>5805.39</v>
      </c>
      <c r="E205">
        <v>2033.53</v>
      </c>
      <c r="G205">
        <v>3.0299E-2</v>
      </c>
      <c r="H205">
        <v>0</v>
      </c>
      <c r="I205">
        <v>189698.12</v>
      </c>
      <c r="J205">
        <v>197273.03</v>
      </c>
      <c r="K205">
        <v>0</v>
      </c>
      <c r="L205">
        <v>258328.15</v>
      </c>
      <c r="M205">
        <v>0</v>
      </c>
      <c r="N205">
        <v>356110.31</v>
      </c>
      <c r="O205">
        <v>24763.69</v>
      </c>
      <c r="P205">
        <v>26118.42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96077.88</v>
      </c>
      <c r="W205">
        <v>0</v>
      </c>
      <c r="X205">
        <v>0</v>
      </c>
      <c r="Y205">
        <v>0</v>
      </c>
      <c r="Z205">
        <v>64094.3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223737.9</v>
      </c>
      <c r="AH205">
        <v>0</v>
      </c>
      <c r="AI205">
        <v>0</v>
      </c>
      <c r="AJ205">
        <v>897127526.98156595</v>
      </c>
    </row>
    <row r="206" spans="1:36" x14ac:dyDescent="0.25">
      <c r="A206" t="s">
        <v>267</v>
      </c>
      <c r="B206" t="s">
        <v>14</v>
      </c>
      <c r="C206">
        <v>28784.2</v>
      </c>
      <c r="D206">
        <v>82173.87</v>
      </c>
      <c r="G206">
        <v>0.42887700000000001</v>
      </c>
      <c r="H206">
        <v>0</v>
      </c>
      <c r="I206">
        <v>2240098.15</v>
      </c>
      <c r="J206">
        <v>1274541.22</v>
      </c>
      <c r="K206">
        <v>0</v>
      </c>
      <c r="L206">
        <v>3553012.2</v>
      </c>
      <c r="M206">
        <v>0</v>
      </c>
      <c r="N206">
        <v>1116581.3400000001</v>
      </c>
      <c r="O206">
        <v>411932.07</v>
      </c>
      <c r="P206">
        <v>378543.21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959874.59</v>
      </c>
      <c r="W206">
        <v>0</v>
      </c>
      <c r="X206">
        <v>0</v>
      </c>
      <c r="Y206">
        <v>0</v>
      </c>
      <c r="Z206">
        <v>127428.8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711143.03</v>
      </c>
      <c r="AH206">
        <v>0</v>
      </c>
      <c r="AI206">
        <v>0</v>
      </c>
      <c r="AJ206">
        <v>7913741437.9127398</v>
      </c>
    </row>
    <row r="207" spans="1:36" x14ac:dyDescent="0.25">
      <c r="A207" t="s">
        <v>268</v>
      </c>
      <c r="B207" t="s">
        <v>14</v>
      </c>
      <c r="D207">
        <v>82173.87</v>
      </c>
      <c r="E207">
        <v>28784.2</v>
      </c>
      <c r="G207">
        <v>0.42887700000000001</v>
      </c>
      <c r="H207">
        <v>0</v>
      </c>
      <c r="I207">
        <v>1872370.6</v>
      </c>
      <c r="J207">
        <v>1274541.22</v>
      </c>
      <c r="K207">
        <v>0</v>
      </c>
      <c r="L207">
        <v>3553012.2</v>
      </c>
      <c r="M207">
        <v>0</v>
      </c>
      <c r="N207">
        <v>1116630.46</v>
      </c>
      <c r="O207">
        <v>357597.16</v>
      </c>
      <c r="P207">
        <v>375559.38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960706.99</v>
      </c>
      <c r="W207">
        <v>0</v>
      </c>
      <c r="X207">
        <v>0</v>
      </c>
      <c r="Y207">
        <v>0</v>
      </c>
      <c r="Z207">
        <v>127428.8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711166.42</v>
      </c>
      <c r="AH207">
        <v>0</v>
      </c>
      <c r="AI207">
        <v>0</v>
      </c>
      <c r="AJ207">
        <v>7140352075.2938404</v>
      </c>
    </row>
    <row r="208" spans="1:36" x14ac:dyDescent="0.25">
      <c r="A208" t="s">
        <v>269</v>
      </c>
      <c r="B208" t="s">
        <v>13</v>
      </c>
      <c r="C208">
        <v>7757.24</v>
      </c>
      <c r="D208">
        <v>22145.57</v>
      </c>
      <c r="G208">
        <v>0.115581</v>
      </c>
      <c r="H208">
        <v>0</v>
      </c>
      <c r="I208">
        <v>367812.35</v>
      </c>
      <c r="J208">
        <v>774617.57</v>
      </c>
      <c r="K208">
        <v>0</v>
      </c>
      <c r="L208">
        <v>436518</v>
      </c>
      <c r="M208">
        <v>0</v>
      </c>
      <c r="N208">
        <v>155625.94</v>
      </c>
      <c r="O208">
        <v>102743.97</v>
      </c>
      <c r="P208">
        <v>90269.07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221651.66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176273.99</v>
      </c>
      <c r="AH208">
        <v>0</v>
      </c>
      <c r="AI208">
        <v>0</v>
      </c>
      <c r="AJ208">
        <v>2130895733.93786</v>
      </c>
    </row>
    <row r="209" spans="1:36" x14ac:dyDescent="0.25">
      <c r="A209" t="s">
        <v>270</v>
      </c>
      <c r="B209" t="s">
        <v>14</v>
      </c>
      <c r="D209">
        <v>34919.870000000003</v>
      </c>
      <c r="E209">
        <v>12231.88</v>
      </c>
      <c r="G209">
        <v>0.182252</v>
      </c>
      <c r="H209">
        <v>0</v>
      </c>
      <c r="I209">
        <v>655938.59</v>
      </c>
      <c r="J209">
        <v>350734.07</v>
      </c>
      <c r="K209">
        <v>0</v>
      </c>
      <c r="L209">
        <v>936314.72</v>
      </c>
      <c r="M209">
        <v>0</v>
      </c>
      <c r="N209">
        <v>302679.32</v>
      </c>
      <c r="O209">
        <v>265529.52</v>
      </c>
      <c r="P209">
        <v>286420.26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239728.99</v>
      </c>
      <c r="W209">
        <v>0</v>
      </c>
      <c r="X209">
        <v>0</v>
      </c>
      <c r="Y209">
        <v>0</v>
      </c>
      <c r="Z209">
        <v>68627.600000000006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467639.01</v>
      </c>
      <c r="AH209">
        <v>0</v>
      </c>
      <c r="AI209">
        <v>0</v>
      </c>
      <c r="AJ209">
        <v>2341793066.2786398</v>
      </c>
    </row>
    <row r="210" spans="1:36" x14ac:dyDescent="0.25">
      <c r="A210" t="s">
        <v>271</v>
      </c>
      <c r="B210" t="s">
        <v>14</v>
      </c>
      <c r="C210">
        <v>12231.88</v>
      </c>
      <c r="D210">
        <v>34919.870000000003</v>
      </c>
      <c r="G210">
        <v>0.182252</v>
      </c>
      <c r="H210">
        <v>0</v>
      </c>
      <c r="I210">
        <v>1052355.0900000001</v>
      </c>
      <c r="J210">
        <v>350734.07</v>
      </c>
      <c r="K210">
        <v>0</v>
      </c>
      <c r="L210">
        <v>936314.72</v>
      </c>
      <c r="M210">
        <v>0</v>
      </c>
      <c r="N210">
        <v>302795.31</v>
      </c>
      <c r="O210">
        <v>314908.24</v>
      </c>
      <c r="P210">
        <v>293876.53000000003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241280.04</v>
      </c>
      <c r="W210">
        <v>0</v>
      </c>
      <c r="X210">
        <v>0</v>
      </c>
      <c r="Y210">
        <v>0</v>
      </c>
      <c r="Z210">
        <v>68627.600000000006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467599.86</v>
      </c>
      <c r="AH210">
        <v>0</v>
      </c>
      <c r="AI210">
        <v>0</v>
      </c>
      <c r="AJ210">
        <v>2640764580.6796098</v>
      </c>
    </row>
    <row r="211" spans="1:36" x14ac:dyDescent="0.25">
      <c r="A211" t="s">
        <v>272</v>
      </c>
      <c r="B211" t="s">
        <v>13</v>
      </c>
      <c r="D211">
        <v>22145.57</v>
      </c>
      <c r="E211">
        <v>7757.24</v>
      </c>
      <c r="G211">
        <v>0.115581</v>
      </c>
      <c r="H211">
        <v>0</v>
      </c>
      <c r="I211">
        <v>340004.61</v>
      </c>
      <c r="J211">
        <v>774617.57</v>
      </c>
      <c r="K211">
        <v>0</v>
      </c>
      <c r="L211">
        <v>436518</v>
      </c>
      <c r="M211">
        <v>0</v>
      </c>
      <c r="N211">
        <v>155280.14000000001</v>
      </c>
      <c r="O211">
        <v>83636.94</v>
      </c>
      <c r="P211">
        <v>84366.04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221022.68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176272.32</v>
      </c>
      <c r="AH211">
        <v>0</v>
      </c>
      <c r="AI211">
        <v>0</v>
      </c>
      <c r="AJ211">
        <v>2133902331.3675499</v>
      </c>
    </row>
    <row r="212" spans="1:36" x14ac:dyDescent="0.25">
      <c r="A212" t="s">
        <v>273</v>
      </c>
      <c r="B212" t="s">
        <v>13</v>
      </c>
      <c r="D212">
        <v>2385.29</v>
      </c>
      <c r="E212">
        <v>835.53</v>
      </c>
      <c r="G212">
        <v>1.2449E-2</v>
      </c>
      <c r="H212">
        <v>0</v>
      </c>
      <c r="I212">
        <v>15005.07</v>
      </c>
      <c r="J212">
        <v>23792.959999999999</v>
      </c>
      <c r="K212">
        <v>0</v>
      </c>
      <c r="L212">
        <v>29466.65</v>
      </c>
      <c r="M212">
        <v>0</v>
      </c>
      <c r="N212">
        <v>108007.51</v>
      </c>
      <c r="O212">
        <v>6512.7</v>
      </c>
      <c r="P212">
        <v>6460.84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2134.87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4672.57</v>
      </c>
      <c r="AH212">
        <v>0</v>
      </c>
      <c r="AI212">
        <v>0</v>
      </c>
      <c r="AJ212">
        <v>143297107.01763499</v>
      </c>
    </row>
    <row r="213" spans="1:36" x14ac:dyDescent="0.25">
      <c r="A213" t="s">
        <v>274</v>
      </c>
      <c r="B213" t="s">
        <v>13</v>
      </c>
      <c r="C213">
        <v>835.53</v>
      </c>
      <c r="D213">
        <v>2385.29</v>
      </c>
      <c r="G213">
        <v>1.2449E-2</v>
      </c>
      <c r="H213">
        <v>0</v>
      </c>
      <c r="I213">
        <v>21098.85</v>
      </c>
      <c r="J213">
        <v>23792.959999999999</v>
      </c>
      <c r="K213">
        <v>0</v>
      </c>
      <c r="L213">
        <v>29466.65</v>
      </c>
      <c r="M213">
        <v>0</v>
      </c>
      <c r="N213">
        <v>108007.51</v>
      </c>
      <c r="O213">
        <v>11723.88</v>
      </c>
      <c r="P213">
        <v>9263.1200000000008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2134.87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4672.57</v>
      </c>
      <c r="AH213">
        <v>0</v>
      </c>
      <c r="AI213">
        <v>0</v>
      </c>
      <c r="AJ213">
        <v>175736996.413129</v>
      </c>
    </row>
    <row r="214" spans="1:36" x14ac:dyDescent="0.25">
      <c r="A214" t="s">
        <v>275</v>
      </c>
      <c r="B214" t="s">
        <v>13</v>
      </c>
      <c r="D214">
        <v>4937.8500000000004</v>
      </c>
      <c r="E214">
        <v>1729.65</v>
      </c>
      <c r="G214">
        <v>2.5770999999999999E-2</v>
      </c>
      <c r="H214">
        <v>0</v>
      </c>
      <c r="I214">
        <v>121000.06</v>
      </c>
      <c r="J214">
        <v>201226.15</v>
      </c>
      <c r="K214">
        <v>0</v>
      </c>
      <c r="L214">
        <v>282049.05</v>
      </c>
      <c r="M214">
        <v>0</v>
      </c>
      <c r="N214">
        <v>85235.86</v>
      </c>
      <c r="O214">
        <v>17831.32</v>
      </c>
      <c r="P214">
        <v>18270.98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96241.61</v>
      </c>
      <c r="W214">
        <v>0</v>
      </c>
      <c r="X214">
        <v>0</v>
      </c>
      <c r="Y214">
        <v>0</v>
      </c>
      <c r="Z214">
        <v>65854.75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125819.33</v>
      </c>
      <c r="AH214">
        <v>0</v>
      </c>
      <c r="AI214">
        <v>0</v>
      </c>
      <c r="AJ214">
        <v>467039654.54050899</v>
      </c>
    </row>
    <row r="215" spans="1:36" x14ac:dyDescent="0.25">
      <c r="A215" t="s">
        <v>276</v>
      </c>
      <c r="B215" t="s">
        <v>13</v>
      </c>
      <c r="C215">
        <v>10950.58</v>
      </c>
      <c r="D215">
        <v>31261.98</v>
      </c>
      <c r="G215">
        <v>0.163161</v>
      </c>
      <c r="H215">
        <v>0</v>
      </c>
      <c r="I215">
        <v>659057.89</v>
      </c>
      <c r="J215">
        <v>463682.79</v>
      </c>
      <c r="K215">
        <v>0</v>
      </c>
      <c r="L215">
        <v>831153.37</v>
      </c>
      <c r="M215">
        <v>0</v>
      </c>
      <c r="N215">
        <v>197111.43</v>
      </c>
      <c r="O215">
        <v>243903.09</v>
      </c>
      <c r="P215">
        <v>224969.21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584898.89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115362.56</v>
      </c>
      <c r="AH215">
        <v>0</v>
      </c>
      <c r="AI215">
        <v>0</v>
      </c>
      <c r="AJ215">
        <v>2220037379.2280402</v>
      </c>
    </row>
    <row r="216" spans="1:36" x14ac:dyDescent="0.25">
      <c r="A216" t="s">
        <v>277</v>
      </c>
      <c r="B216" t="s">
        <v>13</v>
      </c>
      <c r="D216">
        <v>31261.98</v>
      </c>
      <c r="E216">
        <v>10950.58</v>
      </c>
      <c r="G216">
        <v>0.163161</v>
      </c>
      <c r="H216">
        <v>0</v>
      </c>
      <c r="I216">
        <v>512970.3</v>
      </c>
      <c r="J216">
        <v>463682.79</v>
      </c>
      <c r="K216">
        <v>0</v>
      </c>
      <c r="L216">
        <v>831153.37</v>
      </c>
      <c r="M216">
        <v>0</v>
      </c>
      <c r="N216">
        <v>196391.07</v>
      </c>
      <c r="O216">
        <v>204646</v>
      </c>
      <c r="P216">
        <v>221216.27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586102.88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115362.8</v>
      </c>
      <c r="AH216">
        <v>0</v>
      </c>
      <c r="AI216">
        <v>0</v>
      </c>
      <c r="AJ216">
        <v>1839383176.0211999</v>
      </c>
    </row>
    <row r="217" spans="1:36" x14ac:dyDescent="0.25">
      <c r="A217" t="s">
        <v>278</v>
      </c>
      <c r="B217" t="s">
        <v>13</v>
      </c>
      <c r="C217">
        <v>1729.65</v>
      </c>
      <c r="D217">
        <v>4937.8500000000004</v>
      </c>
      <c r="G217">
        <v>2.5770999999999999E-2</v>
      </c>
      <c r="H217">
        <v>0</v>
      </c>
      <c r="I217">
        <v>129270.11</v>
      </c>
      <c r="J217">
        <v>201226.15</v>
      </c>
      <c r="K217">
        <v>0</v>
      </c>
      <c r="L217">
        <v>282049.05</v>
      </c>
      <c r="M217">
        <v>0</v>
      </c>
      <c r="N217">
        <v>85261.98</v>
      </c>
      <c r="O217">
        <v>19883.88</v>
      </c>
      <c r="P217">
        <v>18325.830000000002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96218.240000000005</v>
      </c>
      <c r="W217">
        <v>0</v>
      </c>
      <c r="X217">
        <v>0</v>
      </c>
      <c r="Y217">
        <v>0</v>
      </c>
      <c r="Z217">
        <v>65854.75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125820.31</v>
      </c>
      <c r="AH217">
        <v>0</v>
      </c>
      <c r="AI217">
        <v>0</v>
      </c>
      <c r="AJ217">
        <v>506757185.09518701</v>
      </c>
    </row>
    <row r="218" spans="1:36" x14ac:dyDescent="0.25">
      <c r="A218" t="s">
        <v>279</v>
      </c>
      <c r="B218" t="s">
        <v>13</v>
      </c>
      <c r="C218">
        <v>13192.32</v>
      </c>
      <c r="D218">
        <v>37661.79</v>
      </c>
      <c r="G218">
        <v>0.19656199999999999</v>
      </c>
      <c r="H218">
        <v>0</v>
      </c>
      <c r="I218">
        <v>843604.6</v>
      </c>
      <c r="J218">
        <v>857863.39</v>
      </c>
      <c r="K218">
        <v>0</v>
      </c>
      <c r="L218">
        <v>1141299.43</v>
      </c>
      <c r="M218">
        <v>0</v>
      </c>
      <c r="N218">
        <v>282004.45</v>
      </c>
      <c r="O218">
        <v>383433.28</v>
      </c>
      <c r="P218">
        <v>351053.04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474426.96</v>
      </c>
      <c r="W218">
        <v>0</v>
      </c>
      <c r="X218">
        <v>0</v>
      </c>
      <c r="Y218">
        <v>0</v>
      </c>
      <c r="Z218">
        <v>43737.51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274235</v>
      </c>
      <c r="AH218">
        <v>0</v>
      </c>
      <c r="AI218">
        <v>0</v>
      </c>
      <c r="AJ218">
        <v>2886644157.5589499</v>
      </c>
    </row>
    <row r="219" spans="1:36" x14ac:dyDescent="0.25">
      <c r="A219" t="s">
        <v>280</v>
      </c>
      <c r="B219" t="s">
        <v>13</v>
      </c>
      <c r="D219">
        <v>37661.79</v>
      </c>
      <c r="E219">
        <v>13192.32</v>
      </c>
      <c r="G219">
        <v>0.19656199999999999</v>
      </c>
      <c r="H219">
        <v>0</v>
      </c>
      <c r="I219">
        <v>640670.94999999995</v>
      </c>
      <c r="J219">
        <v>857863.39</v>
      </c>
      <c r="K219">
        <v>0</v>
      </c>
      <c r="L219">
        <v>1141299.43</v>
      </c>
      <c r="M219">
        <v>0</v>
      </c>
      <c r="N219">
        <v>281893.23</v>
      </c>
      <c r="O219">
        <v>316415.82</v>
      </c>
      <c r="P219">
        <v>338438.41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475891.08</v>
      </c>
      <c r="W219">
        <v>0</v>
      </c>
      <c r="X219">
        <v>0</v>
      </c>
      <c r="Y219">
        <v>0</v>
      </c>
      <c r="Z219">
        <v>43737.51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274237.67</v>
      </c>
      <c r="AH219">
        <v>0</v>
      </c>
      <c r="AI219">
        <v>0</v>
      </c>
      <c r="AJ219">
        <v>2866776557.7825398</v>
      </c>
    </row>
    <row r="220" spans="1:36" x14ac:dyDescent="0.25">
      <c r="A220" t="s">
        <v>281</v>
      </c>
      <c r="B220" t="s">
        <v>13</v>
      </c>
      <c r="C220">
        <v>1899.66</v>
      </c>
      <c r="D220">
        <v>5423.19</v>
      </c>
      <c r="G220">
        <v>2.8303999999999999E-2</v>
      </c>
      <c r="H220">
        <v>0</v>
      </c>
      <c r="I220">
        <v>125680.56</v>
      </c>
      <c r="J220">
        <v>197273.03</v>
      </c>
      <c r="K220">
        <v>0</v>
      </c>
      <c r="L220">
        <v>258328.15</v>
      </c>
      <c r="M220">
        <v>0</v>
      </c>
      <c r="N220">
        <v>346818.7</v>
      </c>
      <c r="O220">
        <v>23692.35</v>
      </c>
      <c r="P220">
        <v>22010.46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86239.62</v>
      </c>
      <c r="W220">
        <v>0</v>
      </c>
      <c r="X220">
        <v>0</v>
      </c>
      <c r="Y220">
        <v>0</v>
      </c>
      <c r="Z220">
        <v>64094.3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231733.42</v>
      </c>
      <c r="AH220">
        <v>0</v>
      </c>
      <c r="AI220">
        <v>0</v>
      </c>
      <c r="AJ220">
        <v>767847005.06245005</v>
      </c>
    </row>
    <row r="221" spans="1:36" x14ac:dyDescent="0.25">
      <c r="A221" t="s">
        <v>282</v>
      </c>
      <c r="B221" t="s">
        <v>13</v>
      </c>
      <c r="D221">
        <v>5423.19</v>
      </c>
      <c r="E221">
        <v>1899.66</v>
      </c>
      <c r="G221">
        <v>2.8303999999999999E-2</v>
      </c>
      <c r="H221">
        <v>0</v>
      </c>
      <c r="I221">
        <v>113026.51</v>
      </c>
      <c r="J221">
        <v>197273.03</v>
      </c>
      <c r="K221">
        <v>0</v>
      </c>
      <c r="L221">
        <v>258328.15</v>
      </c>
      <c r="M221">
        <v>0</v>
      </c>
      <c r="N221">
        <v>346748.43</v>
      </c>
      <c r="O221">
        <v>20591.38</v>
      </c>
      <c r="P221">
        <v>21940.66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86410.32</v>
      </c>
      <c r="W221">
        <v>0</v>
      </c>
      <c r="X221">
        <v>0</v>
      </c>
      <c r="Y221">
        <v>0</v>
      </c>
      <c r="Z221">
        <v>64094.3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231735.27</v>
      </c>
      <c r="AH221">
        <v>0</v>
      </c>
      <c r="AI221">
        <v>0</v>
      </c>
      <c r="AJ221">
        <v>713070300.51283503</v>
      </c>
    </row>
    <row r="222" spans="1:36" x14ac:dyDescent="0.25">
      <c r="A222" t="s">
        <v>283</v>
      </c>
      <c r="B222" t="s">
        <v>13</v>
      </c>
      <c r="D222">
        <v>32414.14</v>
      </c>
      <c r="E222">
        <v>11354.16</v>
      </c>
      <c r="G222">
        <v>0.16917399999999999</v>
      </c>
      <c r="H222">
        <v>0</v>
      </c>
      <c r="I222">
        <v>423117.69</v>
      </c>
      <c r="J222">
        <v>350734.07</v>
      </c>
      <c r="K222">
        <v>0</v>
      </c>
      <c r="L222">
        <v>936314.72</v>
      </c>
      <c r="M222">
        <v>0</v>
      </c>
      <c r="N222">
        <v>256074.19</v>
      </c>
      <c r="O222">
        <v>243577.38</v>
      </c>
      <c r="P222">
        <v>263610.52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171303.16</v>
      </c>
      <c r="W222">
        <v>0</v>
      </c>
      <c r="X222">
        <v>0</v>
      </c>
      <c r="Y222">
        <v>0</v>
      </c>
      <c r="Z222">
        <v>68627.600000000006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484908.14</v>
      </c>
      <c r="AH222">
        <v>0</v>
      </c>
      <c r="AI222">
        <v>0</v>
      </c>
      <c r="AJ222">
        <v>1913376885.7480099</v>
      </c>
    </row>
    <row r="223" spans="1:36" x14ac:dyDescent="0.25">
      <c r="A223" t="s">
        <v>284</v>
      </c>
      <c r="B223" t="s">
        <v>13</v>
      </c>
      <c r="D223">
        <v>78754.509999999995</v>
      </c>
      <c r="E223">
        <v>27586.45</v>
      </c>
      <c r="G223">
        <v>0.41103099999999998</v>
      </c>
      <c r="H223">
        <v>0</v>
      </c>
      <c r="I223">
        <v>1162985.95</v>
      </c>
      <c r="J223">
        <v>1274541.22</v>
      </c>
      <c r="K223">
        <v>0</v>
      </c>
      <c r="L223">
        <v>3553012.2</v>
      </c>
      <c r="M223">
        <v>0</v>
      </c>
      <c r="N223">
        <v>961407.32</v>
      </c>
      <c r="O223">
        <v>286465.43</v>
      </c>
      <c r="P223">
        <v>303782.68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659243.76</v>
      </c>
      <c r="W223">
        <v>0</v>
      </c>
      <c r="X223">
        <v>0</v>
      </c>
      <c r="Y223">
        <v>0</v>
      </c>
      <c r="Z223">
        <v>127428.8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736925.09</v>
      </c>
      <c r="AH223">
        <v>0</v>
      </c>
      <c r="AI223">
        <v>0</v>
      </c>
      <c r="AJ223">
        <v>6100879684.0532398</v>
      </c>
    </row>
    <row r="224" spans="1:36" x14ac:dyDescent="0.25">
      <c r="A224" t="s">
        <v>285</v>
      </c>
      <c r="B224" t="s">
        <v>13</v>
      </c>
      <c r="C224">
        <v>27586.45</v>
      </c>
      <c r="D224">
        <v>78754.509999999995</v>
      </c>
      <c r="G224">
        <v>0.41103099999999998</v>
      </c>
      <c r="H224">
        <v>0</v>
      </c>
      <c r="I224">
        <v>1354278.31</v>
      </c>
      <c r="J224">
        <v>1274541.22</v>
      </c>
      <c r="K224">
        <v>0</v>
      </c>
      <c r="L224">
        <v>3553012.2</v>
      </c>
      <c r="M224">
        <v>0</v>
      </c>
      <c r="N224">
        <v>961625.98</v>
      </c>
      <c r="O224">
        <v>334801.13</v>
      </c>
      <c r="P224">
        <v>307344.90999999997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659853.72</v>
      </c>
      <c r="W224">
        <v>0</v>
      </c>
      <c r="X224">
        <v>0</v>
      </c>
      <c r="Y224">
        <v>0</v>
      </c>
      <c r="Z224">
        <v>127428.8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736827.25</v>
      </c>
      <c r="AH224">
        <v>0</v>
      </c>
      <c r="AI224">
        <v>0</v>
      </c>
      <c r="AJ224">
        <v>6944433769.4182901</v>
      </c>
    </row>
    <row r="225" spans="1:36" x14ac:dyDescent="0.25">
      <c r="A225" t="s">
        <v>286</v>
      </c>
      <c r="B225" t="s">
        <v>13</v>
      </c>
      <c r="C225">
        <v>11354.16</v>
      </c>
      <c r="D225">
        <v>32414.14</v>
      </c>
      <c r="G225">
        <v>0.16917399999999999</v>
      </c>
      <c r="H225">
        <v>0</v>
      </c>
      <c r="I225">
        <v>729742.33</v>
      </c>
      <c r="J225">
        <v>350734.07</v>
      </c>
      <c r="K225">
        <v>0</v>
      </c>
      <c r="L225">
        <v>936314.72</v>
      </c>
      <c r="M225">
        <v>0</v>
      </c>
      <c r="N225">
        <v>256142.72</v>
      </c>
      <c r="O225">
        <v>291446.92</v>
      </c>
      <c r="P225">
        <v>270195.55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171260.53</v>
      </c>
      <c r="W225">
        <v>0</v>
      </c>
      <c r="X225">
        <v>0</v>
      </c>
      <c r="Y225">
        <v>0</v>
      </c>
      <c r="Z225">
        <v>68627.600000000006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484927.18</v>
      </c>
      <c r="AH225">
        <v>0</v>
      </c>
      <c r="AI225">
        <v>0</v>
      </c>
      <c r="AJ225">
        <v>2230837847.41538</v>
      </c>
    </row>
    <row r="226" spans="1:36" x14ac:dyDescent="0.25">
      <c r="A226" t="s">
        <v>287</v>
      </c>
      <c r="B226" t="s">
        <v>12</v>
      </c>
      <c r="D226">
        <v>2483.19</v>
      </c>
      <c r="E226">
        <v>869.82</v>
      </c>
      <c r="G226">
        <v>1.2959999999999999E-2</v>
      </c>
      <c r="H226">
        <v>0</v>
      </c>
      <c r="I226">
        <v>26734.36</v>
      </c>
      <c r="J226">
        <v>23792.959999999999</v>
      </c>
      <c r="K226">
        <v>0</v>
      </c>
      <c r="L226">
        <v>29466.65</v>
      </c>
      <c r="M226">
        <v>0</v>
      </c>
      <c r="N226">
        <v>112118.64</v>
      </c>
      <c r="O226">
        <v>8858.0300000000007</v>
      </c>
      <c r="P226">
        <v>8665.9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4096.03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4688.12</v>
      </c>
      <c r="AH226">
        <v>0</v>
      </c>
      <c r="AI226">
        <v>0</v>
      </c>
      <c r="AJ226">
        <v>165056564.503492</v>
      </c>
    </row>
    <row r="227" spans="1:36" x14ac:dyDescent="0.25">
      <c r="A227" t="s">
        <v>288</v>
      </c>
      <c r="B227" t="s">
        <v>12</v>
      </c>
      <c r="D227">
        <v>23415.98</v>
      </c>
      <c r="E227">
        <v>8202.25</v>
      </c>
      <c r="G227">
        <v>0.122211</v>
      </c>
      <c r="H227">
        <v>0</v>
      </c>
      <c r="I227">
        <v>535135.54</v>
      </c>
      <c r="J227">
        <v>774617.57</v>
      </c>
      <c r="K227">
        <v>0</v>
      </c>
      <c r="L227">
        <v>436518</v>
      </c>
      <c r="M227">
        <v>0</v>
      </c>
      <c r="N227">
        <v>212779.05</v>
      </c>
      <c r="O227">
        <v>96120.89</v>
      </c>
      <c r="P227">
        <v>92257.47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449106.2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176952.53</v>
      </c>
      <c r="AH227">
        <v>0</v>
      </c>
      <c r="AI227">
        <v>0</v>
      </c>
      <c r="AJ227">
        <v>2402416542.4686999</v>
      </c>
    </row>
    <row r="228" spans="1:36" x14ac:dyDescent="0.25">
      <c r="A228" t="s">
        <v>289</v>
      </c>
      <c r="B228" t="s">
        <v>12</v>
      </c>
      <c r="C228">
        <v>8202.25</v>
      </c>
      <c r="D228">
        <v>23415.98</v>
      </c>
      <c r="G228">
        <v>0.122211</v>
      </c>
      <c r="H228">
        <v>0</v>
      </c>
      <c r="I228">
        <v>555482.76</v>
      </c>
      <c r="J228">
        <v>774617.57</v>
      </c>
      <c r="K228">
        <v>0</v>
      </c>
      <c r="L228">
        <v>436518</v>
      </c>
      <c r="M228">
        <v>0</v>
      </c>
      <c r="N228">
        <v>212816.87</v>
      </c>
      <c r="O228">
        <v>114533.93</v>
      </c>
      <c r="P228">
        <v>97032.46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449740.65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176954.13</v>
      </c>
      <c r="AH228">
        <v>0</v>
      </c>
      <c r="AI228">
        <v>0</v>
      </c>
      <c r="AJ228">
        <v>2401702287.4490199</v>
      </c>
    </row>
    <row r="229" spans="1:36" x14ac:dyDescent="0.25">
      <c r="A229" t="s">
        <v>290</v>
      </c>
      <c r="B229" t="s">
        <v>12</v>
      </c>
      <c r="C229">
        <v>869.82</v>
      </c>
      <c r="D229">
        <v>2483.19</v>
      </c>
      <c r="G229">
        <v>1.2959999999999999E-2</v>
      </c>
      <c r="H229">
        <v>0</v>
      </c>
      <c r="I229">
        <v>40046.89</v>
      </c>
      <c r="J229">
        <v>23792.959999999999</v>
      </c>
      <c r="K229">
        <v>0</v>
      </c>
      <c r="L229">
        <v>29466.65</v>
      </c>
      <c r="M229">
        <v>0</v>
      </c>
      <c r="N229">
        <v>112118.59</v>
      </c>
      <c r="O229">
        <v>13086.01</v>
      </c>
      <c r="P229">
        <v>10021.84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4096.0200000000004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4688.12</v>
      </c>
      <c r="AH229">
        <v>0</v>
      </c>
      <c r="AI229">
        <v>0</v>
      </c>
      <c r="AJ229">
        <v>208097946.56948799</v>
      </c>
    </row>
    <row r="230" spans="1:36" x14ac:dyDescent="0.25">
      <c r="A230" t="s">
        <v>291</v>
      </c>
      <c r="B230" t="s">
        <v>12</v>
      </c>
      <c r="D230">
        <v>5218.1499999999996</v>
      </c>
      <c r="E230">
        <v>1827.83</v>
      </c>
      <c r="G230">
        <v>2.7234000000000001E-2</v>
      </c>
      <c r="H230">
        <v>0</v>
      </c>
      <c r="I230">
        <v>155518.54999999999</v>
      </c>
      <c r="J230">
        <v>201226.15</v>
      </c>
      <c r="K230">
        <v>0</v>
      </c>
      <c r="L230">
        <v>282049.05</v>
      </c>
      <c r="M230">
        <v>0</v>
      </c>
      <c r="N230">
        <v>103681.2</v>
      </c>
      <c r="O230">
        <v>19084.78</v>
      </c>
      <c r="P230">
        <v>18731.78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185592.2</v>
      </c>
      <c r="W230">
        <v>0</v>
      </c>
      <c r="X230">
        <v>0</v>
      </c>
      <c r="Y230">
        <v>0</v>
      </c>
      <c r="Z230">
        <v>65854.75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126295.76</v>
      </c>
      <c r="AH230">
        <v>0</v>
      </c>
      <c r="AI230">
        <v>0</v>
      </c>
      <c r="AJ230">
        <v>538423152.91200697</v>
      </c>
    </row>
    <row r="231" spans="1:36" x14ac:dyDescent="0.25">
      <c r="A231" t="s">
        <v>292</v>
      </c>
      <c r="B231" t="s">
        <v>12</v>
      </c>
      <c r="C231">
        <v>1827.83</v>
      </c>
      <c r="D231">
        <v>5218.1499999999996</v>
      </c>
      <c r="G231">
        <v>2.7234000000000001E-2</v>
      </c>
      <c r="H231">
        <v>0</v>
      </c>
      <c r="I231">
        <v>174241.16</v>
      </c>
      <c r="J231">
        <v>201226.15</v>
      </c>
      <c r="K231">
        <v>0</v>
      </c>
      <c r="L231">
        <v>282049.05</v>
      </c>
      <c r="M231">
        <v>0</v>
      </c>
      <c r="N231">
        <v>103681.61</v>
      </c>
      <c r="O231">
        <v>21259.54</v>
      </c>
      <c r="P231">
        <v>18825.169999999998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185586.78</v>
      </c>
      <c r="W231">
        <v>0</v>
      </c>
      <c r="X231">
        <v>0</v>
      </c>
      <c r="Y231">
        <v>0</v>
      </c>
      <c r="Z231">
        <v>65854.75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126296.22</v>
      </c>
      <c r="AH231">
        <v>0</v>
      </c>
      <c r="AI231">
        <v>0</v>
      </c>
      <c r="AJ231">
        <v>590350218.66743898</v>
      </c>
    </row>
    <row r="232" spans="1:36" x14ac:dyDescent="0.25">
      <c r="A232" t="s">
        <v>293</v>
      </c>
      <c r="B232" t="s">
        <v>12</v>
      </c>
      <c r="C232">
        <v>11584.49</v>
      </c>
      <c r="D232">
        <v>33071.699999999997</v>
      </c>
      <c r="G232">
        <v>0.17260600000000001</v>
      </c>
      <c r="H232">
        <v>0</v>
      </c>
      <c r="I232">
        <v>880084.54</v>
      </c>
      <c r="J232">
        <v>463682.79</v>
      </c>
      <c r="K232">
        <v>0</v>
      </c>
      <c r="L232">
        <v>831153.37</v>
      </c>
      <c r="M232">
        <v>0</v>
      </c>
      <c r="N232">
        <v>227509.45</v>
      </c>
      <c r="O232">
        <v>243404.11</v>
      </c>
      <c r="P232">
        <v>212296.17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802130.94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115798.02</v>
      </c>
      <c r="AH232">
        <v>0</v>
      </c>
      <c r="AI232">
        <v>0</v>
      </c>
      <c r="AJ232">
        <v>2565232202.0202999</v>
      </c>
    </row>
    <row r="233" spans="1:36" x14ac:dyDescent="0.25">
      <c r="A233" t="s">
        <v>294</v>
      </c>
      <c r="B233" t="s">
        <v>12</v>
      </c>
      <c r="D233">
        <v>33071.699999999997</v>
      </c>
      <c r="E233">
        <v>11584.49</v>
      </c>
      <c r="G233">
        <v>0.17260600000000001</v>
      </c>
      <c r="H233">
        <v>0</v>
      </c>
      <c r="I233">
        <v>698711.66</v>
      </c>
      <c r="J233">
        <v>463682.79</v>
      </c>
      <c r="K233">
        <v>0</v>
      </c>
      <c r="L233">
        <v>831153.37</v>
      </c>
      <c r="M233">
        <v>0</v>
      </c>
      <c r="N233">
        <v>227022.59</v>
      </c>
      <c r="O233">
        <v>207257.97</v>
      </c>
      <c r="P233">
        <v>206150.18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804913.6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115799.29</v>
      </c>
      <c r="AH233">
        <v>0</v>
      </c>
      <c r="AI233">
        <v>0</v>
      </c>
      <c r="AJ233">
        <v>2031536279.5885601</v>
      </c>
    </row>
    <row r="234" spans="1:36" x14ac:dyDescent="0.25">
      <c r="A234" t="s">
        <v>295</v>
      </c>
      <c r="B234" t="s">
        <v>12</v>
      </c>
      <c r="D234">
        <v>39598.639999999999</v>
      </c>
      <c r="E234">
        <v>13870.77</v>
      </c>
      <c r="G234">
        <v>0.20667099999999999</v>
      </c>
      <c r="H234">
        <v>0</v>
      </c>
      <c r="I234">
        <v>950475.65</v>
      </c>
      <c r="J234">
        <v>857863.39</v>
      </c>
      <c r="K234">
        <v>0</v>
      </c>
      <c r="L234">
        <v>1141299.43</v>
      </c>
      <c r="M234">
        <v>0</v>
      </c>
      <c r="N234">
        <v>390337.32</v>
      </c>
      <c r="O234">
        <v>341998.64</v>
      </c>
      <c r="P234">
        <v>339598.17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905004.1</v>
      </c>
      <c r="W234">
        <v>0</v>
      </c>
      <c r="X234">
        <v>0</v>
      </c>
      <c r="Y234">
        <v>0</v>
      </c>
      <c r="Z234">
        <v>43737.51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275278.75</v>
      </c>
      <c r="AH234">
        <v>0</v>
      </c>
      <c r="AI234">
        <v>0</v>
      </c>
      <c r="AJ234">
        <v>3182198413.22686</v>
      </c>
    </row>
    <row r="235" spans="1:36" x14ac:dyDescent="0.25">
      <c r="A235" t="s">
        <v>296</v>
      </c>
      <c r="B235" t="s">
        <v>12</v>
      </c>
      <c r="C235">
        <v>13870.77</v>
      </c>
      <c r="D235">
        <v>39598.639999999999</v>
      </c>
      <c r="G235">
        <v>0.20667099999999999</v>
      </c>
      <c r="H235">
        <v>0</v>
      </c>
      <c r="I235">
        <v>1154859.07</v>
      </c>
      <c r="J235">
        <v>857863.39</v>
      </c>
      <c r="K235">
        <v>0</v>
      </c>
      <c r="L235">
        <v>1141299.43</v>
      </c>
      <c r="M235">
        <v>0</v>
      </c>
      <c r="N235">
        <v>390995.22</v>
      </c>
      <c r="O235">
        <v>408776.06</v>
      </c>
      <c r="P235">
        <v>359165.03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898569.79</v>
      </c>
      <c r="W235">
        <v>0</v>
      </c>
      <c r="X235">
        <v>0</v>
      </c>
      <c r="Y235">
        <v>0</v>
      </c>
      <c r="Z235">
        <v>43737.51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275281.77</v>
      </c>
      <c r="AH235">
        <v>0</v>
      </c>
      <c r="AI235">
        <v>0</v>
      </c>
      <c r="AJ235">
        <v>3211776437.34271</v>
      </c>
    </row>
    <row r="236" spans="1:36" x14ac:dyDescent="0.25">
      <c r="A236" t="s">
        <v>297</v>
      </c>
      <c r="B236" t="s">
        <v>12</v>
      </c>
      <c r="D236">
        <v>81414.080000000002</v>
      </c>
      <c r="E236">
        <v>28518.06</v>
      </c>
      <c r="G236">
        <v>0.42491099999999998</v>
      </c>
      <c r="H236">
        <v>0</v>
      </c>
      <c r="I236">
        <v>1725483.66</v>
      </c>
      <c r="J236">
        <v>1274541.22</v>
      </c>
      <c r="K236">
        <v>0</v>
      </c>
      <c r="L236">
        <v>3553012.2</v>
      </c>
      <c r="M236">
        <v>0</v>
      </c>
      <c r="N236">
        <v>1103453.6599999999</v>
      </c>
      <c r="O236">
        <v>319314.26</v>
      </c>
      <c r="P236">
        <v>320755.71000000002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1259092.54</v>
      </c>
      <c r="W236">
        <v>0</v>
      </c>
      <c r="X236">
        <v>0</v>
      </c>
      <c r="Y236">
        <v>0</v>
      </c>
      <c r="Z236">
        <v>127428.8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739479.65</v>
      </c>
      <c r="AH236">
        <v>0</v>
      </c>
      <c r="AI236">
        <v>0</v>
      </c>
      <c r="AJ236">
        <v>7003637812.9886303</v>
      </c>
    </row>
    <row r="237" spans="1:36" x14ac:dyDescent="0.25">
      <c r="A237" t="s">
        <v>298</v>
      </c>
      <c r="B237" t="s">
        <v>12</v>
      </c>
      <c r="D237">
        <v>5716.76</v>
      </c>
      <c r="E237">
        <v>2002.49</v>
      </c>
      <c r="G237">
        <v>2.9836999999999999E-2</v>
      </c>
      <c r="H237">
        <v>0</v>
      </c>
      <c r="I237">
        <v>174400.06</v>
      </c>
      <c r="J237">
        <v>197273.03</v>
      </c>
      <c r="K237">
        <v>0</v>
      </c>
      <c r="L237">
        <v>258328.15</v>
      </c>
      <c r="M237">
        <v>0</v>
      </c>
      <c r="N237">
        <v>364256.05</v>
      </c>
      <c r="O237">
        <v>22245.48</v>
      </c>
      <c r="P237">
        <v>22665.59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166194.51</v>
      </c>
      <c r="W237">
        <v>0</v>
      </c>
      <c r="X237">
        <v>0</v>
      </c>
      <c r="Y237">
        <v>0</v>
      </c>
      <c r="Z237">
        <v>64094.3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232584.48</v>
      </c>
      <c r="AH237">
        <v>0</v>
      </c>
      <c r="AI237">
        <v>0</v>
      </c>
      <c r="AJ237">
        <v>886332830.46445596</v>
      </c>
    </row>
    <row r="238" spans="1:36" x14ac:dyDescent="0.25">
      <c r="A238" t="s">
        <v>299</v>
      </c>
      <c r="B238" t="s">
        <v>12</v>
      </c>
      <c r="D238">
        <v>34487.19</v>
      </c>
      <c r="E238">
        <v>12080.31</v>
      </c>
      <c r="G238">
        <v>0.17999299999999999</v>
      </c>
      <c r="H238">
        <v>0</v>
      </c>
      <c r="I238">
        <v>630186.25</v>
      </c>
      <c r="J238">
        <v>350734.07</v>
      </c>
      <c r="K238">
        <v>0</v>
      </c>
      <c r="L238">
        <v>936314.72</v>
      </c>
      <c r="M238">
        <v>0</v>
      </c>
      <c r="N238">
        <v>344486.25</v>
      </c>
      <c r="O238">
        <v>246662.33</v>
      </c>
      <c r="P238">
        <v>250262.28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450287.69</v>
      </c>
      <c r="W238">
        <v>0</v>
      </c>
      <c r="X238">
        <v>0</v>
      </c>
      <c r="Y238">
        <v>0</v>
      </c>
      <c r="Z238">
        <v>68627.600000000006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486328.32000000001</v>
      </c>
      <c r="AH238">
        <v>0</v>
      </c>
      <c r="AI238">
        <v>0</v>
      </c>
      <c r="AJ238">
        <v>2535572592.32831</v>
      </c>
    </row>
    <row r="239" spans="1:36" x14ac:dyDescent="0.25">
      <c r="A239" t="s">
        <v>300</v>
      </c>
      <c r="B239" t="s">
        <v>12</v>
      </c>
      <c r="C239">
        <v>28518.06</v>
      </c>
      <c r="D239">
        <v>81414.080000000002</v>
      </c>
      <c r="G239">
        <v>0.42491099999999998</v>
      </c>
      <c r="H239">
        <v>0</v>
      </c>
      <c r="I239">
        <v>1990251.09</v>
      </c>
      <c r="J239">
        <v>1274541.22</v>
      </c>
      <c r="K239">
        <v>0</v>
      </c>
      <c r="L239">
        <v>3553012.2</v>
      </c>
      <c r="M239">
        <v>0</v>
      </c>
      <c r="N239">
        <v>1103319.78</v>
      </c>
      <c r="O239">
        <v>366431.41</v>
      </c>
      <c r="P239">
        <v>324164.28999999998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1255345.98</v>
      </c>
      <c r="W239">
        <v>0</v>
      </c>
      <c r="X239">
        <v>0</v>
      </c>
      <c r="Y239">
        <v>0</v>
      </c>
      <c r="Z239">
        <v>127428.8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739420.56</v>
      </c>
      <c r="AH239">
        <v>0</v>
      </c>
      <c r="AI239">
        <v>0</v>
      </c>
      <c r="AJ239">
        <v>7903736730.0484695</v>
      </c>
    </row>
    <row r="240" spans="1:36" x14ac:dyDescent="0.25">
      <c r="A240" t="s">
        <v>301</v>
      </c>
      <c r="B240" t="s">
        <v>12</v>
      </c>
      <c r="C240">
        <v>12080.31</v>
      </c>
      <c r="D240">
        <v>34487.19</v>
      </c>
      <c r="G240">
        <v>0.17999299999999999</v>
      </c>
      <c r="H240">
        <v>0</v>
      </c>
      <c r="I240">
        <v>958849.15</v>
      </c>
      <c r="J240">
        <v>350734.07</v>
      </c>
      <c r="K240">
        <v>0</v>
      </c>
      <c r="L240">
        <v>936314.72</v>
      </c>
      <c r="M240">
        <v>0</v>
      </c>
      <c r="N240">
        <v>344610.07</v>
      </c>
      <c r="O240">
        <v>293045.69</v>
      </c>
      <c r="P240">
        <v>262300.84000000003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452723.12</v>
      </c>
      <c r="W240">
        <v>0</v>
      </c>
      <c r="X240">
        <v>0</v>
      </c>
      <c r="Y240">
        <v>0</v>
      </c>
      <c r="Z240">
        <v>68627.600000000006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486315.51</v>
      </c>
      <c r="AH240">
        <v>0</v>
      </c>
      <c r="AI240">
        <v>0</v>
      </c>
      <c r="AJ240">
        <v>2712453996.6929002</v>
      </c>
    </row>
    <row r="241" spans="1:36" x14ac:dyDescent="0.25">
      <c r="A241" t="s">
        <v>302</v>
      </c>
      <c r="B241" t="s">
        <v>11</v>
      </c>
      <c r="D241">
        <v>17607.39</v>
      </c>
      <c r="E241">
        <v>6167.59</v>
      </c>
      <c r="G241">
        <v>9.1895000000000004E-2</v>
      </c>
      <c r="H241">
        <v>0</v>
      </c>
      <c r="I241">
        <v>48308.84</v>
      </c>
      <c r="J241">
        <v>774617.57</v>
      </c>
      <c r="K241">
        <v>0</v>
      </c>
      <c r="L241">
        <v>436518</v>
      </c>
      <c r="M241">
        <v>0</v>
      </c>
      <c r="N241">
        <v>118665.49</v>
      </c>
      <c r="O241">
        <v>20015.34</v>
      </c>
      <c r="P241">
        <v>18746.11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253108.53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192561.22</v>
      </c>
      <c r="AH241">
        <v>0</v>
      </c>
      <c r="AI241">
        <v>0</v>
      </c>
      <c r="AJ241">
        <v>1338904359.0875101</v>
      </c>
    </row>
    <row r="242" spans="1:36" x14ac:dyDescent="0.25">
      <c r="A242" t="s">
        <v>303</v>
      </c>
      <c r="B242" t="s">
        <v>11</v>
      </c>
      <c r="C242">
        <v>6167.59</v>
      </c>
      <c r="D242">
        <v>17607.39</v>
      </c>
      <c r="G242">
        <v>9.1895000000000004E-2</v>
      </c>
      <c r="H242">
        <v>0</v>
      </c>
      <c r="I242">
        <v>55866.92</v>
      </c>
      <c r="J242">
        <v>774617.57</v>
      </c>
      <c r="K242">
        <v>0</v>
      </c>
      <c r="L242">
        <v>436518</v>
      </c>
      <c r="M242">
        <v>0</v>
      </c>
      <c r="N242">
        <v>118735.41</v>
      </c>
      <c r="O242">
        <v>27270.16</v>
      </c>
      <c r="P242">
        <v>21468.36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253613.15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192558</v>
      </c>
      <c r="AH242">
        <v>0</v>
      </c>
      <c r="AI242">
        <v>0</v>
      </c>
      <c r="AJ242">
        <v>1348749771.5325899</v>
      </c>
    </row>
    <row r="243" spans="1:36" x14ac:dyDescent="0.25">
      <c r="A243" t="s">
        <v>304</v>
      </c>
      <c r="B243" t="s">
        <v>12</v>
      </c>
      <c r="C243">
        <v>2002.49</v>
      </c>
      <c r="D243">
        <v>5716.76</v>
      </c>
      <c r="G243">
        <v>2.9836999999999999E-2</v>
      </c>
      <c r="H243">
        <v>0</v>
      </c>
      <c r="I243">
        <v>187598.63</v>
      </c>
      <c r="J243">
        <v>197273.03</v>
      </c>
      <c r="K243">
        <v>0</v>
      </c>
      <c r="L243">
        <v>258328.15</v>
      </c>
      <c r="M243">
        <v>0</v>
      </c>
      <c r="N243">
        <v>364129.53</v>
      </c>
      <c r="O243">
        <v>25267.75</v>
      </c>
      <c r="P243">
        <v>22817.62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165577.73000000001</v>
      </c>
      <c r="W243">
        <v>0</v>
      </c>
      <c r="X243">
        <v>0</v>
      </c>
      <c r="Y243">
        <v>0</v>
      </c>
      <c r="Z243">
        <v>64094.3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232584.08</v>
      </c>
      <c r="AH243">
        <v>0</v>
      </c>
      <c r="AI243">
        <v>0</v>
      </c>
      <c r="AJ243">
        <v>929129198.13156295</v>
      </c>
    </row>
    <row r="244" spans="1:36" x14ac:dyDescent="0.25">
      <c r="A244" t="s">
        <v>305</v>
      </c>
      <c r="B244" t="s">
        <v>11</v>
      </c>
      <c r="D244">
        <v>1994.24</v>
      </c>
      <c r="E244">
        <v>698.55</v>
      </c>
      <c r="G244">
        <v>1.0408000000000001E-2</v>
      </c>
      <c r="H244">
        <v>0</v>
      </c>
      <c r="I244">
        <v>4750.96</v>
      </c>
      <c r="J244">
        <v>23792.959999999999</v>
      </c>
      <c r="K244">
        <v>0</v>
      </c>
      <c r="L244">
        <v>29466.65</v>
      </c>
      <c r="M244">
        <v>0</v>
      </c>
      <c r="N244">
        <v>92403.61</v>
      </c>
      <c r="O244">
        <v>3900.59</v>
      </c>
      <c r="P244">
        <v>3920.4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7941.68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5049.1000000000004</v>
      </c>
      <c r="AH244">
        <v>0</v>
      </c>
      <c r="AI244">
        <v>0</v>
      </c>
      <c r="AJ244">
        <v>78869043.624389395</v>
      </c>
    </row>
    <row r="245" spans="1:36" x14ac:dyDescent="0.25">
      <c r="A245" t="s">
        <v>306</v>
      </c>
      <c r="B245" t="s">
        <v>11</v>
      </c>
      <c r="C245">
        <v>698.55</v>
      </c>
      <c r="D245">
        <v>1994.24</v>
      </c>
      <c r="G245">
        <v>1.0408000000000001E-2</v>
      </c>
      <c r="H245">
        <v>0</v>
      </c>
      <c r="I245">
        <v>6259.67</v>
      </c>
      <c r="J245">
        <v>23792.959999999999</v>
      </c>
      <c r="K245">
        <v>0</v>
      </c>
      <c r="L245">
        <v>29466.65</v>
      </c>
      <c r="M245">
        <v>0</v>
      </c>
      <c r="N245">
        <v>92403.61</v>
      </c>
      <c r="O245">
        <v>8071.77</v>
      </c>
      <c r="P245">
        <v>6207.59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7941.68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5049.1000000000004</v>
      </c>
      <c r="AH245">
        <v>0</v>
      </c>
      <c r="AI245">
        <v>0</v>
      </c>
      <c r="AJ245">
        <v>92963779.949434102</v>
      </c>
    </row>
    <row r="246" spans="1:36" x14ac:dyDescent="0.25">
      <c r="A246" t="s">
        <v>307</v>
      </c>
      <c r="B246" t="s">
        <v>11</v>
      </c>
      <c r="D246">
        <v>4102.88</v>
      </c>
      <c r="E246">
        <v>1437.17</v>
      </c>
      <c r="G246">
        <v>2.1413000000000001E-2</v>
      </c>
      <c r="H246">
        <v>0</v>
      </c>
      <c r="I246">
        <v>35794.410000000003</v>
      </c>
      <c r="J246">
        <v>201226.15</v>
      </c>
      <c r="K246">
        <v>0</v>
      </c>
      <c r="L246">
        <v>282049.05</v>
      </c>
      <c r="M246">
        <v>0</v>
      </c>
      <c r="N246">
        <v>71093.179999999993</v>
      </c>
      <c r="O246">
        <v>5378.3</v>
      </c>
      <c r="P246">
        <v>4950.49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178006.16</v>
      </c>
      <c r="W246">
        <v>0</v>
      </c>
      <c r="X246">
        <v>0</v>
      </c>
      <c r="Y246">
        <v>0</v>
      </c>
      <c r="Z246">
        <v>65854.75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137437.71</v>
      </c>
      <c r="AH246">
        <v>0</v>
      </c>
      <c r="AI246">
        <v>0</v>
      </c>
      <c r="AJ246">
        <v>342090687.01695597</v>
      </c>
    </row>
    <row r="247" spans="1:36" x14ac:dyDescent="0.25">
      <c r="A247" t="s">
        <v>308</v>
      </c>
      <c r="B247" t="s">
        <v>11</v>
      </c>
      <c r="C247">
        <v>1437.17</v>
      </c>
      <c r="D247">
        <v>4102.88</v>
      </c>
      <c r="G247">
        <v>2.1413000000000001E-2</v>
      </c>
      <c r="H247">
        <v>0</v>
      </c>
      <c r="I247">
        <v>36734.699999999997</v>
      </c>
      <c r="J247">
        <v>201226.15</v>
      </c>
      <c r="K247">
        <v>0</v>
      </c>
      <c r="L247">
        <v>282049.05</v>
      </c>
      <c r="M247">
        <v>0</v>
      </c>
      <c r="N247">
        <v>71096.2</v>
      </c>
      <c r="O247">
        <v>5949.52</v>
      </c>
      <c r="P247">
        <v>5026.82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178023.19</v>
      </c>
      <c r="W247">
        <v>0</v>
      </c>
      <c r="X247">
        <v>0</v>
      </c>
      <c r="Y247">
        <v>0</v>
      </c>
      <c r="Z247">
        <v>65854.75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137437.79</v>
      </c>
      <c r="AH247">
        <v>0</v>
      </c>
      <c r="AI247">
        <v>0</v>
      </c>
      <c r="AJ247">
        <v>355230656.95953202</v>
      </c>
    </row>
    <row r="248" spans="1:36" x14ac:dyDescent="0.25">
      <c r="A248" t="s">
        <v>309</v>
      </c>
      <c r="B248" t="s">
        <v>11</v>
      </c>
      <c r="D248">
        <v>26540.880000000001</v>
      </c>
      <c r="E248">
        <v>9296.85</v>
      </c>
      <c r="G248">
        <v>0.13852</v>
      </c>
      <c r="H248">
        <v>0</v>
      </c>
      <c r="I248">
        <v>88092.55</v>
      </c>
      <c r="J248">
        <v>463682.79</v>
      </c>
      <c r="K248">
        <v>0</v>
      </c>
      <c r="L248">
        <v>831153.37</v>
      </c>
      <c r="M248">
        <v>0</v>
      </c>
      <c r="N248">
        <v>162571.37</v>
      </c>
      <c r="O248">
        <v>89893</v>
      </c>
      <c r="P248">
        <v>95038.16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775480.49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126002.45</v>
      </c>
      <c r="AH248">
        <v>0</v>
      </c>
      <c r="AI248">
        <v>0</v>
      </c>
      <c r="AJ248">
        <v>1423702696.9358399</v>
      </c>
    </row>
    <row r="249" spans="1:36" x14ac:dyDescent="0.25">
      <c r="A249" t="s">
        <v>310</v>
      </c>
      <c r="B249" t="s">
        <v>11</v>
      </c>
      <c r="C249">
        <v>9296.85</v>
      </c>
      <c r="D249">
        <v>26540.880000000001</v>
      </c>
      <c r="G249">
        <v>0.13852</v>
      </c>
      <c r="H249">
        <v>0</v>
      </c>
      <c r="I249">
        <v>151713.66</v>
      </c>
      <c r="J249">
        <v>463682.79</v>
      </c>
      <c r="K249">
        <v>0</v>
      </c>
      <c r="L249">
        <v>831153.37</v>
      </c>
      <c r="M249">
        <v>0</v>
      </c>
      <c r="N249">
        <v>162578</v>
      </c>
      <c r="O249">
        <v>112374.17</v>
      </c>
      <c r="P249">
        <v>98658.62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774104.7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126002.03</v>
      </c>
      <c r="AH249">
        <v>0</v>
      </c>
      <c r="AI249">
        <v>0</v>
      </c>
      <c r="AJ249">
        <v>1522269587.2402301</v>
      </c>
    </row>
    <row r="250" spans="1:36" x14ac:dyDescent="0.25">
      <c r="A250" t="s">
        <v>311</v>
      </c>
      <c r="B250" t="s">
        <v>11</v>
      </c>
      <c r="C250">
        <v>11273.28</v>
      </c>
      <c r="D250">
        <v>32183.24</v>
      </c>
      <c r="G250">
        <v>0.16796900000000001</v>
      </c>
      <c r="H250">
        <v>0</v>
      </c>
      <c r="I250">
        <v>331585.53999999998</v>
      </c>
      <c r="J250">
        <v>857863.39</v>
      </c>
      <c r="K250">
        <v>0</v>
      </c>
      <c r="L250">
        <v>1141299.43</v>
      </c>
      <c r="M250">
        <v>0</v>
      </c>
      <c r="N250">
        <v>209811.94</v>
      </c>
      <c r="O250">
        <v>328180.67</v>
      </c>
      <c r="P250">
        <v>298785.99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515855.9</v>
      </c>
      <c r="W250">
        <v>0</v>
      </c>
      <c r="X250">
        <v>0</v>
      </c>
      <c r="Y250">
        <v>0</v>
      </c>
      <c r="Z250">
        <v>43737.51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299616.37</v>
      </c>
      <c r="AH250">
        <v>0</v>
      </c>
      <c r="AI250">
        <v>0</v>
      </c>
      <c r="AJ250">
        <v>1851890986.7426901</v>
      </c>
    </row>
    <row r="251" spans="1:36" x14ac:dyDescent="0.25">
      <c r="A251" t="s">
        <v>312</v>
      </c>
      <c r="B251" t="s">
        <v>11</v>
      </c>
      <c r="D251">
        <v>32183.24</v>
      </c>
      <c r="E251">
        <v>11273.28</v>
      </c>
      <c r="G251">
        <v>0.16796900000000001</v>
      </c>
      <c r="H251">
        <v>0</v>
      </c>
      <c r="I251">
        <v>152430.32999999999</v>
      </c>
      <c r="J251">
        <v>857863.39</v>
      </c>
      <c r="K251">
        <v>0</v>
      </c>
      <c r="L251">
        <v>1141299.43</v>
      </c>
      <c r="M251">
        <v>0</v>
      </c>
      <c r="N251">
        <v>209771.42</v>
      </c>
      <c r="O251">
        <v>259312.43</v>
      </c>
      <c r="P251">
        <v>284923.53999999998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516985.46</v>
      </c>
      <c r="W251">
        <v>0</v>
      </c>
      <c r="X251">
        <v>0</v>
      </c>
      <c r="Y251">
        <v>0</v>
      </c>
      <c r="Z251">
        <v>43737.51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299615.73</v>
      </c>
      <c r="AH251">
        <v>0</v>
      </c>
      <c r="AI251">
        <v>0</v>
      </c>
      <c r="AJ251">
        <v>1784646141.20439</v>
      </c>
    </row>
    <row r="252" spans="1:36" x14ac:dyDescent="0.25">
      <c r="A252" t="s">
        <v>313</v>
      </c>
      <c r="B252" t="s">
        <v>11</v>
      </c>
      <c r="D252">
        <v>4451.92</v>
      </c>
      <c r="E252">
        <v>1559.44</v>
      </c>
      <c r="G252">
        <v>2.3234999999999999E-2</v>
      </c>
      <c r="H252">
        <v>0</v>
      </c>
      <c r="I252">
        <v>27464.91</v>
      </c>
      <c r="J252">
        <v>197273.03</v>
      </c>
      <c r="K252">
        <v>0</v>
      </c>
      <c r="L252">
        <v>258328.15</v>
      </c>
      <c r="M252">
        <v>0</v>
      </c>
      <c r="N252">
        <v>314608.24</v>
      </c>
      <c r="O252">
        <v>5857.67</v>
      </c>
      <c r="P252">
        <v>6001.69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196347.49</v>
      </c>
      <c r="W252">
        <v>0</v>
      </c>
      <c r="X252">
        <v>0</v>
      </c>
      <c r="Y252">
        <v>0</v>
      </c>
      <c r="Z252">
        <v>64094.3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253176.88</v>
      </c>
      <c r="AH252">
        <v>0</v>
      </c>
      <c r="AI252">
        <v>0</v>
      </c>
      <c r="AJ252">
        <v>564260322.53592896</v>
      </c>
    </row>
    <row r="253" spans="1:36" x14ac:dyDescent="0.25">
      <c r="A253" t="s">
        <v>314</v>
      </c>
      <c r="B253" t="s">
        <v>11</v>
      </c>
      <c r="C253">
        <v>1559.44</v>
      </c>
      <c r="D253">
        <v>4451.92</v>
      </c>
      <c r="G253">
        <v>2.3234999999999999E-2</v>
      </c>
      <c r="H253">
        <v>0</v>
      </c>
      <c r="I253">
        <v>30252.43</v>
      </c>
      <c r="J253">
        <v>197273.03</v>
      </c>
      <c r="K253">
        <v>0</v>
      </c>
      <c r="L253">
        <v>258328.15</v>
      </c>
      <c r="M253">
        <v>0</v>
      </c>
      <c r="N253">
        <v>314624.27</v>
      </c>
      <c r="O253">
        <v>6771.3</v>
      </c>
      <c r="P253">
        <v>5981.25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196355.18</v>
      </c>
      <c r="W253">
        <v>0</v>
      </c>
      <c r="X253">
        <v>0</v>
      </c>
      <c r="Y253">
        <v>0</v>
      </c>
      <c r="Z253">
        <v>64094.3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253183.63</v>
      </c>
      <c r="AH253">
        <v>0</v>
      </c>
      <c r="AI253">
        <v>0</v>
      </c>
      <c r="AJ253">
        <v>579250703.51422799</v>
      </c>
    </row>
    <row r="254" spans="1:36" x14ac:dyDescent="0.25">
      <c r="A254" t="s">
        <v>315</v>
      </c>
      <c r="B254" t="s">
        <v>11</v>
      </c>
      <c r="C254">
        <v>9394.92</v>
      </c>
      <c r="D254">
        <v>26820.85</v>
      </c>
      <c r="G254">
        <v>0.139982</v>
      </c>
      <c r="H254">
        <v>0</v>
      </c>
      <c r="I254">
        <v>306314.87</v>
      </c>
      <c r="J254">
        <v>350734.07</v>
      </c>
      <c r="K254">
        <v>0</v>
      </c>
      <c r="L254">
        <v>936314.72</v>
      </c>
      <c r="M254">
        <v>0</v>
      </c>
      <c r="N254">
        <v>250366.74</v>
      </c>
      <c r="O254">
        <v>219858.82</v>
      </c>
      <c r="P254">
        <v>203288.72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333355.78999999998</v>
      </c>
      <c r="W254">
        <v>0</v>
      </c>
      <c r="X254">
        <v>0</v>
      </c>
      <c r="Y254">
        <v>0</v>
      </c>
      <c r="Z254">
        <v>68627.600000000006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530266</v>
      </c>
      <c r="AH254">
        <v>0</v>
      </c>
      <c r="AI254">
        <v>0</v>
      </c>
      <c r="AJ254">
        <v>1615348954.5117199</v>
      </c>
    </row>
    <row r="255" spans="1:36" x14ac:dyDescent="0.25">
      <c r="A255" t="s">
        <v>316</v>
      </c>
      <c r="B255" t="s">
        <v>11</v>
      </c>
      <c r="C255">
        <v>24045.29</v>
      </c>
      <c r="D255">
        <v>68645.119999999995</v>
      </c>
      <c r="G255">
        <v>0.35826799999999998</v>
      </c>
      <c r="H255">
        <v>0</v>
      </c>
      <c r="I255">
        <v>245988.82</v>
      </c>
      <c r="J255">
        <v>1274541.22</v>
      </c>
      <c r="K255">
        <v>0</v>
      </c>
      <c r="L255">
        <v>3553012.2</v>
      </c>
      <c r="M255">
        <v>0</v>
      </c>
      <c r="N255">
        <v>893241.61</v>
      </c>
      <c r="O255">
        <v>76585.009999999995</v>
      </c>
      <c r="P255">
        <v>62110.23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1006937.97</v>
      </c>
      <c r="W255">
        <v>0</v>
      </c>
      <c r="X255">
        <v>0</v>
      </c>
      <c r="Y255">
        <v>0</v>
      </c>
      <c r="Z255">
        <v>127428.8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805513.46</v>
      </c>
      <c r="AH255">
        <v>0</v>
      </c>
      <c r="AI255">
        <v>0</v>
      </c>
      <c r="AJ255">
        <v>5087041337.6226397</v>
      </c>
    </row>
    <row r="256" spans="1:36" x14ac:dyDescent="0.25">
      <c r="A256" t="s">
        <v>317</v>
      </c>
      <c r="B256" t="s">
        <v>11</v>
      </c>
      <c r="D256">
        <v>26820.85</v>
      </c>
      <c r="E256">
        <v>9394.92</v>
      </c>
      <c r="G256">
        <v>0.139982</v>
      </c>
      <c r="H256">
        <v>0</v>
      </c>
      <c r="I256">
        <v>88910.01</v>
      </c>
      <c r="J256">
        <v>350734.07</v>
      </c>
      <c r="K256">
        <v>0</v>
      </c>
      <c r="L256">
        <v>936314.72</v>
      </c>
      <c r="M256">
        <v>0</v>
      </c>
      <c r="N256">
        <v>249804.28</v>
      </c>
      <c r="O256">
        <v>177154.51</v>
      </c>
      <c r="P256">
        <v>198095.83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333355.5</v>
      </c>
      <c r="W256">
        <v>0</v>
      </c>
      <c r="X256">
        <v>0</v>
      </c>
      <c r="Y256">
        <v>0</v>
      </c>
      <c r="Z256">
        <v>68627.600000000006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530229.18000000005</v>
      </c>
      <c r="AH256">
        <v>0</v>
      </c>
      <c r="AI256">
        <v>0</v>
      </c>
      <c r="AJ256">
        <v>1430996695.1997299</v>
      </c>
    </row>
    <row r="257" spans="1:36" x14ac:dyDescent="0.25">
      <c r="A257" t="s">
        <v>318</v>
      </c>
      <c r="B257" t="s">
        <v>11</v>
      </c>
      <c r="D257">
        <v>68645.119999999995</v>
      </c>
      <c r="E257">
        <v>24045.29</v>
      </c>
      <c r="G257">
        <v>0.35826799999999998</v>
      </c>
      <c r="H257">
        <v>0</v>
      </c>
      <c r="I257">
        <v>211578.73</v>
      </c>
      <c r="J257">
        <v>1274541.22</v>
      </c>
      <c r="K257">
        <v>0</v>
      </c>
      <c r="L257">
        <v>3553012.2</v>
      </c>
      <c r="M257">
        <v>0</v>
      </c>
      <c r="N257">
        <v>893162.05</v>
      </c>
      <c r="O257">
        <v>63466.59</v>
      </c>
      <c r="P257">
        <v>59515.14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1006788.01</v>
      </c>
      <c r="W257">
        <v>0</v>
      </c>
      <c r="X257">
        <v>0</v>
      </c>
      <c r="Y257">
        <v>0</v>
      </c>
      <c r="Z257">
        <v>127428.8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805513.45</v>
      </c>
      <c r="AH257">
        <v>0</v>
      </c>
      <c r="AI257">
        <v>0</v>
      </c>
      <c r="AJ257">
        <v>4713921395.4341202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AF38-7F23-4B31-BCB9-8EE2060E0CD8}">
  <dimension ref="A1:AJ257"/>
  <sheetViews>
    <sheetView workbookViewId="0"/>
  </sheetViews>
  <sheetFormatPr defaultRowHeight="15" x14ac:dyDescent="0.25"/>
  <sheetData>
    <row r="1" spans="1:3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</row>
    <row r="2" spans="1:36" x14ac:dyDescent="0.25">
      <c r="A2" t="s">
        <v>319</v>
      </c>
      <c r="B2" t="s">
        <v>26</v>
      </c>
      <c r="D2">
        <v>15946.91</v>
      </c>
      <c r="E2">
        <v>5585.95</v>
      </c>
      <c r="G2">
        <v>8.3228999999999997E-2</v>
      </c>
      <c r="H2">
        <v>0</v>
      </c>
      <c r="I2">
        <v>449048.38</v>
      </c>
      <c r="J2">
        <v>394508.4</v>
      </c>
      <c r="K2">
        <v>0</v>
      </c>
      <c r="L2">
        <v>436518</v>
      </c>
      <c r="M2">
        <v>0</v>
      </c>
      <c r="N2">
        <v>288004.57</v>
      </c>
      <c r="O2">
        <v>72943</v>
      </c>
      <c r="P2">
        <v>67436.649999999994</v>
      </c>
      <c r="Q2">
        <v>0</v>
      </c>
      <c r="R2">
        <v>0</v>
      </c>
      <c r="S2">
        <v>0</v>
      </c>
      <c r="T2">
        <v>0</v>
      </c>
      <c r="U2">
        <v>0</v>
      </c>
      <c r="V2">
        <v>578239.31999999995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174059.91</v>
      </c>
      <c r="AH2">
        <v>0</v>
      </c>
      <c r="AI2">
        <v>0</v>
      </c>
      <c r="AJ2">
        <v>1636597668.1107399</v>
      </c>
    </row>
    <row r="3" spans="1:36" x14ac:dyDescent="0.25">
      <c r="A3" t="s">
        <v>320</v>
      </c>
      <c r="B3" t="s">
        <v>26</v>
      </c>
      <c r="C3">
        <v>5585.95</v>
      </c>
      <c r="D3">
        <v>15946.91</v>
      </c>
      <c r="G3">
        <v>8.3228999999999997E-2</v>
      </c>
      <c r="H3">
        <v>0</v>
      </c>
      <c r="I3">
        <v>491944.21</v>
      </c>
      <c r="J3">
        <v>394508.4</v>
      </c>
      <c r="K3">
        <v>0</v>
      </c>
      <c r="L3">
        <v>436518</v>
      </c>
      <c r="M3">
        <v>0</v>
      </c>
      <c r="N3">
        <v>288113.90999999997</v>
      </c>
      <c r="O3">
        <v>83854.570000000007</v>
      </c>
      <c r="P3">
        <v>68196.649999999994</v>
      </c>
      <c r="Q3">
        <v>0</v>
      </c>
      <c r="R3">
        <v>0</v>
      </c>
      <c r="S3">
        <v>0</v>
      </c>
      <c r="T3">
        <v>0</v>
      </c>
      <c r="U3">
        <v>0</v>
      </c>
      <c r="V3">
        <v>577616.27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174058.49</v>
      </c>
      <c r="AH3">
        <v>0</v>
      </c>
      <c r="AI3">
        <v>0</v>
      </c>
      <c r="AJ3">
        <v>1620367272.70275</v>
      </c>
    </row>
    <row r="4" spans="1:36" x14ac:dyDescent="0.25">
      <c r="A4" t="s">
        <v>321</v>
      </c>
      <c r="B4" t="s">
        <v>26</v>
      </c>
      <c r="D4">
        <v>1394.09</v>
      </c>
      <c r="E4">
        <v>488.33</v>
      </c>
      <c r="G4">
        <v>7.2760000000000003E-3</v>
      </c>
      <c r="H4">
        <v>0</v>
      </c>
      <c r="I4">
        <v>22357.07</v>
      </c>
      <c r="J4">
        <v>12134.67</v>
      </c>
      <c r="K4">
        <v>0</v>
      </c>
      <c r="L4">
        <v>29466.65</v>
      </c>
      <c r="M4">
        <v>0</v>
      </c>
      <c r="N4">
        <v>69147.899999999994</v>
      </c>
      <c r="O4">
        <v>5562.3</v>
      </c>
      <c r="P4">
        <v>5097.45</v>
      </c>
      <c r="Q4">
        <v>0</v>
      </c>
      <c r="R4">
        <v>0</v>
      </c>
      <c r="S4">
        <v>0</v>
      </c>
      <c r="T4">
        <v>0</v>
      </c>
      <c r="U4">
        <v>0</v>
      </c>
      <c r="V4">
        <v>9275.7900000000009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4620.5200000000004</v>
      </c>
      <c r="AH4">
        <v>0</v>
      </c>
      <c r="AI4">
        <v>0</v>
      </c>
      <c r="AJ4">
        <v>88952786.016296506</v>
      </c>
    </row>
    <row r="5" spans="1:36" x14ac:dyDescent="0.25">
      <c r="A5" t="s">
        <v>322</v>
      </c>
      <c r="B5" t="s">
        <v>26</v>
      </c>
      <c r="C5">
        <v>488.33</v>
      </c>
      <c r="D5">
        <v>1394.09</v>
      </c>
      <c r="G5">
        <v>7.2760000000000003E-3</v>
      </c>
      <c r="H5">
        <v>0</v>
      </c>
      <c r="I5">
        <v>31931.71</v>
      </c>
      <c r="J5">
        <v>12134.67</v>
      </c>
      <c r="K5">
        <v>0</v>
      </c>
      <c r="L5">
        <v>29466.65</v>
      </c>
      <c r="M5">
        <v>0</v>
      </c>
      <c r="N5">
        <v>69147.66</v>
      </c>
      <c r="O5">
        <v>7470.68</v>
      </c>
      <c r="P5">
        <v>5360.73</v>
      </c>
      <c r="Q5">
        <v>0</v>
      </c>
      <c r="R5">
        <v>0</v>
      </c>
      <c r="S5">
        <v>0</v>
      </c>
      <c r="T5">
        <v>0</v>
      </c>
      <c r="U5">
        <v>0</v>
      </c>
      <c r="V5">
        <v>9275.7999999999993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4620.5200000000004</v>
      </c>
      <c r="AH5">
        <v>0</v>
      </c>
      <c r="AI5">
        <v>0</v>
      </c>
      <c r="AJ5">
        <v>104036318.550659</v>
      </c>
    </row>
    <row r="6" spans="1:36" x14ac:dyDescent="0.25">
      <c r="A6" t="s">
        <v>323</v>
      </c>
      <c r="B6" t="s">
        <v>26</v>
      </c>
      <c r="D6">
        <v>3790.34</v>
      </c>
      <c r="E6">
        <v>1327.7</v>
      </c>
      <c r="G6">
        <v>1.9782000000000001E-2</v>
      </c>
      <c r="H6">
        <v>0</v>
      </c>
      <c r="I6">
        <v>164349.18</v>
      </c>
      <c r="J6">
        <v>103288.37</v>
      </c>
      <c r="K6">
        <v>0</v>
      </c>
      <c r="L6">
        <v>282049.05</v>
      </c>
      <c r="M6">
        <v>0</v>
      </c>
      <c r="N6">
        <v>125209.89</v>
      </c>
      <c r="O6">
        <v>16775.77</v>
      </c>
      <c r="P6">
        <v>15052.1</v>
      </c>
      <c r="Q6">
        <v>0</v>
      </c>
      <c r="R6">
        <v>0</v>
      </c>
      <c r="S6">
        <v>0</v>
      </c>
      <c r="T6">
        <v>0</v>
      </c>
      <c r="U6">
        <v>0</v>
      </c>
      <c r="V6">
        <v>245110.14</v>
      </c>
      <c r="W6">
        <v>0</v>
      </c>
      <c r="X6">
        <v>0</v>
      </c>
      <c r="Y6">
        <v>0</v>
      </c>
      <c r="Z6">
        <v>65854.75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124214</v>
      </c>
      <c r="AH6">
        <v>0</v>
      </c>
      <c r="AI6">
        <v>0</v>
      </c>
      <c r="AJ6">
        <v>428303255.59432</v>
      </c>
    </row>
    <row r="7" spans="1:36" x14ac:dyDescent="0.25">
      <c r="A7" t="s">
        <v>324</v>
      </c>
      <c r="B7" t="s">
        <v>26</v>
      </c>
      <c r="C7">
        <v>7874.99</v>
      </c>
      <c r="D7">
        <v>22481.73</v>
      </c>
      <c r="G7">
        <v>0.11733499999999999</v>
      </c>
      <c r="H7">
        <v>0</v>
      </c>
      <c r="I7">
        <v>805347.41</v>
      </c>
      <c r="J7">
        <v>239542.44</v>
      </c>
      <c r="K7">
        <v>0</v>
      </c>
      <c r="L7">
        <v>831153.37</v>
      </c>
      <c r="M7">
        <v>0</v>
      </c>
      <c r="N7">
        <v>289853.27</v>
      </c>
      <c r="O7">
        <v>197835.26</v>
      </c>
      <c r="P7">
        <v>141716.65</v>
      </c>
      <c r="Q7">
        <v>0</v>
      </c>
      <c r="R7">
        <v>0</v>
      </c>
      <c r="S7">
        <v>0</v>
      </c>
      <c r="T7">
        <v>0</v>
      </c>
      <c r="U7">
        <v>0</v>
      </c>
      <c r="V7">
        <v>715529.92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113887.82</v>
      </c>
      <c r="AH7">
        <v>0</v>
      </c>
      <c r="AI7">
        <v>0</v>
      </c>
      <c r="AJ7">
        <v>1614638558.0457201</v>
      </c>
    </row>
    <row r="8" spans="1:36" x14ac:dyDescent="0.25">
      <c r="A8" t="s">
        <v>325</v>
      </c>
      <c r="B8" t="s">
        <v>26</v>
      </c>
      <c r="D8">
        <v>22481.73</v>
      </c>
      <c r="E8">
        <v>7874.99</v>
      </c>
      <c r="G8">
        <v>0.11733499999999999</v>
      </c>
      <c r="H8">
        <v>0</v>
      </c>
      <c r="I8">
        <v>581058.64</v>
      </c>
      <c r="J8">
        <v>239542.44</v>
      </c>
      <c r="K8">
        <v>0</v>
      </c>
      <c r="L8">
        <v>831153.37</v>
      </c>
      <c r="M8">
        <v>0</v>
      </c>
      <c r="N8">
        <v>288562.93</v>
      </c>
      <c r="O8">
        <v>169262.38</v>
      </c>
      <c r="P8">
        <v>136379.17000000001</v>
      </c>
      <c r="Q8">
        <v>0</v>
      </c>
      <c r="R8">
        <v>0</v>
      </c>
      <c r="S8">
        <v>0</v>
      </c>
      <c r="T8">
        <v>0</v>
      </c>
      <c r="U8">
        <v>0</v>
      </c>
      <c r="V8">
        <v>719090.96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113890.92</v>
      </c>
      <c r="AH8">
        <v>0</v>
      </c>
      <c r="AI8">
        <v>0</v>
      </c>
      <c r="AJ8">
        <v>1346592085.2354</v>
      </c>
    </row>
    <row r="9" spans="1:36" x14ac:dyDescent="0.25">
      <c r="A9" t="s">
        <v>326</v>
      </c>
      <c r="B9" t="s">
        <v>26</v>
      </c>
      <c r="C9">
        <v>1327.7</v>
      </c>
      <c r="D9">
        <v>3790.34</v>
      </c>
      <c r="G9">
        <v>1.9782000000000001E-2</v>
      </c>
      <c r="H9">
        <v>0</v>
      </c>
      <c r="I9">
        <v>188342.04</v>
      </c>
      <c r="J9">
        <v>103288.37</v>
      </c>
      <c r="K9">
        <v>0</v>
      </c>
      <c r="L9">
        <v>282049.05</v>
      </c>
      <c r="M9">
        <v>0</v>
      </c>
      <c r="N9">
        <v>125209.79</v>
      </c>
      <c r="O9">
        <v>19148.25</v>
      </c>
      <c r="P9">
        <v>15118.81</v>
      </c>
      <c r="Q9">
        <v>0</v>
      </c>
      <c r="R9">
        <v>0</v>
      </c>
      <c r="S9">
        <v>0</v>
      </c>
      <c r="T9">
        <v>0</v>
      </c>
      <c r="U9">
        <v>0</v>
      </c>
      <c r="V9">
        <v>245108.68</v>
      </c>
      <c r="W9">
        <v>0</v>
      </c>
      <c r="X9">
        <v>0</v>
      </c>
      <c r="Y9">
        <v>0</v>
      </c>
      <c r="Z9">
        <v>65854.75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124209.22</v>
      </c>
      <c r="AH9">
        <v>0</v>
      </c>
      <c r="AI9">
        <v>0</v>
      </c>
      <c r="AJ9">
        <v>459421449.19784498</v>
      </c>
    </row>
    <row r="10" spans="1:36" x14ac:dyDescent="0.25">
      <c r="A10" t="s">
        <v>327</v>
      </c>
      <c r="B10" t="s">
        <v>26</v>
      </c>
      <c r="C10">
        <v>11658.98</v>
      </c>
      <c r="D10">
        <v>33284.370000000003</v>
      </c>
      <c r="G10">
        <v>0.17371600000000001</v>
      </c>
      <c r="H10">
        <v>0</v>
      </c>
      <c r="I10">
        <v>1334117.21</v>
      </c>
      <c r="J10">
        <v>626942.71</v>
      </c>
      <c r="K10">
        <v>0</v>
      </c>
      <c r="L10">
        <v>1141299.43</v>
      </c>
      <c r="M10">
        <v>0</v>
      </c>
      <c r="N10">
        <v>583063.53</v>
      </c>
      <c r="O10">
        <v>363344.01</v>
      </c>
      <c r="P10">
        <v>227542.72</v>
      </c>
      <c r="Q10">
        <v>0</v>
      </c>
      <c r="R10">
        <v>0</v>
      </c>
      <c r="S10">
        <v>0</v>
      </c>
      <c r="T10">
        <v>0</v>
      </c>
      <c r="U10">
        <v>0</v>
      </c>
      <c r="V10">
        <v>1168821.8700000001</v>
      </c>
      <c r="W10">
        <v>0</v>
      </c>
      <c r="X10">
        <v>0</v>
      </c>
      <c r="Y10">
        <v>0</v>
      </c>
      <c r="Z10">
        <v>43737.51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270720.36</v>
      </c>
      <c r="AH10">
        <v>0</v>
      </c>
      <c r="AI10">
        <v>0</v>
      </c>
      <c r="AJ10">
        <v>2400106036.7550602</v>
      </c>
    </row>
    <row r="11" spans="1:36" x14ac:dyDescent="0.25">
      <c r="A11" t="s">
        <v>328</v>
      </c>
      <c r="B11" t="s">
        <v>26</v>
      </c>
      <c r="D11">
        <v>33284.370000000003</v>
      </c>
      <c r="E11">
        <v>11658.98</v>
      </c>
      <c r="G11">
        <v>0.17371600000000001</v>
      </c>
      <c r="H11">
        <v>0</v>
      </c>
      <c r="I11">
        <v>1003986.29</v>
      </c>
      <c r="J11">
        <v>626942.71</v>
      </c>
      <c r="K11">
        <v>0</v>
      </c>
      <c r="L11">
        <v>1141299.43</v>
      </c>
      <c r="M11">
        <v>0</v>
      </c>
      <c r="N11">
        <v>581284.98</v>
      </c>
      <c r="O11">
        <v>308962.59999999998</v>
      </c>
      <c r="P11">
        <v>214945.37</v>
      </c>
      <c r="Q11">
        <v>0</v>
      </c>
      <c r="R11">
        <v>0</v>
      </c>
      <c r="S11">
        <v>0</v>
      </c>
      <c r="T11">
        <v>0</v>
      </c>
      <c r="U11">
        <v>0</v>
      </c>
      <c r="V11">
        <v>1178054.49</v>
      </c>
      <c r="W11">
        <v>0</v>
      </c>
      <c r="X11">
        <v>0</v>
      </c>
      <c r="Y11">
        <v>0</v>
      </c>
      <c r="Z11">
        <v>43737.51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270731.32</v>
      </c>
      <c r="AH11">
        <v>0</v>
      </c>
      <c r="AI11">
        <v>0</v>
      </c>
      <c r="AJ11">
        <v>2070555987.51105</v>
      </c>
    </row>
    <row r="12" spans="1:36" x14ac:dyDescent="0.25">
      <c r="A12" t="s">
        <v>329</v>
      </c>
      <c r="B12" t="s">
        <v>26</v>
      </c>
      <c r="D12">
        <v>57189.2</v>
      </c>
      <c r="E12">
        <v>20032.47</v>
      </c>
      <c r="G12">
        <v>0.29847800000000002</v>
      </c>
      <c r="H12">
        <v>0</v>
      </c>
      <c r="I12">
        <v>1935210.89</v>
      </c>
      <c r="J12">
        <v>643032.05000000005</v>
      </c>
      <c r="K12">
        <v>0</v>
      </c>
      <c r="L12">
        <v>3553012.2</v>
      </c>
      <c r="M12">
        <v>0</v>
      </c>
      <c r="N12">
        <v>1484769.12</v>
      </c>
      <c r="O12">
        <v>291393.5</v>
      </c>
      <c r="P12">
        <v>252147.33</v>
      </c>
      <c r="Q12">
        <v>0</v>
      </c>
      <c r="R12">
        <v>0</v>
      </c>
      <c r="S12">
        <v>0</v>
      </c>
      <c r="T12">
        <v>0</v>
      </c>
      <c r="U12">
        <v>0</v>
      </c>
      <c r="V12">
        <v>1893842.12</v>
      </c>
      <c r="W12">
        <v>0</v>
      </c>
      <c r="X12">
        <v>0</v>
      </c>
      <c r="Y12">
        <v>0</v>
      </c>
      <c r="Z12">
        <v>127428.8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725541.67</v>
      </c>
      <c r="AH12">
        <v>0</v>
      </c>
      <c r="AI12">
        <v>0</v>
      </c>
      <c r="AJ12">
        <v>5226516405.3677197</v>
      </c>
    </row>
    <row r="13" spans="1:36" x14ac:dyDescent="0.25">
      <c r="A13" t="s">
        <v>330</v>
      </c>
      <c r="B13" t="s">
        <v>26</v>
      </c>
      <c r="C13">
        <v>20032.47</v>
      </c>
      <c r="D13">
        <v>57189.2</v>
      </c>
      <c r="G13">
        <v>0.29847800000000002</v>
      </c>
      <c r="H13">
        <v>0</v>
      </c>
      <c r="I13">
        <v>2112967.09</v>
      </c>
      <c r="J13">
        <v>643032.05000000005</v>
      </c>
      <c r="K13">
        <v>0</v>
      </c>
      <c r="L13">
        <v>3553012.2</v>
      </c>
      <c r="M13">
        <v>0</v>
      </c>
      <c r="N13">
        <v>1486055.13</v>
      </c>
      <c r="O13">
        <v>328535.53000000003</v>
      </c>
      <c r="P13">
        <v>253518.22</v>
      </c>
      <c r="Q13">
        <v>0</v>
      </c>
      <c r="R13">
        <v>0</v>
      </c>
      <c r="S13">
        <v>0</v>
      </c>
      <c r="T13">
        <v>0</v>
      </c>
      <c r="U13">
        <v>0</v>
      </c>
      <c r="V13">
        <v>1870567.2</v>
      </c>
      <c r="W13">
        <v>0</v>
      </c>
      <c r="X13">
        <v>0</v>
      </c>
      <c r="Y13">
        <v>0</v>
      </c>
      <c r="Z13">
        <v>127428.8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725604.58</v>
      </c>
      <c r="AH13">
        <v>0</v>
      </c>
      <c r="AI13">
        <v>0</v>
      </c>
      <c r="AJ13">
        <v>5828930414.9104605</v>
      </c>
    </row>
    <row r="14" spans="1:36" x14ac:dyDescent="0.25">
      <c r="A14" t="s">
        <v>331</v>
      </c>
      <c r="B14" t="s">
        <v>26</v>
      </c>
      <c r="C14">
        <v>1381</v>
      </c>
      <c r="D14">
        <v>3942.52</v>
      </c>
      <c r="G14">
        <v>2.0577000000000002E-2</v>
      </c>
      <c r="H14">
        <v>0</v>
      </c>
      <c r="I14">
        <v>230278.93</v>
      </c>
      <c r="J14">
        <v>94437.9</v>
      </c>
      <c r="K14">
        <v>0</v>
      </c>
      <c r="L14">
        <v>258328.15</v>
      </c>
      <c r="M14">
        <v>0</v>
      </c>
      <c r="N14">
        <v>313869.53000000003</v>
      </c>
      <c r="O14">
        <v>21638.54</v>
      </c>
      <c r="P14">
        <v>17227.63</v>
      </c>
      <c r="Q14">
        <v>0</v>
      </c>
      <c r="R14">
        <v>0</v>
      </c>
      <c r="S14">
        <v>0</v>
      </c>
      <c r="T14">
        <v>0</v>
      </c>
      <c r="U14">
        <v>0</v>
      </c>
      <c r="V14">
        <v>220257.29</v>
      </c>
      <c r="W14">
        <v>0</v>
      </c>
      <c r="X14">
        <v>0</v>
      </c>
      <c r="Y14">
        <v>0</v>
      </c>
      <c r="Z14">
        <v>64094.3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228583.29</v>
      </c>
      <c r="AH14">
        <v>0</v>
      </c>
      <c r="AI14">
        <v>0</v>
      </c>
      <c r="AJ14">
        <v>711432493.57096803</v>
      </c>
    </row>
    <row r="15" spans="1:36" x14ac:dyDescent="0.25">
      <c r="A15" t="s">
        <v>332</v>
      </c>
      <c r="B15" t="s">
        <v>26</v>
      </c>
      <c r="D15">
        <v>3942.52</v>
      </c>
      <c r="E15">
        <v>1381</v>
      </c>
      <c r="G15">
        <v>2.0577000000000002E-2</v>
      </c>
      <c r="H15">
        <v>0</v>
      </c>
      <c r="I15">
        <v>221238.5</v>
      </c>
      <c r="J15">
        <v>94437.9</v>
      </c>
      <c r="K15">
        <v>0</v>
      </c>
      <c r="L15">
        <v>258328.15</v>
      </c>
      <c r="M15">
        <v>0</v>
      </c>
      <c r="N15">
        <v>313770.64</v>
      </c>
      <c r="O15">
        <v>19482.86</v>
      </c>
      <c r="P15">
        <v>17164.150000000001</v>
      </c>
      <c r="Q15">
        <v>0</v>
      </c>
      <c r="R15">
        <v>0</v>
      </c>
      <c r="S15">
        <v>0</v>
      </c>
      <c r="T15">
        <v>0</v>
      </c>
      <c r="U15">
        <v>0</v>
      </c>
      <c r="V15">
        <v>221631.69</v>
      </c>
      <c r="W15">
        <v>0</v>
      </c>
      <c r="X15">
        <v>0</v>
      </c>
      <c r="Y15">
        <v>0</v>
      </c>
      <c r="Z15">
        <v>64094.3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228585.62</v>
      </c>
      <c r="AH15">
        <v>0</v>
      </c>
      <c r="AI15">
        <v>0</v>
      </c>
      <c r="AJ15">
        <v>651789599.45631897</v>
      </c>
    </row>
    <row r="16" spans="1:36" x14ac:dyDescent="0.25">
      <c r="A16" t="s">
        <v>333</v>
      </c>
      <c r="B16" t="s">
        <v>26</v>
      </c>
      <c r="D16">
        <v>26982.63</v>
      </c>
      <c r="E16">
        <v>9451.59</v>
      </c>
      <c r="G16">
        <v>0.14082600000000001</v>
      </c>
      <c r="H16">
        <v>0</v>
      </c>
      <c r="I16">
        <v>726441.15</v>
      </c>
      <c r="J16">
        <v>163686.57</v>
      </c>
      <c r="K16">
        <v>0</v>
      </c>
      <c r="L16">
        <v>936314.72</v>
      </c>
      <c r="M16">
        <v>0</v>
      </c>
      <c r="N16">
        <v>459912.44</v>
      </c>
      <c r="O16">
        <v>213286.95</v>
      </c>
      <c r="P16">
        <v>164802.38</v>
      </c>
      <c r="Q16">
        <v>0</v>
      </c>
      <c r="R16">
        <v>0</v>
      </c>
      <c r="S16">
        <v>0</v>
      </c>
      <c r="T16">
        <v>0</v>
      </c>
      <c r="U16">
        <v>0</v>
      </c>
      <c r="V16">
        <v>607325.55000000005</v>
      </c>
      <c r="W16">
        <v>0</v>
      </c>
      <c r="X16">
        <v>0</v>
      </c>
      <c r="Y16">
        <v>0</v>
      </c>
      <c r="Z16">
        <v>68627.600000000006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475751.74</v>
      </c>
      <c r="AH16">
        <v>0</v>
      </c>
      <c r="AI16">
        <v>0</v>
      </c>
      <c r="AJ16">
        <v>1166403286.2367499</v>
      </c>
    </row>
    <row r="17" spans="1:36" x14ac:dyDescent="0.25">
      <c r="A17" t="s">
        <v>334</v>
      </c>
      <c r="B17" t="s">
        <v>26</v>
      </c>
      <c r="C17">
        <v>9451.59</v>
      </c>
      <c r="D17">
        <v>26982.63</v>
      </c>
      <c r="G17">
        <v>0.14082600000000001</v>
      </c>
      <c r="H17">
        <v>0</v>
      </c>
      <c r="I17">
        <v>907795.04</v>
      </c>
      <c r="J17">
        <v>163686.57</v>
      </c>
      <c r="K17">
        <v>0</v>
      </c>
      <c r="L17">
        <v>936314.72</v>
      </c>
      <c r="M17">
        <v>0</v>
      </c>
      <c r="N17">
        <v>460086.64</v>
      </c>
      <c r="O17">
        <v>249061.9</v>
      </c>
      <c r="P17">
        <v>175146.01</v>
      </c>
      <c r="Q17">
        <v>0</v>
      </c>
      <c r="R17">
        <v>0</v>
      </c>
      <c r="S17">
        <v>0</v>
      </c>
      <c r="T17">
        <v>0</v>
      </c>
      <c r="U17">
        <v>0</v>
      </c>
      <c r="V17">
        <v>600059.1</v>
      </c>
      <c r="W17">
        <v>0</v>
      </c>
      <c r="X17">
        <v>0</v>
      </c>
      <c r="Y17">
        <v>0</v>
      </c>
      <c r="Z17">
        <v>68627.600000000006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475756.57</v>
      </c>
      <c r="AH17">
        <v>0</v>
      </c>
      <c r="AI17">
        <v>0</v>
      </c>
      <c r="AJ17">
        <v>1209072466.4066999</v>
      </c>
    </row>
    <row r="18" spans="1:36" x14ac:dyDescent="0.25">
      <c r="A18" t="s">
        <v>335</v>
      </c>
      <c r="B18" t="s">
        <v>25</v>
      </c>
      <c r="D18">
        <v>20093.740000000002</v>
      </c>
      <c r="E18">
        <v>7038.52</v>
      </c>
      <c r="G18">
        <v>0.10487200000000001</v>
      </c>
      <c r="H18">
        <v>0</v>
      </c>
      <c r="I18">
        <v>888791.81</v>
      </c>
      <c r="J18">
        <v>394508.4</v>
      </c>
      <c r="K18">
        <v>0</v>
      </c>
      <c r="L18">
        <v>436518</v>
      </c>
      <c r="M18">
        <v>0</v>
      </c>
      <c r="N18">
        <v>286195.78000000003</v>
      </c>
      <c r="O18">
        <v>110612.39</v>
      </c>
      <c r="P18">
        <v>120288.59</v>
      </c>
      <c r="Q18">
        <v>0</v>
      </c>
      <c r="R18">
        <v>0</v>
      </c>
      <c r="S18">
        <v>0</v>
      </c>
      <c r="T18">
        <v>0</v>
      </c>
      <c r="U18">
        <v>0</v>
      </c>
      <c r="V18">
        <v>517143.24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131086.93</v>
      </c>
      <c r="AH18">
        <v>0</v>
      </c>
      <c r="AI18">
        <v>0</v>
      </c>
      <c r="AJ18">
        <v>1993810024.6878901</v>
      </c>
    </row>
    <row r="19" spans="1:36" x14ac:dyDescent="0.25">
      <c r="A19" t="s">
        <v>336</v>
      </c>
      <c r="B19" t="s">
        <v>25</v>
      </c>
      <c r="C19">
        <v>7038.52</v>
      </c>
      <c r="D19">
        <v>20093.740000000002</v>
      </c>
      <c r="G19">
        <v>0.10487200000000001</v>
      </c>
      <c r="H19">
        <v>0</v>
      </c>
      <c r="I19">
        <v>1129241.1200000001</v>
      </c>
      <c r="J19">
        <v>394508.4</v>
      </c>
      <c r="K19">
        <v>0</v>
      </c>
      <c r="L19">
        <v>436518</v>
      </c>
      <c r="M19">
        <v>0</v>
      </c>
      <c r="N19">
        <v>286168.71999999997</v>
      </c>
      <c r="O19">
        <v>130843.86</v>
      </c>
      <c r="P19">
        <v>121094.37</v>
      </c>
      <c r="Q19">
        <v>0</v>
      </c>
      <c r="R19">
        <v>0</v>
      </c>
      <c r="S19">
        <v>0</v>
      </c>
      <c r="T19">
        <v>0</v>
      </c>
      <c r="U19">
        <v>0</v>
      </c>
      <c r="V19">
        <v>517154.21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131080.06</v>
      </c>
      <c r="AH19">
        <v>0</v>
      </c>
      <c r="AI19">
        <v>0</v>
      </c>
      <c r="AJ19">
        <v>2023067740.10272</v>
      </c>
    </row>
    <row r="20" spans="1:36" x14ac:dyDescent="0.25">
      <c r="A20" t="s">
        <v>337</v>
      </c>
      <c r="B20" t="s">
        <v>25</v>
      </c>
      <c r="C20">
        <v>554.16</v>
      </c>
      <c r="D20">
        <v>1582.03</v>
      </c>
      <c r="G20">
        <v>8.2570000000000005E-3</v>
      </c>
      <c r="H20">
        <v>0</v>
      </c>
      <c r="I20">
        <v>80643.62</v>
      </c>
      <c r="J20">
        <v>12134.67</v>
      </c>
      <c r="K20">
        <v>0</v>
      </c>
      <c r="L20">
        <v>29466.65</v>
      </c>
      <c r="M20">
        <v>0</v>
      </c>
      <c r="N20">
        <v>64331.57</v>
      </c>
      <c r="O20">
        <v>10731.29</v>
      </c>
      <c r="P20">
        <v>9519.86</v>
      </c>
      <c r="Q20">
        <v>0</v>
      </c>
      <c r="R20">
        <v>0</v>
      </c>
      <c r="S20">
        <v>0</v>
      </c>
      <c r="T20">
        <v>0</v>
      </c>
      <c r="U20">
        <v>0</v>
      </c>
      <c r="V20">
        <v>281.20999999999998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3625.94</v>
      </c>
      <c r="AH20">
        <v>0</v>
      </c>
      <c r="AI20">
        <v>0</v>
      </c>
      <c r="AJ20">
        <v>137459290.766525</v>
      </c>
    </row>
    <row r="21" spans="1:36" x14ac:dyDescent="0.25">
      <c r="A21" t="s">
        <v>338</v>
      </c>
      <c r="B21" t="s">
        <v>25</v>
      </c>
      <c r="D21">
        <v>1582.03</v>
      </c>
      <c r="E21">
        <v>554.16</v>
      </c>
      <c r="G21">
        <v>8.2570000000000005E-3</v>
      </c>
      <c r="H21">
        <v>0</v>
      </c>
      <c r="I21">
        <v>52956.92</v>
      </c>
      <c r="J21">
        <v>12134.67</v>
      </c>
      <c r="K21">
        <v>0</v>
      </c>
      <c r="L21">
        <v>29466.65</v>
      </c>
      <c r="M21">
        <v>0</v>
      </c>
      <c r="N21">
        <v>64331.92</v>
      </c>
      <c r="O21">
        <v>8442.65</v>
      </c>
      <c r="P21">
        <v>9375.57</v>
      </c>
      <c r="Q21">
        <v>0</v>
      </c>
      <c r="R21">
        <v>0</v>
      </c>
      <c r="S21">
        <v>0</v>
      </c>
      <c r="T21">
        <v>0</v>
      </c>
      <c r="U21">
        <v>0</v>
      </c>
      <c r="V21">
        <v>281.20999999999998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3625.94</v>
      </c>
      <c r="AH21">
        <v>0</v>
      </c>
      <c r="AI21">
        <v>0</v>
      </c>
      <c r="AJ21">
        <v>110520113.167178</v>
      </c>
    </row>
    <row r="22" spans="1:36" x14ac:dyDescent="0.25">
      <c r="A22" t="s">
        <v>339</v>
      </c>
      <c r="B22" t="s">
        <v>25</v>
      </c>
      <c r="C22">
        <v>8821.4</v>
      </c>
      <c r="D22">
        <v>25183.55</v>
      </c>
      <c r="G22">
        <v>0.131436</v>
      </c>
      <c r="H22">
        <v>0</v>
      </c>
      <c r="I22">
        <v>1590061.86</v>
      </c>
      <c r="J22">
        <v>239542.44</v>
      </c>
      <c r="K22">
        <v>0</v>
      </c>
      <c r="L22">
        <v>831153.37</v>
      </c>
      <c r="M22">
        <v>0</v>
      </c>
      <c r="N22">
        <v>300747.93</v>
      </c>
      <c r="O22">
        <v>252888.16</v>
      </c>
      <c r="P22">
        <v>234195.13</v>
      </c>
      <c r="Q22">
        <v>0</v>
      </c>
      <c r="R22">
        <v>0</v>
      </c>
      <c r="S22">
        <v>0</v>
      </c>
      <c r="T22">
        <v>0</v>
      </c>
      <c r="U22">
        <v>0</v>
      </c>
      <c r="V22">
        <v>573458.73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85791.48</v>
      </c>
      <c r="AH22">
        <v>0</v>
      </c>
      <c r="AI22">
        <v>0</v>
      </c>
      <c r="AJ22">
        <v>2181159678.1631699</v>
      </c>
    </row>
    <row r="23" spans="1:36" x14ac:dyDescent="0.25">
      <c r="A23" t="s">
        <v>340</v>
      </c>
      <c r="B23" t="s">
        <v>25</v>
      </c>
      <c r="D23">
        <v>25183.55</v>
      </c>
      <c r="E23">
        <v>8821.4</v>
      </c>
      <c r="G23">
        <v>0.131436</v>
      </c>
      <c r="H23">
        <v>0</v>
      </c>
      <c r="I23">
        <v>1263618.04</v>
      </c>
      <c r="J23">
        <v>239542.44</v>
      </c>
      <c r="K23">
        <v>0</v>
      </c>
      <c r="L23">
        <v>831153.37</v>
      </c>
      <c r="M23">
        <v>0</v>
      </c>
      <c r="N23">
        <v>300591.07</v>
      </c>
      <c r="O23">
        <v>223110.86</v>
      </c>
      <c r="P23">
        <v>232098.66</v>
      </c>
      <c r="Q23">
        <v>0</v>
      </c>
      <c r="R23">
        <v>0</v>
      </c>
      <c r="S23">
        <v>0</v>
      </c>
      <c r="T23">
        <v>0</v>
      </c>
      <c r="U23">
        <v>0</v>
      </c>
      <c r="V23">
        <v>574715.15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85790.84</v>
      </c>
      <c r="AH23">
        <v>0</v>
      </c>
      <c r="AI23">
        <v>0</v>
      </c>
      <c r="AJ23">
        <v>2001829337.6762199</v>
      </c>
    </row>
    <row r="24" spans="1:36" x14ac:dyDescent="0.25">
      <c r="A24" t="s">
        <v>341</v>
      </c>
      <c r="B24" t="s">
        <v>25</v>
      </c>
      <c r="D24">
        <v>4536.17</v>
      </c>
      <c r="E24">
        <v>1588.95</v>
      </c>
      <c r="G24">
        <v>2.3675000000000002E-2</v>
      </c>
      <c r="H24">
        <v>0</v>
      </c>
      <c r="I24">
        <v>328760.46000000002</v>
      </c>
      <c r="J24">
        <v>103288.37</v>
      </c>
      <c r="K24">
        <v>0</v>
      </c>
      <c r="L24">
        <v>282049.05</v>
      </c>
      <c r="M24">
        <v>0</v>
      </c>
      <c r="N24">
        <v>133726.07</v>
      </c>
      <c r="O24">
        <v>24703.63</v>
      </c>
      <c r="P24">
        <v>27058.48</v>
      </c>
      <c r="Q24">
        <v>0</v>
      </c>
      <c r="R24">
        <v>0</v>
      </c>
      <c r="S24">
        <v>0</v>
      </c>
      <c r="T24">
        <v>0</v>
      </c>
      <c r="U24">
        <v>0</v>
      </c>
      <c r="V24">
        <v>176357.29</v>
      </c>
      <c r="W24">
        <v>0</v>
      </c>
      <c r="X24">
        <v>0</v>
      </c>
      <c r="Y24">
        <v>0</v>
      </c>
      <c r="Z24">
        <v>65854.75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93548.4</v>
      </c>
      <c r="AH24">
        <v>0</v>
      </c>
      <c r="AI24">
        <v>0</v>
      </c>
      <c r="AJ24">
        <v>550657431.56746197</v>
      </c>
    </row>
    <row r="25" spans="1:36" x14ac:dyDescent="0.25">
      <c r="A25" t="s">
        <v>342</v>
      </c>
      <c r="B25" t="s">
        <v>25</v>
      </c>
      <c r="C25">
        <v>1588.95</v>
      </c>
      <c r="D25">
        <v>4536.17</v>
      </c>
      <c r="G25">
        <v>2.3675000000000002E-2</v>
      </c>
      <c r="H25">
        <v>0</v>
      </c>
      <c r="I25">
        <v>408190.59</v>
      </c>
      <c r="J25">
        <v>103288.37</v>
      </c>
      <c r="K25">
        <v>0</v>
      </c>
      <c r="L25">
        <v>282049.05</v>
      </c>
      <c r="M25">
        <v>0</v>
      </c>
      <c r="N25">
        <v>133711.67999999999</v>
      </c>
      <c r="O25">
        <v>29049.43</v>
      </c>
      <c r="P25">
        <v>27056.21</v>
      </c>
      <c r="Q25">
        <v>0</v>
      </c>
      <c r="R25">
        <v>0</v>
      </c>
      <c r="S25">
        <v>0</v>
      </c>
      <c r="T25">
        <v>0</v>
      </c>
      <c r="U25">
        <v>0</v>
      </c>
      <c r="V25">
        <v>175973.67</v>
      </c>
      <c r="W25">
        <v>0</v>
      </c>
      <c r="X25">
        <v>0</v>
      </c>
      <c r="Y25">
        <v>0</v>
      </c>
      <c r="Z25">
        <v>65854.75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93535.42</v>
      </c>
      <c r="AH25">
        <v>0</v>
      </c>
      <c r="AI25">
        <v>0</v>
      </c>
      <c r="AJ25">
        <v>590499642.07194197</v>
      </c>
    </row>
    <row r="26" spans="1:36" x14ac:dyDescent="0.25">
      <c r="A26" t="s">
        <v>343</v>
      </c>
      <c r="B26" t="s">
        <v>25</v>
      </c>
      <c r="D26">
        <v>37973.300000000003</v>
      </c>
      <c r="E26">
        <v>13301.44</v>
      </c>
      <c r="G26">
        <v>0.198188</v>
      </c>
      <c r="H26">
        <v>0</v>
      </c>
      <c r="I26">
        <v>2004178.25</v>
      </c>
      <c r="J26">
        <v>626942.71</v>
      </c>
      <c r="K26">
        <v>0</v>
      </c>
      <c r="L26">
        <v>1141299.43</v>
      </c>
      <c r="M26">
        <v>0</v>
      </c>
      <c r="N26">
        <v>564387.06999999995</v>
      </c>
      <c r="O26">
        <v>360468.93</v>
      </c>
      <c r="P26">
        <v>365590.39</v>
      </c>
      <c r="Q26">
        <v>0</v>
      </c>
      <c r="R26">
        <v>0</v>
      </c>
      <c r="S26">
        <v>0</v>
      </c>
      <c r="T26">
        <v>0</v>
      </c>
      <c r="U26">
        <v>0</v>
      </c>
      <c r="V26">
        <v>1089913.95</v>
      </c>
      <c r="W26">
        <v>0</v>
      </c>
      <c r="X26">
        <v>0</v>
      </c>
      <c r="Y26">
        <v>0</v>
      </c>
      <c r="Z26">
        <v>43737.51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203695.1</v>
      </c>
      <c r="AH26">
        <v>0</v>
      </c>
      <c r="AI26">
        <v>0</v>
      </c>
      <c r="AJ26">
        <v>2974385555.7600899</v>
      </c>
    </row>
    <row r="27" spans="1:36" x14ac:dyDescent="0.25">
      <c r="A27" t="s">
        <v>344</v>
      </c>
      <c r="B27" t="s">
        <v>25</v>
      </c>
      <c r="C27">
        <v>13301.44</v>
      </c>
      <c r="D27">
        <v>37973.300000000003</v>
      </c>
      <c r="G27">
        <v>0.198188</v>
      </c>
      <c r="H27">
        <v>0</v>
      </c>
      <c r="I27">
        <v>2528656.0299999998</v>
      </c>
      <c r="J27">
        <v>626942.71</v>
      </c>
      <c r="K27">
        <v>0</v>
      </c>
      <c r="L27">
        <v>1141299.43</v>
      </c>
      <c r="M27">
        <v>0</v>
      </c>
      <c r="N27">
        <v>565129.56000000006</v>
      </c>
      <c r="O27">
        <v>413918.81</v>
      </c>
      <c r="P27">
        <v>372581.02</v>
      </c>
      <c r="Q27">
        <v>0</v>
      </c>
      <c r="R27">
        <v>0</v>
      </c>
      <c r="S27">
        <v>0</v>
      </c>
      <c r="T27">
        <v>0</v>
      </c>
      <c r="U27">
        <v>0</v>
      </c>
      <c r="V27">
        <v>1091891.68</v>
      </c>
      <c r="W27">
        <v>0</v>
      </c>
      <c r="X27">
        <v>0</v>
      </c>
      <c r="Y27">
        <v>0</v>
      </c>
      <c r="Z27">
        <v>43737.51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203675.6</v>
      </c>
      <c r="AH27">
        <v>0</v>
      </c>
      <c r="AI27">
        <v>0</v>
      </c>
      <c r="AJ27">
        <v>3036834628.7740102</v>
      </c>
    </row>
    <row r="28" spans="1:36" x14ac:dyDescent="0.25">
      <c r="A28" t="s">
        <v>345</v>
      </c>
      <c r="B28" t="s">
        <v>25</v>
      </c>
      <c r="D28">
        <v>4873.3</v>
      </c>
      <c r="E28">
        <v>1707.04</v>
      </c>
      <c r="G28">
        <v>2.5433999999999998E-2</v>
      </c>
      <c r="H28">
        <v>0</v>
      </c>
      <c r="I28">
        <v>450931.81</v>
      </c>
      <c r="J28">
        <v>94437.9</v>
      </c>
      <c r="K28">
        <v>0</v>
      </c>
      <c r="L28">
        <v>258328.15</v>
      </c>
      <c r="M28">
        <v>0</v>
      </c>
      <c r="N28">
        <v>265236.01</v>
      </c>
      <c r="O28">
        <v>28012.18</v>
      </c>
      <c r="P28">
        <v>30503.1</v>
      </c>
      <c r="Q28">
        <v>0</v>
      </c>
      <c r="R28">
        <v>0</v>
      </c>
      <c r="S28">
        <v>0</v>
      </c>
      <c r="T28">
        <v>0</v>
      </c>
      <c r="U28">
        <v>0</v>
      </c>
      <c r="V28">
        <v>118574.18</v>
      </c>
      <c r="W28">
        <v>0</v>
      </c>
      <c r="X28">
        <v>0</v>
      </c>
      <c r="Y28">
        <v>0</v>
      </c>
      <c r="Z28">
        <v>64094.3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171935.8</v>
      </c>
      <c r="AH28">
        <v>0</v>
      </c>
      <c r="AI28">
        <v>0</v>
      </c>
      <c r="AJ28">
        <v>1001561714.49554</v>
      </c>
    </row>
    <row r="29" spans="1:36" x14ac:dyDescent="0.25">
      <c r="A29" t="s">
        <v>346</v>
      </c>
      <c r="B29" t="s">
        <v>25</v>
      </c>
      <c r="C29">
        <v>1707.04</v>
      </c>
      <c r="D29">
        <v>4873.3</v>
      </c>
      <c r="G29">
        <v>2.5433999999999998E-2</v>
      </c>
      <c r="H29">
        <v>0</v>
      </c>
      <c r="I29">
        <v>510699.2</v>
      </c>
      <c r="J29">
        <v>94437.9</v>
      </c>
      <c r="K29">
        <v>0</v>
      </c>
      <c r="L29">
        <v>258328.15</v>
      </c>
      <c r="M29">
        <v>0</v>
      </c>
      <c r="N29">
        <v>265196.11</v>
      </c>
      <c r="O29">
        <v>32642.76</v>
      </c>
      <c r="P29">
        <v>30576.23</v>
      </c>
      <c r="Q29">
        <v>0</v>
      </c>
      <c r="R29">
        <v>0</v>
      </c>
      <c r="S29">
        <v>0</v>
      </c>
      <c r="T29">
        <v>0</v>
      </c>
      <c r="U29">
        <v>0</v>
      </c>
      <c r="V29">
        <v>118486.32</v>
      </c>
      <c r="W29">
        <v>0</v>
      </c>
      <c r="X29">
        <v>0</v>
      </c>
      <c r="Y29">
        <v>0</v>
      </c>
      <c r="Z29">
        <v>64094.3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171935.84</v>
      </c>
      <c r="AH29">
        <v>0</v>
      </c>
      <c r="AI29">
        <v>0</v>
      </c>
      <c r="AJ29">
        <v>1033009077.63665</v>
      </c>
    </row>
    <row r="30" spans="1:36" x14ac:dyDescent="0.25">
      <c r="A30" t="s">
        <v>347</v>
      </c>
      <c r="B30" t="s">
        <v>25</v>
      </c>
      <c r="D30">
        <v>67545.41</v>
      </c>
      <c r="E30">
        <v>23660.080000000002</v>
      </c>
      <c r="G30">
        <v>0.35252899999999998</v>
      </c>
      <c r="H30">
        <v>0</v>
      </c>
      <c r="I30">
        <v>3353886.4</v>
      </c>
      <c r="J30">
        <v>643032.05000000005</v>
      </c>
      <c r="K30">
        <v>0</v>
      </c>
      <c r="L30">
        <v>3553012.2</v>
      </c>
      <c r="M30">
        <v>0</v>
      </c>
      <c r="N30">
        <v>1511282.7</v>
      </c>
      <c r="O30">
        <v>402608.77</v>
      </c>
      <c r="P30">
        <v>439948.81</v>
      </c>
      <c r="Q30">
        <v>0</v>
      </c>
      <c r="R30">
        <v>0</v>
      </c>
      <c r="S30">
        <v>0</v>
      </c>
      <c r="T30">
        <v>0</v>
      </c>
      <c r="U30">
        <v>0</v>
      </c>
      <c r="V30">
        <v>1873152.45</v>
      </c>
      <c r="W30">
        <v>0</v>
      </c>
      <c r="X30">
        <v>0</v>
      </c>
      <c r="Y30">
        <v>0</v>
      </c>
      <c r="Z30">
        <v>127428.8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544402.32999999996</v>
      </c>
      <c r="AH30">
        <v>0</v>
      </c>
      <c r="AI30">
        <v>0</v>
      </c>
      <c r="AJ30">
        <v>6497749283.7636299</v>
      </c>
    </row>
    <row r="31" spans="1:36" x14ac:dyDescent="0.25">
      <c r="A31" t="s">
        <v>348</v>
      </c>
      <c r="B31" t="s">
        <v>25</v>
      </c>
      <c r="D31">
        <v>32400.32</v>
      </c>
      <c r="E31">
        <v>11349.32</v>
      </c>
      <c r="G31">
        <v>0.169102</v>
      </c>
      <c r="H31">
        <v>0</v>
      </c>
      <c r="I31">
        <v>1280759.68</v>
      </c>
      <c r="J31">
        <v>163686.57</v>
      </c>
      <c r="K31">
        <v>0</v>
      </c>
      <c r="L31">
        <v>936314.72</v>
      </c>
      <c r="M31">
        <v>0</v>
      </c>
      <c r="N31">
        <v>501293.56</v>
      </c>
      <c r="O31">
        <v>277722.13</v>
      </c>
      <c r="P31">
        <v>294280.64</v>
      </c>
      <c r="Q31">
        <v>0</v>
      </c>
      <c r="R31">
        <v>0</v>
      </c>
      <c r="S31">
        <v>0</v>
      </c>
      <c r="T31">
        <v>0</v>
      </c>
      <c r="U31">
        <v>0</v>
      </c>
      <c r="V31">
        <v>641920.99</v>
      </c>
      <c r="W31">
        <v>0</v>
      </c>
      <c r="X31">
        <v>0</v>
      </c>
      <c r="Y31">
        <v>0</v>
      </c>
      <c r="Z31">
        <v>68627.600000000006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356141.8</v>
      </c>
      <c r="AH31">
        <v>0</v>
      </c>
      <c r="AI31">
        <v>0</v>
      </c>
      <c r="AJ31">
        <v>2496649665.9562998</v>
      </c>
    </row>
    <row r="32" spans="1:36" x14ac:dyDescent="0.25">
      <c r="A32" t="s">
        <v>349</v>
      </c>
      <c r="B32" t="s">
        <v>25</v>
      </c>
      <c r="C32">
        <v>11349.32</v>
      </c>
      <c r="D32">
        <v>32400.32</v>
      </c>
      <c r="G32">
        <v>0.169102</v>
      </c>
      <c r="H32">
        <v>0</v>
      </c>
      <c r="I32">
        <v>1801267.05</v>
      </c>
      <c r="J32">
        <v>163686.57</v>
      </c>
      <c r="K32">
        <v>0</v>
      </c>
      <c r="L32">
        <v>936314.72</v>
      </c>
      <c r="M32">
        <v>0</v>
      </c>
      <c r="N32">
        <v>501162.28</v>
      </c>
      <c r="O32">
        <v>327880.90999999997</v>
      </c>
      <c r="P32">
        <v>301248.27</v>
      </c>
      <c r="Q32">
        <v>0</v>
      </c>
      <c r="R32">
        <v>0</v>
      </c>
      <c r="S32">
        <v>0</v>
      </c>
      <c r="T32">
        <v>0</v>
      </c>
      <c r="U32">
        <v>0</v>
      </c>
      <c r="V32">
        <v>641581.07999999996</v>
      </c>
      <c r="W32">
        <v>0</v>
      </c>
      <c r="X32">
        <v>0</v>
      </c>
      <c r="Y32">
        <v>0</v>
      </c>
      <c r="Z32">
        <v>68627.600000000006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356152.64</v>
      </c>
      <c r="AH32">
        <v>0</v>
      </c>
      <c r="AI32">
        <v>0</v>
      </c>
      <c r="AJ32">
        <v>2514794924.2470398</v>
      </c>
    </row>
    <row r="33" spans="1:36" x14ac:dyDescent="0.25">
      <c r="A33" t="s">
        <v>350</v>
      </c>
      <c r="B33" t="s">
        <v>25</v>
      </c>
      <c r="C33">
        <v>23660.080000000002</v>
      </c>
      <c r="D33">
        <v>67545.41</v>
      </c>
      <c r="G33">
        <v>0.35252899999999998</v>
      </c>
      <c r="H33">
        <v>0</v>
      </c>
      <c r="I33">
        <v>4362973.42</v>
      </c>
      <c r="J33">
        <v>643032.05000000005</v>
      </c>
      <c r="K33">
        <v>0</v>
      </c>
      <c r="L33">
        <v>3553012.2</v>
      </c>
      <c r="M33">
        <v>0</v>
      </c>
      <c r="N33">
        <v>1511317.08</v>
      </c>
      <c r="O33">
        <v>473025.49</v>
      </c>
      <c r="P33">
        <v>441343.09</v>
      </c>
      <c r="Q33">
        <v>0</v>
      </c>
      <c r="R33">
        <v>0</v>
      </c>
      <c r="S33">
        <v>0</v>
      </c>
      <c r="T33">
        <v>0</v>
      </c>
      <c r="U33">
        <v>0</v>
      </c>
      <c r="V33">
        <v>1873151.32</v>
      </c>
      <c r="W33">
        <v>0</v>
      </c>
      <c r="X33">
        <v>0</v>
      </c>
      <c r="Y33">
        <v>0</v>
      </c>
      <c r="Z33">
        <v>127428.8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544305.18999999994</v>
      </c>
      <c r="AH33">
        <v>0</v>
      </c>
      <c r="AI33">
        <v>0</v>
      </c>
      <c r="AJ33">
        <v>6773888755.4277096</v>
      </c>
    </row>
    <row r="34" spans="1:36" x14ac:dyDescent="0.25">
      <c r="A34" t="s">
        <v>351</v>
      </c>
      <c r="B34" t="s">
        <v>24</v>
      </c>
      <c r="C34">
        <v>6612.95</v>
      </c>
      <c r="D34">
        <v>18878.810000000001</v>
      </c>
      <c r="G34">
        <v>9.8530999999999994E-2</v>
      </c>
      <c r="H34">
        <v>0</v>
      </c>
      <c r="I34">
        <v>751911.91</v>
      </c>
      <c r="J34">
        <v>394508.4</v>
      </c>
      <c r="K34">
        <v>0</v>
      </c>
      <c r="L34">
        <v>436518</v>
      </c>
      <c r="M34">
        <v>0</v>
      </c>
      <c r="N34">
        <v>272682.28999999998</v>
      </c>
      <c r="O34">
        <v>106582.41</v>
      </c>
      <c r="P34">
        <v>96403.45</v>
      </c>
      <c r="Q34">
        <v>0</v>
      </c>
      <c r="R34">
        <v>0</v>
      </c>
      <c r="S34">
        <v>0</v>
      </c>
      <c r="T34">
        <v>0</v>
      </c>
      <c r="U34">
        <v>0</v>
      </c>
      <c r="V34">
        <v>416607.48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147585.1</v>
      </c>
      <c r="AH34">
        <v>0</v>
      </c>
      <c r="AI34">
        <v>0</v>
      </c>
      <c r="AJ34">
        <v>1987655965.57847</v>
      </c>
    </row>
    <row r="35" spans="1:36" x14ac:dyDescent="0.25">
      <c r="A35" t="s">
        <v>352</v>
      </c>
      <c r="B35" t="s">
        <v>24</v>
      </c>
      <c r="D35">
        <v>18878.810000000001</v>
      </c>
      <c r="E35">
        <v>6612.95</v>
      </c>
      <c r="G35">
        <v>9.8530999999999994E-2</v>
      </c>
      <c r="H35">
        <v>0</v>
      </c>
      <c r="I35">
        <v>704919.83</v>
      </c>
      <c r="J35">
        <v>394508.4</v>
      </c>
      <c r="K35">
        <v>0</v>
      </c>
      <c r="L35">
        <v>436518</v>
      </c>
      <c r="M35">
        <v>0</v>
      </c>
      <c r="N35">
        <v>272794.68</v>
      </c>
      <c r="O35">
        <v>94753.93</v>
      </c>
      <c r="P35">
        <v>95228.01</v>
      </c>
      <c r="Q35">
        <v>0</v>
      </c>
      <c r="R35">
        <v>0</v>
      </c>
      <c r="S35">
        <v>0</v>
      </c>
      <c r="T35">
        <v>0</v>
      </c>
      <c r="U35">
        <v>0</v>
      </c>
      <c r="V35">
        <v>416772.6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147586.16</v>
      </c>
      <c r="AH35">
        <v>0</v>
      </c>
      <c r="AI35">
        <v>0</v>
      </c>
      <c r="AJ35">
        <v>2021376522.39557</v>
      </c>
    </row>
    <row r="36" spans="1:36" x14ac:dyDescent="0.25">
      <c r="A36" t="s">
        <v>353</v>
      </c>
      <c r="B36" t="s">
        <v>24</v>
      </c>
      <c r="C36">
        <v>538.54</v>
      </c>
      <c r="D36">
        <v>1537.43</v>
      </c>
      <c r="G36">
        <v>8.0239999999999999E-3</v>
      </c>
      <c r="H36">
        <v>0</v>
      </c>
      <c r="I36">
        <v>54836.49</v>
      </c>
      <c r="J36">
        <v>12134.67</v>
      </c>
      <c r="K36">
        <v>0</v>
      </c>
      <c r="L36">
        <v>29466.65</v>
      </c>
      <c r="M36">
        <v>0</v>
      </c>
      <c r="N36">
        <v>67613.539999999994</v>
      </c>
      <c r="O36">
        <v>9475.86</v>
      </c>
      <c r="P36">
        <v>7886.64</v>
      </c>
      <c r="Q36">
        <v>0</v>
      </c>
      <c r="R36">
        <v>0</v>
      </c>
      <c r="S36">
        <v>0</v>
      </c>
      <c r="T36">
        <v>0</v>
      </c>
      <c r="U36">
        <v>0</v>
      </c>
      <c r="V36">
        <v>2025.77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4007.89</v>
      </c>
      <c r="AH36">
        <v>0</v>
      </c>
      <c r="AI36">
        <v>0</v>
      </c>
      <c r="AJ36">
        <v>130458969.02923401</v>
      </c>
    </row>
    <row r="37" spans="1:36" x14ac:dyDescent="0.25">
      <c r="A37" t="s">
        <v>354</v>
      </c>
      <c r="B37" t="s">
        <v>24</v>
      </c>
      <c r="D37">
        <v>1537.43</v>
      </c>
      <c r="E37">
        <v>538.54</v>
      </c>
      <c r="G37">
        <v>8.0239999999999999E-3</v>
      </c>
      <c r="H37">
        <v>0</v>
      </c>
      <c r="I37">
        <v>37932.18</v>
      </c>
      <c r="J37">
        <v>12134.67</v>
      </c>
      <c r="K37">
        <v>0</v>
      </c>
      <c r="L37">
        <v>29466.65</v>
      </c>
      <c r="M37">
        <v>0</v>
      </c>
      <c r="N37">
        <v>67612.63</v>
      </c>
      <c r="O37">
        <v>7195</v>
      </c>
      <c r="P37">
        <v>7552.7</v>
      </c>
      <c r="Q37">
        <v>0</v>
      </c>
      <c r="R37">
        <v>0</v>
      </c>
      <c r="S37">
        <v>0</v>
      </c>
      <c r="T37">
        <v>0</v>
      </c>
      <c r="U37">
        <v>0</v>
      </c>
      <c r="V37">
        <v>2025.77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4007.9</v>
      </c>
      <c r="AH37">
        <v>0</v>
      </c>
      <c r="AI37">
        <v>0</v>
      </c>
      <c r="AJ37">
        <v>112459958.26387</v>
      </c>
    </row>
    <row r="38" spans="1:36" x14ac:dyDescent="0.25">
      <c r="A38" t="s">
        <v>355</v>
      </c>
      <c r="B38" t="s">
        <v>24</v>
      </c>
      <c r="D38">
        <v>24382.16</v>
      </c>
      <c r="E38">
        <v>8540.68</v>
      </c>
      <c r="G38">
        <v>0.12725400000000001</v>
      </c>
      <c r="H38">
        <v>0</v>
      </c>
      <c r="I38">
        <v>840501.8</v>
      </c>
      <c r="J38">
        <v>239542.44</v>
      </c>
      <c r="K38">
        <v>0</v>
      </c>
      <c r="L38">
        <v>831153.37</v>
      </c>
      <c r="M38">
        <v>0</v>
      </c>
      <c r="N38">
        <v>274164.83</v>
      </c>
      <c r="O38">
        <v>190087.66</v>
      </c>
      <c r="P38">
        <v>192051.02</v>
      </c>
      <c r="Q38">
        <v>0</v>
      </c>
      <c r="R38">
        <v>0</v>
      </c>
      <c r="S38">
        <v>0</v>
      </c>
      <c r="T38">
        <v>0</v>
      </c>
      <c r="U38">
        <v>0</v>
      </c>
      <c r="V38">
        <v>529321.26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96582.98</v>
      </c>
      <c r="AH38">
        <v>0</v>
      </c>
      <c r="AI38">
        <v>0</v>
      </c>
      <c r="AJ38">
        <v>1677361084.73858</v>
      </c>
    </row>
    <row r="39" spans="1:36" x14ac:dyDescent="0.25">
      <c r="A39" t="s">
        <v>356</v>
      </c>
      <c r="B39" t="s">
        <v>24</v>
      </c>
      <c r="C39">
        <v>8540.68</v>
      </c>
      <c r="D39">
        <v>24382.16</v>
      </c>
      <c r="G39">
        <v>0.12725400000000001</v>
      </c>
      <c r="H39">
        <v>0</v>
      </c>
      <c r="I39">
        <v>1116393.99</v>
      </c>
      <c r="J39">
        <v>239542.44</v>
      </c>
      <c r="K39">
        <v>0</v>
      </c>
      <c r="L39">
        <v>831153.37</v>
      </c>
      <c r="M39">
        <v>0</v>
      </c>
      <c r="N39">
        <v>274347.33</v>
      </c>
      <c r="O39">
        <v>219618.24</v>
      </c>
      <c r="P39">
        <v>196257.99</v>
      </c>
      <c r="Q39">
        <v>0</v>
      </c>
      <c r="R39">
        <v>0</v>
      </c>
      <c r="S39">
        <v>0</v>
      </c>
      <c r="T39">
        <v>0</v>
      </c>
      <c r="U39">
        <v>0</v>
      </c>
      <c r="V39">
        <v>527010.09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96576.08</v>
      </c>
      <c r="AH39">
        <v>0</v>
      </c>
      <c r="AI39">
        <v>0</v>
      </c>
      <c r="AJ39">
        <v>2001485280.69718</v>
      </c>
    </row>
    <row r="40" spans="1:36" x14ac:dyDescent="0.25">
      <c r="A40" t="s">
        <v>357</v>
      </c>
      <c r="B40" t="s">
        <v>24</v>
      </c>
      <c r="D40">
        <v>4393.43</v>
      </c>
      <c r="E40">
        <v>1538.95</v>
      </c>
      <c r="G40">
        <v>2.2929999999999999E-2</v>
      </c>
      <c r="H40">
        <v>0</v>
      </c>
      <c r="I40">
        <v>251536.02</v>
      </c>
      <c r="J40">
        <v>103288.37</v>
      </c>
      <c r="K40">
        <v>0</v>
      </c>
      <c r="L40">
        <v>282049.05</v>
      </c>
      <c r="M40">
        <v>0</v>
      </c>
      <c r="N40">
        <v>123814.96</v>
      </c>
      <c r="O40">
        <v>21660.36</v>
      </c>
      <c r="P40">
        <v>22088.09</v>
      </c>
      <c r="Q40">
        <v>0</v>
      </c>
      <c r="R40">
        <v>0</v>
      </c>
      <c r="S40">
        <v>0</v>
      </c>
      <c r="T40">
        <v>0</v>
      </c>
      <c r="U40">
        <v>0</v>
      </c>
      <c r="V40">
        <v>164815.10999999999</v>
      </c>
      <c r="W40">
        <v>0</v>
      </c>
      <c r="X40">
        <v>0</v>
      </c>
      <c r="Y40">
        <v>0</v>
      </c>
      <c r="Z40">
        <v>65854.75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105307.15</v>
      </c>
      <c r="AH40">
        <v>0</v>
      </c>
      <c r="AI40">
        <v>0</v>
      </c>
      <c r="AJ40">
        <v>606608544.89424205</v>
      </c>
    </row>
    <row r="41" spans="1:36" x14ac:dyDescent="0.25">
      <c r="A41" t="s">
        <v>358</v>
      </c>
      <c r="B41" t="s">
        <v>24</v>
      </c>
      <c r="C41">
        <v>1538.95</v>
      </c>
      <c r="D41">
        <v>4393.43</v>
      </c>
      <c r="G41">
        <v>2.2929999999999999E-2</v>
      </c>
      <c r="H41">
        <v>0</v>
      </c>
      <c r="I41">
        <v>289654.77</v>
      </c>
      <c r="J41">
        <v>103288.37</v>
      </c>
      <c r="K41">
        <v>0</v>
      </c>
      <c r="L41">
        <v>282049.05</v>
      </c>
      <c r="M41">
        <v>0</v>
      </c>
      <c r="N41">
        <v>123815.03</v>
      </c>
      <c r="O41">
        <v>24475.18</v>
      </c>
      <c r="P41">
        <v>22157.06</v>
      </c>
      <c r="Q41">
        <v>0</v>
      </c>
      <c r="R41">
        <v>0</v>
      </c>
      <c r="S41">
        <v>0</v>
      </c>
      <c r="T41">
        <v>0</v>
      </c>
      <c r="U41">
        <v>0</v>
      </c>
      <c r="V41">
        <v>164774.57</v>
      </c>
      <c r="W41">
        <v>0</v>
      </c>
      <c r="X41">
        <v>0</v>
      </c>
      <c r="Y41">
        <v>0</v>
      </c>
      <c r="Z41">
        <v>65854.75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105305.45</v>
      </c>
      <c r="AH41">
        <v>0</v>
      </c>
      <c r="AI41">
        <v>0</v>
      </c>
      <c r="AJ41">
        <v>616368118.246243</v>
      </c>
    </row>
    <row r="42" spans="1:36" x14ac:dyDescent="0.25">
      <c r="A42" t="s">
        <v>359</v>
      </c>
      <c r="B42" t="s">
        <v>24</v>
      </c>
      <c r="D42">
        <v>36675.480000000003</v>
      </c>
      <c r="E42">
        <v>12846.84</v>
      </c>
      <c r="G42">
        <v>0.191414</v>
      </c>
      <c r="H42">
        <v>0</v>
      </c>
      <c r="I42">
        <v>1464828.52</v>
      </c>
      <c r="J42">
        <v>626942.71</v>
      </c>
      <c r="K42">
        <v>0</v>
      </c>
      <c r="L42">
        <v>1141299.43</v>
      </c>
      <c r="M42">
        <v>0</v>
      </c>
      <c r="N42">
        <v>543318.24</v>
      </c>
      <c r="O42">
        <v>343549.08</v>
      </c>
      <c r="P42">
        <v>311400.78999999998</v>
      </c>
      <c r="Q42">
        <v>0</v>
      </c>
      <c r="R42">
        <v>0</v>
      </c>
      <c r="S42">
        <v>0</v>
      </c>
      <c r="T42">
        <v>0</v>
      </c>
      <c r="U42">
        <v>0</v>
      </c>
      <c r="V42">
        <v>992148.83</v>
      </c>
      <c r="W42">
        <v>0</v>
      </c>
      <c r="X42">
        <v>0</v>
      </c>
      <c r="Y42">
        <v>0</v>
      </c>
      <c r="Z42">
        <v>43737.51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229425.69</v>
      </c>
      <c r="AH42">
        <v>0</v>
      </c>
      <c r="AI42">
        <v>0</v>
      </c>
      <c r="AJ42">
        <v>2794979850.74335</v>
      </c>
    </row>
    <row r="43" spans="1:36" x14ac:dyDescent="0.25">
      <c r="A43" t="s">
        <v>360</v>
      </c>
      <c r="B43" t="s">
        <v>24</v>
      </c>
      <c r="C43">
        <v>12846.84</v>
      </c>
      <c r="D43">
        <v>36675.480000000003</v>
      </c>
      <c r="G43">
        <v>0.191414</v>
      </c>
      <c r="H43">
        <v>0</v>
      </c>
      <c r="I43">
        <v>1816356.06</v>
      </c>
      <c r="J43">
        <v>626942.71</v>
      </c>
      <c r="K43">
        <v>0</v>
      </c>
      <c r="L43">
        <v>1141299.43</v>
      </c>
      <c r="M43">
        <v>0</v>
      </c>
      <c r="N43">
        <v>543575.62</v>
      </c>
      <c r="O43">
        <v>398604.79999999999</v>
      </c>
      <c r="P43">
        <v>324910.26</v>
      </c>
      <c r="Q43">
        <v>0</v>
      </c>
      <c r="R43">
        <v>0</v>
      </c>
      <c r="S43">
        <v>0</v>
      </c>
      <c r="T43">
        <v>0</v>
      </c>
      <c r="U43">
        <v>0</v>
      </c>
      <c r="V43">
        <v>989086.16</v>
      </c>
      <c r="W43">
        <v>0</v>
      </c>
      <c r="X43">
        <v>0</v>
      </c>
      <c r="Y43">
        <v>0</v>
      </c>
      <c r="Z43">
        <v>43737.51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229429.63</v>
      </c>
      <c r="AH43">
        <v>0</v>
      </c>
      <c r="AI43">
        <v>0</v>
      </c>
      <c r="AJ43">
        <v>2843665340.7523699</v>
      </c>
    </row>
    <row r="44" spans="1:36" x14ac:dyDescent="0.25">
      <c r="A44" t="s">
        <v>361</v>
      </c>
      <c r="B44" t="s">
        <v>24</v>
      </c>
      <c r="D44">
        <v>4633.75</v>
      </c>
      <c r="E44">
        <v>1623.13</v>
      </c>
      <c r="G44">
        <v>2.4184000000000001E-2</v>
      </c>
      <c r="H44">
        <v>0</v>
      </c>
      <c r="I44">
        <v>323984.40999999997</v>
      </c>
      <c r="J44">
        <v>94437.9</v>
      </c>
      <c r="K44">
        <v>0</v>
      </c>
      <c r="L44">
        <v>258328.15</v>
      </c>
      <c r="M44">
        <v>0</v>
      </c>
      <c r="N44">
        <v>277118.28000000003</v>
      </c>
      <c r="O44">
        <v>23220.49</v>
      </c>
      <c r="P44">
        <v>24279.32</v>
      </c>
      <c r="Q44">
        <v>0</v>
      </c>
      <c r="R44">
        <v>0</v>
      </c>
      <c r="S44">
        <v>0</v>
      </c>
      <c r="T44">
        <v>0</v>
      </c>
      <c r="U44">
        <v>0</v>
      </c>
      <c r="V44">
        <v>94582.57</v>
      </c>
      <c r="W44">
        <v>0</v>
      </c>
      <c r="X44">
        <v>0</v>
      </c>
      <c r="Y44">
        <v>0</v>
      </c>
      <c r="Z44">
        <v>64094.3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193649.34</v>
      </c>
      <c r="AH44">
        <v>0</v>
      </c>
      <c r="AI44">
        <v>0</v>
      </c>
      <c r="AJ44">
        <v>982298707.75665402</v>
      </c>
    </row>
    <row r="45" spans="1:36" x14ac:dyDescent="0.25">
      <c r="A45" t="s">
        <v>362</v>
      </c>
      <c r="B45" t="s">
        <v>24</v>
      </c>
      <c r="D45">
        <v>65093.21</v>
      </c>
      <c r="E45">
        <v>22801.119999999999</v>
      </c>
      <c r="G45">
        <v>0.33972999999999998</v>
      </c>
      <c r="H45">
        <v>0</v>
      </c>
      <c r="I45">
        <v>2656087.79</v>
      </c>
      <c r="J45">
        <v>643032.05000000005</v>
      </c>
      <c r="K45">
        <v>0</v>
      </c>
      <c r="L45">
        <v>3553012.2</v>
      </c>
      <c r="M45">
        <v>0</v>
      </c>
      <c r="N45">
        <v>1394596.58</v>
      </c>
      <c r="O45">
        <v>346885.58</v>
      </c>
      <c r="P45">
        <v>354064.32</v>
      </c>
      <c r="Q45">
        <v>0</v>
      </c>
      <c r="R45">
        <v>0</v>
      </c>
      <c r="S45">
        <v>0</v>
      </c>
      <c r="T45">
        <v>0</v>
      </c>
      <c r="U45">
        <v>0</v>
      </c>
      <c r="V45">
        <v>1488907.51</v>
      </c>
      <c r="W45">
        <v>0</v>
      </c>
      <c r="X45">
        <v>0</v>
      </c>
      <c r="Y45">
        <v>0</v>
      </c>
      <c r="Z45">
        <v>127428.8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613687.43000000005</v>
      </c>
      <c r="AH45">
        <v>0</v>
      </c>
      <c r="AI45">
        <v>0</v>
      </c>
      <c r="AJ45">
        <v>6253360517.8979301</v>
      </c>
    </row>
    <row r="46" spans="1:36" x14ac:dyDescent="0.25">
      <c r="A46" t="s">
        <v>363</v>
      </c>
      <c r="B46" t="s">
        <v>24</v>
      </c>
      <c r="C46">
        <v>10873.51</v>
      </c>
      <c r="D46">
        <v>31041.97</v>
      </c>
      <c r="G46">
        <v>0.16201199999999999</v>
      </c>
      <c r="H46">
        <v>0</v>
      </c>
      <c r="I46">
        <v>1253686.06</v>
      </c>
      <c r="J46">
        <v>163686.57</v>
      </c>
      <c r="K46">
        <v>0</v>
      </c>
      <c r="L46">
        <v>936314.72</v>
      </c>
      <c r="M46">
        <v>0</v>
      </c>
      <c r="N46">
        <v>382964.68</v>
      </c>
      <c r="O46">
        <v>298354.52</v>
      </c>
      <c r="P46">
        <v>258526.03</v>
      </c>
      <c r="Q46">
        <v>0</v>
      </c>
      <c r="R46">
        <v>0</v>
      </c>
      <c r="S46">
        <v>0</v>
      </c>
      <c r="T46">
        <v>0</v>
      </c>
      <c r="U46">
        <v>0</v>
      </c>
      <c r="V46">
        <v>298904.5</v>
      </c>
      <c r="W46">
        <v>0</v>
      </c>
      <c r="X46">
        <v>0</v>
      </c>
      <c r="Y46">
        <v>0</v>
      </c>
      <c r="Z46">
        <v>68627.600000000006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401522.39</v>
      </c>
      <c r="AH46">
        <v>0</v>
      </c>
      <c r="AI46">
        <v>0</v>
      </c>
      <c r="AJ46">
        <v>2235630369.0612998</v>
      </c>
    </row>
    <row r="47" spans="1:36" x14ac:dyDescent="0.25">
      <c r="A47" t="s">
        <v>364</v>
      </c>
      <c r="B47" t="s">
        <v>24</v>
      </c>
      <c r="C47">
        <v>22801.119999999999</v>
      </c>
      <c r="D47">
        <v>65093.21</v>
      </c>
      <c r="G47">
        <v>0.33972999999999998</v>
      </c>
      <c r="H47">
        <v>0</v>
      </c>
      <c r="I47">
        <v>3043881.34</v>
      </c>
      <c r="J47">
        <v>643032.05000000005</v>
      </c>
      <c r="K47">
        <v>0</v>
      </c>
      <c r="L47">
        <v>3553012.2</v>
      </c>
      <c r="M47">
        <v>0</v>
      </c>
      <c r="N47">
        <v>1395210.57</v>
      </c>
      <c r="O47">
        <v>390944.19</v>
      </c>
      <c r="P47">
        <v>355898.69</v>
      </c>
      <c r="Q47">
        <v>0</v>
      </c>
      <c r="R47">
        <v>0</v>
      </c>
      <c r="S47">
        <v>0</v>
      </c>
      <c r="T47">
        <v>0</v>
      </c>
      <c r="U47">
        <v>0</v>
      </c>
      <c r="V47">
        <v>1487238.3</v>
      </c>
      <c r="W47">
        <v>0</v>
      </c>
      <c r="X47">
        <v>0</v>
      </c>
      <c r="Y47">
        <v>0</v>
      </c>
      <c r="Z47">
        <v>127428.8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613688.38</v>
      </c>
      <c r="AH47">
        <v>0</v>
      </c>
      <c r="AI47">
        <v>0</v>
      </c>
      <c r="AJ47">
        <v>6390408987.4767303</v>
      </c>
    </row>
    <row r="48" spans="1:36" x14ac:dyDescent="0.25">
      <c r="A48" t="s">
        <v>365</v>
      </c>
      <c r="B48" t="s">
        <v>24</v>
      </c>
      <c r="D48">
        <v>31041.97</v>
      </c>
      <c r="E48">
        <v>10873.51</v>
      </c>
      <c r="G48">
        <v>0.16201199999999999</v>
      </c>
      <c r="H48">
        <v>0</v>
      </c>
      <c r="I48">
        <v>873798.69</v>
      </c>
      <c r="J48">
        <v>163686.57</v>
      </c>
      <c r="K48">
        <v>0</v>
      </c>
      <c r="L48">
        <v>936314.72</v>
      </c>
      <c r="M48">
        <v>0</v>
      </c>
      <c r="N48">
        <v>383142</v>
      </c>
      <c r="O48">
        <v>254739.46</v>
      </c>
      <c r="P48">
        <v>248275.17</v>
      </c>
      <c r="Q48">
        <v>0</v>
      </c>
      <c r="R48">
        <v>0</v>
      </c>
      <c r="S48">
        <v>0</v>
      </c>
      <c r="T48">
        <v>0</v>
      </c>
      <c r="U48">
        <v>0</v>
      </c>
      <c r="V48">
        <v>297470.88</v>
      </c>
      <c r="W48">
        <v>0</v>
      </c>
      <c r="X48">
        <v>0</v>
      </c>
      <c r="Y48">
        <v>0</v>
      </c>
      <c r="Z48">
        <v>68627.600000000006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401519.71</v>
      </c>
      <c r="AH48">
        <v>0</v>
      </c>
      <c r="AI48">
        <v>0</v>
      </c>
      <c r="AJ48">
        <v>1973696644.87447</v>
      </c>
    </row>
    <row r="49" spans="1:36" x14ac:dyDescent="0.25">
      <c r="A49" t="s">
        <v>366</v>
      </c>
      <c r="B49" t="s">
        <v>24</v>
      </c>
      <c r="C49">
        <v>1623.13</v>
      </c>
      <c r="D49">
        <v>4633.75</v>
      </c>
      <c r="G49">
        <v>2.4184000000000001E-2</v>
      </c>
      <c r="H49">
        <v>0</v>
      </c>
      <c r="I49">
        <v>352111.44</v>
      </c>
      <c r="J49">
        <v>94437.9</v>
      </c>
      <c r="K49">
        <v>0</v>
      </c>
      <c r="L49">
        <v>258328.15</v>
      </c>
      <c r="M49">
        <v>0</v>
      </c>
      <c r="N49">
        <v>277100.73</v>
      </c>
      <c r="O49">
        <v>26122.41</v>
      </c>
      <c r="P49">
        <v>24392.1</v>
      </c>
      <c r="Q49">
        <v>0</v>
      </c>
      <c r="R49">
        <v>0</v>
      </c>
      <c r="S49">
        <v>0</v>
      </c>
      <c r="T49">
        <v>0</v>
      </c>
      <c r="U49">
        <v>0</v>
      </c>
      <c r="V49">
        <v>94126.7</v>
      </c>
      <c r="W49">
        <v>0</v>
      </c>
      <c r="X49">
        <v>0</v>
      </c>
      <c r="Y49">
        <v>0</v>
      </c>
      <c r="Z49">
        <v>64094.3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193633.24</v>
      </c>
      <c r="AH49">
        <v>0</v>
      </c>
      <c r="AI49">
        <v>0</v>
      </c>
      <c r="AJ49">
        <v>1016677483.17325</v>
      </c>
    </row>
    <row r="50" spans="1:36" x14ac:dyDescent="0.25">
      <c r="A50" t="s">
        <v>367</v>
      </c>
      <c r="B50" t="s">
        <v>23</v>
      </c>
      <c r="D50">
        <v>19057.810000000001</v>
      </c>
      <c r="E50">
        <v>6675.65</v>
      </c>
      <c r="G50">
        <v>9.9464999999999998E-2</v>
      </c>
      <c r="H50">
        <v>0</v>
      </c>
      <c r="I50">
        <v>690318.44</v>
      </c>
      <c r="J50">
        <v>394508.4</v>
      </c>
      <c r="K50">
        <v>0</v>
      </c>
      <c r="L50">
        <v>436518</v>
      </c>
      <c r="M50">
        <v>0</v>
      </c>
      <c r="N50">
        <v>235543.14</v>
      </c>
      <c r="O50">
        <v>87369.37</v>
      </c>
      <c r="P50">
        <v>87751.93</v>
      </c>
      <c r="Q50">
        <v>0</v>
      </c>
      <c r="R50">
        <v>0</v>
      </c>
      <c r="S50">
        <v>0</v>
      </c>
      <c r="T50">
        <v>0</v>
      </c>
      <c r="U50">
        <v>0</v>
      </c>
      <c r="V50">
        <v>387964.41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155561.60000000001</v>
      </c>
      <c r="AH50">
        <v>0</v>
      </c>
      <c r="AI50">
        <v>0</v>
      </c>
      <c r="AJ50">
        <v>2008163191.40236</v>
      </c>
    </row>
    <row r="51" spans="1:36" x14ac:dyDescent="0.25">
      <c r="A51" t="s">
        <v>368</v>
      </c>
      <c r="B51" t="s">
        <v>23</v>
      </c>
      <c r="D51">
        <v>1484.5</v>
      </c>
      <c r="E51">
        <v>520</v>
      </c>
      <c r="G51">
        <v>7.7479999999999997E-3</v>
      </c>
      <c r="H51">
        <v>0</v>
      </c>
      <c r="I51">
        <v>31306.78</v>
      </c>
      <c r="J51">
        <v>12134.67</v>
      </c>
      <c r="K51">
        <v>0</v>
      </c>
      <c r="L51">
        <v>29466.65</v>
      </c>
      <c r="M51">
        <v>0</v>
      </c>
      <c r="N51">
        <v>60151.199999999997</v>
      </c>
      <c r="O51">
        <v>5986.14</v>
      </c>
      <c r="P51">
        <v>6422.37</v>
      </c>
      <c r="Q51">
        <v>0</v>
      </c>
      <c r="R51">
        <v>0</v>
      </c>
      <c r="S51">
        <v>0</v>
      </c>
      <c r="T51">
        <v>0</v>
      </c>
      <c r="U51">
        <v>0</v>
      </c>
      <c r="V51">
        <v>4149.17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4192.59</v>
      </c>
      <c r="AH51">
        <v>0</v>
      </c>
      <c r="AI51">
        <v>0</v>
      </c>
      <c r="AJ51">
        <v>105743871.94374301</v>
      </c>
    </row>
    <row r="52" spans="1:36" x14ac:dyDescent="0.25">
      <c r="A52" t="s">
        <v>369</v>
      </c>
      <c r="B52" t="s">
        <v>23</v>
      </c>
      <c r="C52">
        <v>6675.65</v>
      </c>
      <c r="D52">
        <v>19057.810000000001</v>
      </c>
      <c r="G52">
        <v>9.9464999999999998E-2</v>
      </c>
      <c r="H52">
        <v>0</v>
      </c>
      <c r="I52">
        <v>722905.86</v>
      </c>
      <c r="J52">
        <v>394508.4</v>
      </c>
      <c r="K52">
        <v>0</v>
      </c>
      <c r="L52">
        <v>436518</v>
      </c>
      <c r="M52">
        <v>0</v>
      </c>
      <c r="N52">
        <v>235536.32</v>
      </c>
      <c r="O52">
        <v>96929.31</v>
      </c>
      <c r="P52">
        <v>88611.76</v>
      </c>
      <c r="Q52">
        <v>0</v>
      </c>
      <c r="R52">
        <v>0</v>
      </c>
      <c r="S52">
        <v>0</v>
      </c>
      <c r="T52">
        <v>0</v>
      </c>
      <c r="U52">
        <v>0</v>
      </c>
      <c r="V52">
        <v>388297.31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155562.10999999999</v>
      </c>
      <c r="AH52">
        <v>0</v>
      </c>
      <c r="AI52">
        <v>0</v>
      </c>
      <c r="AJ52">
        <v>2005814035.0192599</v>
      </c>
    </row>
    <row r="53" spans="1:36" x14ac:dyDescent="0.25">
      <c r="A53" t="s">
        <v>370</v>
      </c>
      <c r="B53" t="s">
        <v>23</v>
      </c>
      <c r="C53">
        <v>520</v>
      </c>
      <c r="D53">
        <v>1484.5</v>
      </c>
      <c r="G53">
        <v>7.7479999999999997E-3</v>
      </c>
      <c r="H53">
        <v>0</v>
      </c>
      <c r="I53">
        <v>48878.06</v>
      </c>
      <c r="J53">
        <v>12134.67</v>
      </c>
      <c r="K53">
        <v>0</v>
      </c>
      <c r="L53">
        <v>29466.65</v>
      </c>
      <c r="M53">
        <v>0</v>
      </c>
      <c r="N53">
        <v>60151.47</v>
      </c>
      <c r="O53">
        <v>7958.09</v>
      </c>
      <c r="P53">
        <v>6857.74</v>
      </c>
      <c r="Q53">
        <v>0</v>
      </c>
      <c r="R53">
        <v>0</v>
      </c>
      <c r="S53">
        <v>0</v>
      </c>
      <c r="T53">
        <v>0</v>
      </c>
      <c r="U53">
        <v>0</v>
      </c>
      <c r="V53">
        <v>4149.17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4192.59</v>
      </c>
      <c r="AH53">
        <v>0</v>
      </c>
      <c r="AI53">
        <v>0</v>
      </c>
      <c r="AJ53">
        <v>128624437.30158401</v>
      </c>
    </row>
    <row r="54" spans="1:36" x14ac:dyDescent="0.25">
      <c r="A54" t="s">
        <v>371</v>
      </c>
      <c r="B54" t="s">
        <v>23</v>
      </c>
      <c r="D54">
        <v>23966.55</v>
      </c>
      <c r="E54">
        <v>8395.1</v>
      </c>
      <c r="G54">
        <v>0.125085</v>
      </c>
      <c r="H54">
        <v>0</v>
      </c>
      <c r="I54">
        <v>852772.72</v>
      </c>
      <c r="J54">
        <v>239542.44</v>
      </c>
      <c r="K54">
        <v>0</v>
      </c>
      <c r="L54">
        <v>831153.37</v>
      </c>
      <c r="M54">
        <v>0</v>
      </c>
      <c r="N54">
        <v>246764.57</v>
      </c>
      <c r="O54">
        <v>176851.74</v>
      </c>
      <c r="P54">
        <v>181172.8</v>
      </c>
      <c r="Q54">
        <v>0</v>
      </c>
      <c r="R54">
        <v>0</v>
      </c>
      <c r="S54">
        <v>0</v>
      </c>
      <c r="T54">
        <v>0</v>
      </c>
      <c r="U54">
        <v>0</v>
      </c>
      <c r="V54">
        <v>485100.97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101797.75999999999</v>
      </c>
      <c r="AH54">
        <v>0</v>
      </c>
      <c r="AI54">
        <v>0</v>
      </c>
      <c r="AJ54">
        <v>1883512318.1679399</v>
      </c>
    </row>
    <row r="55" spans="1:36" x14ac:dyDescent="0.25">
      <c r="A55" t="s">
        <v>372</v>
      </c>
      <c r="B55" t="s">
        <v>23</v>
      </c>
      <c r="C55">
        <v>8395.1</v>
      </c>
      <c r="D55">
        <v>23966.55</v>
      </c>
      <c r="G55">
        <v>0.125085</v>
      </c>
      <c r="H55">
        <v>0</v>
      </c>
      <c r="I55">
        <v>1082352.31</v>
      </c>
      <c r="J55">
        <v>239542.44</v>
      </c>
      <c r="K55">
        <v>0</v>
      </c>
      <c r="L55">
        <v>831153.37</v>
      </c>
      <c r="M55">
        <v>0</v>
      </c>
      <c r="N55">
        <v>246869.27</v>
      </c>
      <c r="O55">
        <v>204096.18</v>
      </c>
      <c r="P55">
        <v>186194.9</v>
      </c>
      <c r="Q55">
        <v>0</v>
      </c>
      <c r="R55">
        <v>0</v>
      </c>
      <c r="S55">
        <v>0</v>
      </c>
      <c r="T55">
        <v>0</v>
      </c>
      <c r="U55">
        <v>0</v>
      </c>
      <c r="V55">
        <v>483076.83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101799.69</v>
      </c>
      <c r="AH55">
        <v>0</v>
      </c>
      <c r="AI55">
        <v>0</v>
      </c>
      <c r="AJ55">
        <v>2097916723.2739301</v>
      </c>
    </row>
    <row r="56" spans="1:36" x14ac:dyDescent="0.25">
      <c r="A56" t="s">
        <v>373</v>
      </c>
      <c r="B56" t="s">
        <v>23</v>
      </c>
      <c r="D56">
        <v>4398.8</v>
      </c>
      <c r="E56">
        <v>1540.83</v>
      </c>
      <c r="G56">
        <v>2.2957999999999999E-2</v>
      </c>
      <c r="H56">
        <v>0</v>
      </c>
      <c r="I56">
        <v>199930.79</v>
      </c>
      <c r="J56">
        <v>103288.37</v>
      </c>
      <c r="K56">
        <v>0</v>
      </c>
      <c r="L56">
        <v>282049.05</v>
      </c>
      <c r="M56">
        <v>0</v>
      </c>
      <c r="N56">
        <v>105789.61</v>
      </c>
      <c r="O56">
        <v>19225.169999999998</v>
      </c>
      <c r="P56">
        <v>20503.27</v>
      </c>
      <c r="Q56">
        <v>0</v>
      </c>
      <c r="R56">
        <v>0</v>
      </c>
      <c r="S56">
        <v>0</v>
      </c>
      <c r="T56">
        <v>0</v>
      </c>
      <c r="U56">
        <v>0</v>
      </c>
      <c r="V56">
        <v>152730.59</v>
      </c>
      <c r="W56">
        <v>0</v>
      </c>
      <c r="X56">
        <v>0</v>
      </c>
      <c r="Y56">
        <v>0</v>
      </c>
      <c r="Z56">
        <v>65854.75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111011.13</v>
      </c>
      <c r="AH56">
        <v>0</v>
      </c>
      <c r="AI56">
        <v>0</v>
      </c>
      <c r="AJ56">
        <v>478700545.65509701</v>
      </c>
    </row>
    <row r="57" spans="1:36" x14ac:dyDescent="0.25">
      <c r="A57" t="s">
        <v>374</v>
      </c>
      <c r="B57" t="s">
        <v>23</v>
      </c>
      <c r="C57">
        <v>1540.83</v>
      </c>
      <c r="D57">
        <v>4398.8</v>
      </c>
      <c r="G57">
        <v>2.2957999999999999E-2</v>
      </c>
      <c r="H57">
        <v>0</v>
      </c>
      <c r="I57">
        <v>259182.22</v>
      </c>
      <c r="J57">
        <v>103288.37</v>
      </c>
      <c r="K57">
        <v>0</v>
      </c>
      <c r="L57">
        <v>282049.05</v>
      </c>
      <c r="M57">
        <v>0</v>
      </c>
      <c r="N57">
        <v>105782.36</v>
      </c>
      <c r="O57">
        <v>22476.46</v>
      </c>
      <c r="P57">
        <v>20547.5</v>
      </c>
      <c r="Q57">
        <v>0</v>
      </c>
      <c r="R57">
        <v>0</v>
      </c>
      <c r="S57">
        <v>0</v>
      </c>
      <c r="T57">
        <v>0</v>
      </c>
      <c r="U57">
        <v>0</v>
      </c>
      <c r="V57">
        <v>152637.39000000001</v>
      </c>
      <c r="W57">
        <v>0</v>
      </c>
      <c r="X57">
        <v>0</v>
      </c>
      <c r="Y57">
        <v>0</v>
      </c>
      <c r="Z57">
        <v>65854.75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111011.06</v>
      </c>
      <c r="AH57">
        <v>0</v>
      </c>
      <c r="AI57">
        <v>0</v>
      </c>
      <c r="AJ57">
        <v>547613522.339059</v>
      </c>
    </row>
    <row r="58" spans="1:36" x14ac:dyDescent="0.25">
      <c r="A58" t="s">
        <v>375</v>
      </c>
      <c r="B58" t="s">
        <v>23</v>
      </c>
      <c r="D58">
        <v>36671.870000000003</v>
      </c>
      <c r="E58">
        <v>12845.57</v>
      </c>
      <c r="G58">
        <v>0.19139500000000001</v>
      </c>
      <c r="H58">
        <v>0</v>
      </c>
      <c r="I58">
        <v>1505011.84</v>
      </c>
      <c r="J58">
        <v>626942.71</v>
      </c>
      <c r="K58">
        <v>0</v>
      </c>
      <c r="L58">
        <v>1141299.43</v>
      </c>
      <c r="M58">
        <v>0</v>
      </c>
      <c r="N58">
        <v>468143.72</v>
      </c>
      <c r="O58">
        <v>339029.09</v>
      </c>
      <c r="P58">
        <v>342201.04</v>
      </c>
      <c r="Q58">
        <v>0</v>
      </c>
      <c r="R58">
        <v>0</v>
      </c>
      <c r="S58">
        <v>0</v>
      </c>
      <c r="T58">
        <v>0</v>
      </c>
      <c r="U58">
        <v>0</v>
      </c>
      <c r="V58">
        <v>877105.94</v>
      </c>
      <c r="W58">
        <v>0</v>
      </c>
      <c r="X58">
        <v>0</v>
      </c>
      <c r="Y58">
        <v>0</v>
      </c>
      <c r="Z58">
        <v>43737.51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241875.72</v>
      </c>
      <c r="AH58">
        <v>0</v>
      </c>
      <c r="AI58">
        <v>0</v>
      </c>
      <c r="AJ58">
        <v>2992796422.0636301</v>
      </c>
    </row>
    <row r="59" spans="1:36" x14ac:dyDescent="0.25">
      <c r="A59" t="s">
        <v>376</v>
      </c>
      <c r="B59" t="s">
        <v>23</v>
      </c>
      <c r="C59">
        <v>12845.57</v>
      </c>
      <c r="D59">
        <v>36671.870000000003</v>
      </c>
      <c r="G59">
        <v>0.19139500000000001</v>
      </c>
      <c r="H59">
        <v>0</v>
      </c>
      <c r="I59">
        <v>1776299.41</v>
      </c>
      <c r="J59">
        <v>626942.71</v>
      </c>
      <c r="K59">
        <v>0</v>
      </c>
      <c r="L59">
        <v>1141299.43</v>
      </c>
      <c r="M59">
        <v>0</v>
      </c>
      <c r="N59">
        <v>468815.03</v>
      </c>
      <c r="O59">
        <v>394016.12</v>
      </c>
      <c r="P59">
        <v>354792.61</v>
      </c>
      <c r="Q59">
        <v>0</v>
      </c>
      <c r="R59">
        <v>0</v>
      </c>
      <c r="S59">
        <v>0</v>
      </c>
      <c r="T59">
        <v>0</v>
      </c>
      <c r="U59">
        <v>0</v>
      </c>
      <c r="V59">
        <v>874587.13</v>
      </c>
      <c r="W59">
        <v>0</v>
      </c>
      <c r="X59">
        <v>0</v>
      </c>
      <c r="Y59">
        <v>0</v>
      </c>
      <c r="Z59">
        <v>43737.51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241882.4</v>
      </c>
      <c r="AH59">
        <v>0</v>
      </c>
      <c r="AI59">
        <v>0</v>
      </c>
      <c r="AJ59">
        <v>2984038942.5895901</v>
      </c>
    </row>
    <row r="60" spans="1:36" x14ac:dyDescent="0.25">
      <c r="A60" t="s">
        <v>377</v>
      </c>
      <c r="B60" t="s">
        <v>23</v>
      </c>
      <c r="D60">
        <v>4623.16</v>
      </c>
      <c r="E60">
        <v>1619.42</v>
      </c>
      <c r="G60">
        <v>2.4129000000000001E-2</v>
      </c>
      <c r="H60">
        <v>0</v>
      </c>
      <c r="I60">
        <v>253537.07</v>
      </c>
      <c r="J60">
        <v>94437.9</v>
      </c>
      <c r="K60">
        <v>0</v>
      </c>
      <c r="L60">
        <v>258328.15</v>
      </c>
      <c r="M60">
        <v>0</v>
      </c>
      <c r="N60">
        <v>265274.09999999998</v>
      </c>
      <c r="O60">
        <v>20220.84</v>
      </c>
      <c r="P60">
        <v>21983.29</v>
      </c>
      <c r="Q60">
        <v>0</v>
      </c>
      <c r="R60">
        <v>0</v>
      </c>
      <c r="S60">
        <v>0</v>
      </c>
      <c r="T60">
        <v>0</v>
      </c>
      <c r="U60">
        <v>0</v>
      </c>
      <c r="V60">
        <v>126427.68</v>
      </c>
      <c r="W60">
        <v>0</v>
      </c>
      <c r="X60">
        <v>0</v>
      </c>
      <c r="Y60">
        <v>0</v>
      </c>
      <c r="Z60">
        <v>64094.3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204201.06</v>
      </c>
      <c r="AH60">
        <v>0</v>
      </c>
      <c r="AI60">
        <v>0</v>
      </c>
      <c r="AJ60">
        <v>832264405.61660302</v>
      </c>
    </row>
    <row r="61" spans="1:36" x14ac:dyDescent="0.25">
      <c r="A61" t="s">
        <v>378</v>
      </c>
      <c r="B61" t="s">
        <v>23</v>
      </c>
      <c r="D61">
        <v>64879.25</v>
      </c>
      <c r="E61">
        <v>22726.17</v>
      </c>
      <c r="G61">
        <v>0.33861400000000003</v>
      </c>
      <c r="H61">
        <v>0</v>
      </c>
      <c r="I61">
        <v>2323159.13</v>
      </c>
      <c r="J61">
        <v>643032.05000000005</v>
      </c>
      <c r="K61">
        <v>0</v>
      </c>
      <c r="L61">
        <v>3553012.2</v>
      </c>
      <c r="M61">
        <v>0</v>
      </c>
      <c r="N61">
        <v>1207425.29</v>
      </c>
      <c r="O61">
        <v>309865.96000000002</v>
      </c>
      <c r="P61">
        <v>324778.65000000002</v>
      </c>
      <c r="Q61">
        <v>0</v>
      </c>
      <c r="R61">
        <v>0</v>
      </c>
      <c r="S61">
        <v>0</v>
      </c>
      <c r="T61">
        <v>0</v>
      </c>
      <c r="U61">
        <v>0</v>
      </c>
      <c r="V61">
        <v>1328988.2</v>
      </c>
      <c r="W61">
        <v>0</v>
      </c>
      <c r="X61">
        <v>0</v>
      </c>
      <c r="Y61">
        <v>0</v>
      </c>
      <c r="Z61">
        <v>127428.8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647645.59</v>
      </c>
      <c r="AH61">
        <v>0</v>
      </c>
      <c r="AI61">
        <v>0</v>
      </c>
      <c r="AJ61">
        <v>6370996952.3000898</v>
      </c>
    </row>
    <row r="62" spans="1:36" x14ac:dyDescent="0.25">
      <c r="A62" t="s">
        <v>379</v>
      </c>
      <c r="B62" t="s">
        <v>23</v>
      </c>
      <c r="C62">
        <v>1619.42</v>
      </c>
      <c r="D62">
        <v>4623.16</v>
      </c>
      <c r="G62">
        <v>2.4129000000000001E-2</v>
      </c>
      <c r="H62">
        <v>0</v>
      </c>
      <c r="I62">
        <v>303516.92</v>
      </c>
      <c r="J62">
        <v>94437.9</v>
      </c>
      <c r="K62">
        <v>0</v>
      </c>
      <c r="L62">
        <v>258328.15</v>
      </c>
      <c r="M62">
        <v>0</v>
      </c>
      <c r="N62">
        <v>265251.34999999998</v>
      </c>
      <c r="O62">
        <v>23648.31</v>
      </c>
      <c r="P62">
        <v>22086.82</v>
      </c>
      <c r="Q62">
        <v>0</v>
      </c>
      <c r="R62">
        <v>0</v>
      </c>
      <c r="S62">
        <v>0</v>
      </c>
      <c r="T62">
        <v>0</v>
      </c>
      <c r="U62">
        <v>0</v>
      </c>
      <c r="V62">
        <v>126164.76</v>
      </c>
      <c r="W62">
        <v>0</v>
      </c>
      <c r="X62">
        <v>0</v>
      </c>
      <c r="Y62">
        <v>0</v>
      </c>
      <c r="Z62">
        <v>64094.3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204198.84</v>
      </c>
      <c r="AH62">
        <v>0</v>
      </c>
      <c r="AI62">
        <v>0</v>
      </c>
      <c r="AJ62">
        <v>911075877.73142302</v>
      </c>
    </row>
    <row r="63" spans="1:36" x14ac:dyDescent="0.25">
      <c r="A63" t="s">
        <v>380</v>
      </c>
      <c r="B63" t="s">
        <v>23</v>
      </c>
      <c r="C63">
        <v>22726.17</v>
      </c>
      <c r="D63">
        <v>64879.25</v>
      </c>
      <c r="G63">
        <v>0.33861400000000003</v>
      </c>
      <c r="H63">
        <v>0</v>
      </c>
      <c r="I63">
        <v>2850866.64</v>
      </c>
      <c r="J63">
        <v>643032.05000000005</v>
      </c>
      <c r="K63">
        <v>0</v>
      </c>
      <c r="L63">
        <v>3553012.2</v>
      </c>
      <c r="M63">
        <v>0</v>
      </c>
      <c r="N63">
        <v>1207123.1599999999</v>
      </c>
      <c r="O63">
        <v>355267.86</v>
      </c>
      <c r="P63">
        <v>326210.36</v>
      </c>
      <c r="Q63">
        <v>0</v>
      </c>
      <c r="R63">
        <v>0</v>
      </c>
      <c r="S63">
        <v>0</v>
      </c>
      <c r="T63">
        <v>0</v>
      </c>
      <c r="U63">
        <v>0</v>
      </c>
      <c r="V63">
        <v>1334637.52</v>
      </c>
      <c r="W63">
        <v>0</v>
      </c>
      <c r="X63">
        <v>0</v>
      </c>
      <c r="Y63">
        <v>0</v>
      </c>
      <c r="Z63">
        <v>127428.8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647621.04</v>
      </c>
      <c r="AH63">
        <v>0</v>
      </c>
      <c r="AI63">
        <v>0</v>
      </c>
      <c r="AJ63">
        <v>6493868594.1099796</v>
      </c>
    </row>
    <row r="64" spans="1:36" x14ac:dyDescent="0.25">
      <c r="A64" t="s">
        <v>381</v>
      </c>
      <c r="B64" t="s">
        <v>23</v>
      </c>
      <c r="D64">
        <v>31077.47</v>
      </c>
      <c r="E64">
        <v>10885.94</v>
      </c>
      <c r="G64">
        <v>0.16219800000000001</v>
      </c>
      <c r="H64">
        <v>0</v>
      </c>
      <c r="I64">
        <v>729331.83</v>
      </c>
      <c r="J64">
        <v>163686.57</v>
      </c>
      <c r="K64">
        <v>0</v>
      </c>
      <c r="L64">
        <v>936314.72</v>
      </c>
      <c r="M64">
        <v>0</v>
      </c>
      <c r="N64">
        <v>340195.79</v>
      </c>
      <c r="O64">
        <v>238223.71</v>
      </c>
      <c r="P64">
        <v>251702.26</v>
      </c>
      <c r="Q64">
        <v>0</v>
      </c>
      <c r="R64">
        <v>0</v>
      </c>
      <c r="S64">
        <v>0</v>
      </c>
      <c r="T64">
        <v>0</v>
      </c>
      <c r="U64">
        <v>0</v>
      </c>
      <c r="V64">
        <v>313242.25</v>
      </c>
      <c r="W64">
        <v>0</v>
      </c>
      <c r="X64">
        <v>0</v>
      </c>
      <c r="Y64">
        <v>0</v>
      </c>
      <c r="Z64">
        <v>68627.600000000006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424441.65</v>
      </c>
      <c r="AH64">
        <v>0</v>
      </c>
      <c r="AI64">
        <v>0</v>
      </c>
      <c r="AJ64">
        <v>1921315381.44715</v>
      </c>
    </row>
    <row r="65" spans="1:36" x14ac:dyDescent="0.25">
      <c r="A65" t="s">
        <v>382</v>
      </c>
      <c r="B65" t="s">
        <v>23</v>
      </c>
      <c r="C65">
        <v>10885.94</v>
      </c>
      <c r="D65">
        <v>31077.47</v>
      </c>
      <c r="G65">
        <v>0.16219800000000001</v>
      </c>
      <c r="H65">
        <v>0</v>
      </c>
      <c r="I65">
        <v>1230716.32</v>
      </c>
      <c r="J65">
        <v>163686.57</v>
      </c>
      <c r="K65">
        <v>0</v>
      </c>
      <c r="L65">
        <v>936314.72</v>
      </c>
      <c r="M65">
        <v>0</v>
      </c>
      <c r="N65">
        <v>340387.05</v>
      </c>
      <c r="O65">
        <v>284660.38</v>
      </c>
      <c r="P65">
        <v>260136.23</v>
      </c>
      <c r="Q65">
        <v>0</v>
      </c>
      <c r="R65">
        <v>0</v>
      </c>
      <c r="S65">
        <v>0</v>
      </c>
      <c r="T65">
        <v>0</v>
      </c>
      <c r="U65">
        <v>0</v>
      </c>
      <c r="V65">
        <v>313123.95</v>
      </c>
      <c r="W65">
        <v>0</v>
      </c>
      <c r="X65">
        <v>0</v>
      </c>
      <c r="Y65">
        <v>0</v>
      </c>
      <c r="Z65">
        <v>68627.600000000006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424443.34</v>
      </c>
      <c r="AH65">
        <v>0</v>
      </c>
      <c r="AI65">
        <v>0</v>
      </c>
      <c r="AJ65">
        <v>2327306014.9421401</v>
      </c>
    </row>
    <row r="66" spans="1:36" x14ac:dyDescent="0.25">
      <c r="A66" t="s">
        <v>383</v>
      </c>
      <c r="B66" t="s">
        <v>22</v>
      </c>
      <c r="D66">
        <v>18299.61</v>
      </c>
      <c r="E66">
        <v>6410.06</v>
      </c>
      <c r="G66">
        <v>9.5507999999999996E-2</v>
      </c>
      <c r="H66">
        <v>0</v>
      </c>
      <c r="I66">
        <v>605100.66</v>
      </c>
      <c r="J66">
        <v>394508.4</v>
      </c>
      <c r="K66">
        <v>0</v>
      </c>
      <c r="L66">
        <v>436518</v>
      </c>
      <c r="M66">
        <v>0</v>
      </c>
      <c r="N66">
        <v>212481.2</v>
      </c>
      <c r="O66">
        <v>79311.94</v>
      </c>
      <c r="P66">
        <v>79511.89</v>
      </c>
      <c r="Q66">
        <v>0</v>
      </c>
      <c r="R66">
        <v>0</v>
      </c>
      <c r="S66">
        <v>0</v>
      </c>
      <c r="T66">
        <v>0</v>
      </c>
      <c r="U66">
        <v>0</v>
      </c>
      <c r="V66">
        <v>417603.55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164659.9</v>
      </c>
      <c r="AH66">
        <v>0</v>
      </c>
      <c r="AI66">
        <v>0</v>
      </c>
      <c r="AJ66">
        <v>1934512922.53055</v>
      </c>
    </row>
    <row r="67" spans="1:36" x14ac:dyDescent="0.25">
      <c r="A67" t="s">
        <v>384</v>
      </c>
      <c r="B67" t="s">
        <v>22</v>
      </c>
      <c r="C67">
        <v>6410.06</v>
      </c>
      <c r="D67">
        <v>18299.61</v>
      </c>
      <c r="G67">
        <v>9.5507999999999996E-2</v>
      </c>
      <c r="H67">
        <v>0</v>
      </c>
      <c r="I67">
        <v>623662.63</v>
      </c>
      <c r="J67">
        <v>394508.4</v>
      </c>
      <c r="K67">
        <v>0</v>
      </c>
      <c r="L67">
        <v>436518</v>
      </c>
      <c r="M67">
        <v>0</v>
      </c>
      <c r="N67">
        <v>212462.05</v>
      </c>
      <c r="O67">
        <v>88413.49</v>
      </c>
      <c r="P67">
        <v>80202.61</v>
      </c>
      <c r="Q67">
        <v>0</v>
      </c>
      <c r="R67">
        <v>0</v>
      </c>
      <c r="S67">
        <v>0</v>
      </c>
      <c r="T67">
        <v>0</v>
      </c>
      <c r="U67">
        <v>0</v>
      </c>
      <c r="V67">
        <v>418187.23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164659.22</v>
      </c>
      <c r="AH67">
        <v>0</v>
      </c>
      <c r="AI67">
        <v>0</v>
      </c>
      <c r="AJ67">
        <v>1932544775.63271</v>
      </c>
    </row>
    <row r="68" spans="1:36" x14ac:dyDescent="0.25">
      <c r="A68" t="s">
        <v>385</v>
      </c>
      <c r="B68" t="s">
        <v>22</v>
      </c>
      <c r="C68">
        <v>490.41</v>
      </c>
      <c r="D68">
        <v>1400.02</v>
      </c>
      <c r="G68">
        <v>7.3070000000000001E-3</v>
      </c>
      <c r="H68">
        <v>0</v>
      </c>
      <c r="I68">
        <v>35943.9</v>
      </c>
      <c r="J68">
        <v>12134.67</v>
      </c>
      <c r="K68">
        <v>0</v>
      </c>
      <c r="L68">
        <v>29466.65</v>
      </c>
      <c r="M68">
        <v>0</v>
      </c>
      <c r="N68">
        <v>56567.41</v>
      </c>
      <c r="O68">
        <v>6544.07</v>
      </c>
      <c r="P68">
        <v>5390.86</v>
      </c>
      <c r="Q68">
        <v>0</v>
      </c>
      <c r="R68">
        <v>0</v>
      </c>
      <c r="S68">
        <v>0</v>
      </c>
      <c r="T68">
        <v>0</v>
      </c>
      <c r="U68">
        <v>0</v>
      </c>
      <c r="V68">
        <v>5543.18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4403.6000000000004</v>
      </c>
      <c r="AH68">
        <v>0</v>
      </c>
      <c r="AI68">
        <v>0</v>
      </c>
      <c r="AJ68">
        <v>115228570.85235301</v>
      </c>
    </row>
    <row r="69" spans="1:36" x14ac:dyDescent="0.25">
      <c r="A69" t="s">
        <v>386</v>
      </c>
      <c r="B69" t="s">
        <v>22</v>
      </c>
      <c r="D69">
        <v>1400.02</v>
      </c>
      <c r="E69">
        <v>490.41</v>
      </c>
      <c r="G69">
        <v>7.3070000000000001E-3</v>
      </c>
      <c r="H69">
        <v>0</v>
      </c>
      <c r="I69">
        <v>22517.74</v>
      </c>
      <c r="J69">
        <v>12134.67</v>
      </c>
      <c r="K69">
        <v>0</v>
      </c>
      <c r="L69">
        <v>29466.65</v>
      </c>
      <c r="M69">
        <v>0</v>
      </c>
      <c r="N69">
        <v>56567.55</v>
      </c>
      <c r="O69">
        <v>4835.6000000000004</v>
      </c>
      <c r="P69">
        <v>5001.08</v>
      </c>
      <c r="Q69">
        <v>0</v>
      </c>
      <c r="R69">
        <v>0</v>
      </c>
      <c r="S69">
        <v>0</v>
      </c>
      <c r="T69">
        <v>0</v>
      </c>
      <c r="U69">
        <v>0</v>
      </c>
      <c r="V69">
        <v>5543.18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4403.6000000000004</v>
      </c>
      <c r="AH69">
        <v>0</v>
      </c>
      <c r="AI69">
        <v>0</v>
      </c>
      <c r="AJ69">
        <v>91104381.958487198</v>
      </c>
    </row>
    <row r="70" spans="1:36" x14ac:dyDescent="0.25">
      <c r="A70" t="s">
        <v>387</v>
      </c>
      <c r="B70" t="s">
        <v>22</v>
      </c>
      <c r="C70">
        <v>8164.81</v>
      </c>
      <c r="D70">
        <v>23309.11</v>
      </c>
      <c r="G70">
        <v>0.121653</v>
      </c>
      <c r="H70">
        <v>0</v>
      </c>
      <c r="I70">
        <v>909857.49</v>
      </c>
      <c r="J70">
        <v>239542.44</v>
      </c>
      <c r="K70">
        <v>0</v>
      </c>
      <c r="L70">
        <v>831153.37</v>
      </c>
      <c r="M70">
        <v>0</v>
      </c>
      <c r="N70">
        <v>228829.44</v>
      </c>
      <c r="O70">
        <v>195805.4</v>
      </c>
      <c r="P70">
        <v>174782.68</v>
      </c>
      <c r="Q70">
        <v>0</v>
      </c>
      <c r="R70">
        <v>0</v>
      </c>
      <c r="S70">
        <v>0</v>
      </c>
      <c r="T70">
        <v>0</v>
      </c>
      <c r="U70">
        <v>0</v>
      </c>
      <c r="V70">
        <v>458031.78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107757.32</v>
      </c>
      <c r="AH70">
        <v>0</v>
      </c>
      <c r="AI70">
        <v>0</v>
      </c>
      <c r="AJ70">
        <v>1991423602.1909201</v>
      </c>
    </row>
    <row r="71" spans="1:36" x14ac:dyDescent="0.25">
      <c r="A71" t="s">
        <v>388</v>
      </c>
      <c r="B71" t="s">
        <v>22</v>
      </c>
      <c r="C71">
        <v>1469.39</v>
      </c>
      <c r="D71">
        <v>4194.84</v>
      </c>
      <c r="G71">
        <v>2.1892999999999999E-2</v>
      </c>
      <c r="H71">
        <v>0</v>
      </c>
      <c r="I71">
        <v>205622.33</v>
      </c>
      <c r="J71">
        <v>103288.37</v>
      </c>
      <c r="K71">
        <v>0</v>
      </c>
      <c r="L71">
        <v>282049.05</v>
      </c>
      <c r="M71">
        <v>0</v>
      </c>
      <c r="N71">
        <v>93199.64</v>
      </c>
      <c r="O71">
        <v>19623.759999999998</v>
      </c>
      <c r="P71">
        <v>17781.18</v>
      </c>
      <c r="Q71">
        <v>0</v>
      </c>
      <c r="R71">
        <v>0</v>
      </c>
      <c r="S71">
        <v>0</v>
      </c>
      <c r="T71">
        <v>0</v>
      </c>
      <c r="U71">
        <v>0</v>
      </c>
      <c r="V71">
        <v>146139.94</v>
      </c>
      <c r="W71">
        <v>0</v>
      </c>
      <c r="X71">
        <v>0</v>
      </c>
      <c r="Y71">
        <v>0</v>
      </c>
      <c r="Z71">
        <v>65854.75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117515.79</v>
      </c>
      <c r="AH71">
        <v>0</v>
      </c>
      <c r="AI71">
        <v>0</v>
      </c>
      <c r="AJ71">
        <v>512422210.86297899</v>
      </c>
    </row>
    <row r="72" spans="1:36" x14ac:dyDescent="0.25">
      <c r="A72" t="s">
        <v>389</v>
      </c>
      <c r="B72" t="s">
        <v>22</v>
      </c>
      <c r="D72">
        <v>4194.84</v>
      </c>
      <c r="E72">
        <v>1469.39</v>
      </c>
      <c r="G72">
        <v>2.1892999999999999E-2</v>
      </c>
      <c r="H72">
        <v>0</v>
      </c>
      <c r="I72">
        <v>160178.99</v>
      </c>
      <c r="J72">
        <v>103288.37</v>
      </c>
      <c r="K72">
        <v>0</v>
      </c>
      <c r="L72">
        <v>282049.05</v>
      </c>
      <c r="M72">
        <v>0</v>
      </c>
      <c r="N72">
        <v>93200.03</v>
      </c>
      <c r="O72">
        <v>16777.740000000002</v>
      </c>
      <c r="P72">
        <v>17729.25</v>
      </c>
      <c r="Q72">
        <v>0</v>
      </c>
      <c r="R72">
        <v>0</v>
      </c>
      <c r="S72">
        <v>0</v>
      </c>
      <c r="T72">
        <v>0</v>
      </c>
      <c r="U72">
        <v>0</v>
      </c>
      <c r="V72">
        <v>146203.06</v>
      </c>
      <c r="W72">
        <v>0</v>
      </c>
      <c r="X72">
        <v>0</v>
      </c>
      <c r="Y72">
        <v>0</v>
      </c>
      <c r="Z72">
        <v>65854.75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117519.39</v>
      </c>
      <c r="AH72">
        <v>0</v>
      </c>
      <c r="AI72">
        <v>0</v>
      </c>
      <c r="AJ72">
        <v>445906388.85938299</v>
      </c>
    </row>
    <row r="73" spans="1:36" x14ac:dyDescent="0.25">
      <c r="A73" t="s">
        <v>390</v>
      </c>
      <c r="B73" t="s">
        <v>22</v>
      </c>
      <c r="D73">
        <v>23309.11</v>
      </c>
      <c r="E73">
        <v>8164.81</v>
      </c>
      <c r="G73">
        <v>0.121653</v>
      </c>
      <c r="H73">
        <v>0</v>
      </c>
      <c r="I73">
        <v>726764.05</v>
      </c>
      <c r="J73">
        <v>239542.44</v>
      </c>
      <c r="K73">
        <v>0</v>
      </c>
      <c r="L73">
        <v>831153.37</v>
      </c>
      <c r="M73">
        <v>0</v>
      </c>
      <c r="N73">
        <v>228653.5</v>
      </c>
      <c r="O73">
        <v>167006.12</v>
      </c>
      <c r="P73">
        <v>166835.87</v>
      </c>
      <c r="Q73">
        <v>0</v>
      </c>
      <c r="R73">
        <v>0</v>
      </c>
      <c r="S73">
        <v>0</v>
      </c>
      <c r="T73">
        <v>0</v>
      </c>
      <c r="U73">
        <v>0</v>
      </c>
      <c r="V73">
        <v>460886.19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107761.45</v>
      </c>
      <c r="AH73">
        <v>0</v>
      </c>
      <c r="AI73">
        <v>0</v>
      </c>
      <c r="AJ73">
        <v>1718754420.1728599</v>
      </c>
    </row>
    <row r="74" spans="1:36" x14ac:dyDescent="0.25">
      <c r="A74" t="s">
        <v>391</v>
      </c>
      <c r="B74" t="s">
        <v>22</v>
      </c>
      <c r="D74">
        <v>35837.67</v>
      </c>
      <c r="E74">
        <v>12553.37</v>
      </c>
      <c r="G74">
        <v>0.18704200000000001</v>
      </c>
      <c r="H74">
        <v>0</v>
      </c>
      <c r="I74">
        <v>1264847.8899999999</v>
      </c>
      <c r="J74">
        <v>626942.71</v>
      </c>
      <c r="K74">
        <v>0</v>
      </c>
      <c r="L74">
        <v>1141299.43</v>
      </c>
      <c r="M74">
        <v>0</v>
      </c>
      <c r="N74">
        <v>417795.99</v>
      </c>
      <c r="O74">
        <v>323315.34000000003</v>
      </c>
      <c r="P74">
        <v>319727.78999999998</v>
      </c>
      <c r="Q74">
        <v>0</v>
      </c>
      <c r="R74">
        <v>0</v>
      </c>
      <c r="S74">
        <v>0</v>
      </c>
      <c r="T74">
        <v>0</v>
      </c>
      <c r="U74">
        <v>0</v>
      </c>
      <c r="V74">
        <v>832952.27</v>
      </c>
      <c r="W74">
        <v>0</v>
      </c>
      <c r="X74">
        <v>0</v>
      </c>
      <c r="Y74">
        <v>0</v>
      </c>
      <c r="Z74">
        <v>43737.51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256090.49</v>
      </c>
      <c r="AH74">
        <v>0</v>
      </c>
      <c r="AI74">
        <v>0</v>
      </c>
      <c r="AJ74">
        <v>2907669439.50491</v>
      </c>
    </row>
    <row r="75" spans="1:36" x14ac:dyDescent="0.25">
      <c r="A75" t="s">
        <v>392</v>
      </c>
      <c r="B75" t="s">
        <v>22</v>
      </c>
      <c r="C75">
        <v>12553.37</v>
      </c>
      <c r="D75">
        <v>35837.67</v>
      </c>
      <c r="G75">
        <v>0.18704200000000001</v>
      </c>
      <c r="H75">
        <v>0</v>
      </c>
      <c r="I75">
        <v>1498370.17</v>
      </c>
      <c r="J75">
        <v>626942.71</v>
      </c>
      <c r="K75">
        <v>0</v>
      </c>
      <c r="L75">
        <v>1141299.43</v>
      </c>
      <c r="M75">
        <v>0</v>
      </c>
      <c r="N75">
        <v>418068.31</v>
      </c>
      <c r="O75">
        <v>378989.89</v>
      </c>
      <c r="P75">
        <v>334200.31</v>
      </c>
      <c r="Q75">
        <v>0</v>
      </c>
      <c r="R75">
        <v>0</v>
      </c>
      <c r="S75">
        <v>0</v>
      </c>
      <c r="T75">
        <v>0</v>
      </c>
      <c r="U75">
        <v>0</v>
      </c>
      <c r="V75">
        <v>829744.65</v>
      </c>
      <c r="W75">
        <v>0</v>
      </c>
      <c r="X75">
        <v>0</v>
      </c>
      <c r="Y75">
        <v>0</v>
      </c>
      <c r="Z75">
        <v>43737.51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256101.77</v>
      </c>
      <c r="AH75">
        <v>0</v>
      </c>
      <c r="AI75">
        <v>0</v>
      </c>
      <c r="AJ75">
        <v>2898478708.0911198</v>
      </c>
    </row>
    <row r="76" spans="1:36" x14ac:dyDescent="0.25">
      <c r="A76" t="s">
        <v>393</v>
      </c>
      <c r="B76" t="s">
        <v>22</v>
      </c>
      <c r="C76">
        <v>1549.14</v>
      </c>
      <c r="D76">
        <v>4422.53</v>
      </c>
      <c r="G76">
        <v>2.3081999999999998E-2</v>
      </c>
      <c r="H76">
        <v>0</v>
      </c>
      <c r="I76">
        <v>247519.87</v>
      </c>
      <c r="J76">
        <v>94437.9</v>
      </c>
      <c r="K76">
        <v>0</v>
      </c>
      <c r="L76">
        <v>258328.15</v>
      </c>
      <c r="M76">
        <v>0</v>
      </c>
      <c r="N76">
        <v>273474.14</v>
      </c>
      <c r="O76">
        <v>21906.23</v>
      </c>
      <c r="P76">
        <v>20094.310000000001</v>
      </c>
      <c r="Q76">
        <v>0</v>
      </c>
      <c r="R76">
        <v>0</v>
      </c>
      <c r="S76">
        <v>0</v>
      </c>
      <c r="T76">
        <v>0</v>
      </c>
      <c r="U76">
        <v>0</v>
      </c>
      <c r="V76">
        <v>170392.22</v>
      </c>
      <c r="W76">
        <v>0</v>
      </c>
      <c r="X76">
        <v>0</v>
      </c>
      <c r="Y76">
        <v>0</v>
      </c>
      <c r="Z76">
        <v>64094.3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216283.71</v>
      </c>
      <c r="AH76">
        <v>0</v>
      </c>
      <c r="AI76">
        <v>0</v>
      </c>
      <c r="AJ76">
        <v>866835798.46281099</v>
      </c>
    </row>
    <row r="77" spans="1:36" x14ac:dyDescent="0.25">
      <c r="A77" t="s">
        <v>394</v>
      </c>
      <c r="B77" t="s">
        <v>22</v>
      </c>
      <c r="D77">
        <v>4422.53</v>
      </c>
      <c r="E77">
        <v>1549.14</v>
      </c>
      <c r="G77">
        <v>2.3081999999999998E-2</v>
      </c>
      <c r="H77">
        <v>0</v>
      </c>
      <c r="I77">
        <v>210256.11</v>
      </c>
      <c r="J77">
        <v>94437.9</v>
      </c>
      <c r="K77">
        <v>0</v>
      </c>
      <c r="L77">
        <v>258328.15</v>
      </c>
      <c r="M77">
        <v>0</v>
      </c>
      <c r="N77">
        <v>273504.28999999998</v>
      </c>
      <c r="O77">
        <v>18784.43</v>
      </c>
      <c r="P77">
        <v>19927.43</v>
      </c>
      <c r="Q77">
        <v>0</v>
      </c>
      <c r="R77">
        <v>0</v>
      </c>
      <c r="S77">
        <v>0</v>
      </c>
      <c r="T77">
        <v>0</v>
      </c>
      <c r="U77">
        <v>0</v>
      </c>
      <c r="V77">
        <v>170700.41</v>
      </c>
      <c r="W77">
        <v>0</v>
      </c>
      <c r="X77">
        <v>0</v>
      </c>
      <c r="Y77">
        <v>0</v>
      </c>
      <c r="Z77">
        <v>64094.3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216283.09</v>
      </c>
      <c r="AH77">
        <v>0</v>
      </c>
      <c r="AI77">
        <v>0</v>
      </c>
      <c r="AJ77">
        <v>821645842.51986694</v>
      </c>
    </row>
    <row r="78" spans="1:36" x14ac:dyDescent="0.25">
      <c r="A78" t="s">
        <v>395</v>
      </c>
      <c r="B78" t="s">
        <v>22</v>
      </c>
      <c r="D78">
        <v>62246.559999999998</v>
      </c>
      <c r="E78">
        <v>21803.98</v>
      </c>
      <c r="G78">
        <v>0.32487300000000002</v>
      </c>
      <c r="H78">
        <v>0</v>
      </c>
      <c r="I78">
        <v>1908561.08</v>
      </c>
      <c r="J78">
        <v>643032.05000000005</v>
      </c>
      <c r="K78">
        <v>0</v>
      </c>
      <c r="L78">
        <v>3553012.2</v>
      </c>
      <c r="M78">
        <v>0</v>
      </c>
      <c r="N78">
        <v>1125381.3500000001</v>
      </c>
      <c r="O78">
        <v>272898.77</v>
      </c>
      <c r="P78">
        <v>282558.40000000002</v>
      </c>
      <c r="Q78">
        <v>0</v>
      </c>
      <c r="R78">
        <v>0</v>
      </c>
      <c r="S78">
        <v>0</v>
      </c>
      <c r="T78">
        <v>0</v>
      </c>
      <c r="U78">
        <v>0</v>
      </c>
      <c r="V78">
        <v>1245955.71</v>
      </c>
      <c r="W78">
        <v>0</v>
      </c>
      <c r="X78">
        <v>0</v>
      </c>
      <c r="Y78">
        <v>0</v>
      </c>
      <c r="Z78">
        <v>127428.8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686695.71</v>
      </c>
      <c r="AH78">
        <v>0</v>
      </c>
      <c r="AI78">
        <v>0</v>
      </c>
      <c r="AJ78">
        <v>6050254627.0322504</v>
      </c>
    </row>
    <row r="79" spans="1:36" x14ac:dyDescent="0.25">
      <c r="A79" t="s">
        <v>396</v>
      </c>
      <c r="B79" t="s">
        <v>22</v>
      </c>
      <c r="C79">
        <v>21803.98</v>
      </c>
      <c r="D79">
        <v>62246.559999999998</v>
      </c>
      <c r="G79">
        <v>0.32487300000000002</v>
      </c>
      <c r="H79">
        <v>0</v>
      </c>
      <c r="I79">
        <v>2304665.2799999998</v>
      </c>
      <c r="J79">
        <v>643032.05000000005</v>
      </c>
      <c r="K79">
        <v>0</v>
      </c>
      <c r="L79">
        <v>3553012.2</v>
      </c>
      <c r="M79">
        <v>0</v>
      </c>
      <c r="N79">
        <v>1125722.55</v>
      </c>
      <c r="O79">
        <v>313550.51</v>
      </c>
      <c r="P79">
        <v>284593.65000000002</v>
      </c>
      <c r="Q79">
        <v>0</v>
      </c>
      <c r="R79">
        <v>0</v>
      </c>
      <c r="S79">
        <v>0</v>
      </c>
      <c r="T79">
        <v>0</v>
      </c>
      <c r="U79">
        <v>0</v>
      </c>
      <c r="V79">
        <v>1251068.47</v>
      </c>
      <c r="W79">
        <v>0</v>
      </c>
      <c r="X79">
        <v>0</v>
      </c>
      <c r="Y79">
        <v>0</v>
      </c>
      <c r="Z79">
        <v>127428.8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686699.99</v>
      </c>
      <c r="AH79">
        <v>0</v>
      </c>
      <c r="AI79">
        <v>0</v>
      </c>
      <c r="AJ79">
        <v>6187484716.5249996</v>
      </c>
    </row>
    <row r="80" spans="1:36" x14ac:dyDescent="0.25">
      <c r="A80" t="s">
        <v>397</v>
      </c>
      <c r="B80" t="s">
        <v>22</v>
      </c>
      <c r="C80">
        <v>10571.18</v>
      </c>
      <c r="D80">
        <v>30178.86</v>
      </c>
      <c r="G80">
        <v>0.15750800000000001</v>
      </c>
      <c r="H80">
        <v>0</v>
      </c>
      <c r="I80">
        <v>1117888.4099999999</v>
      </c>
      <c r="J80">
        <v>163686.57</v>
      </c>
      <c r="K80">
        <v>0</v>
      </c>
      <c r="L80">
        <v>936314.72</v>
      </c>
      <c r="M80">
        <v>0</v>
      </c>
      <c r="N80">
        <v>370296.54</v>
      </c>
      <c r="O80">
        <v>270353.17</v>
      </c>
      <c r="P80">
        <v>242068.53</v>
      </c>
      <c r="Q80">
        <v>0</v>
      </c>
      <c r="R80">
        <v>0</v>
      </c>
      <c r="S80">
        <v>0</v>
      </c>
      <c r="T80">
        <v>0</v>
      </c>
      <c r="U80">
        <v>0</v>
      </c>
      <c r="V80">
        <v>497100.88</v>
      </c>
      <c r="W80">
        <v>0</v>
      </c>
      <c r="X80">
        <v>0</v>
      </c>
      <c r="Y80">
        <v>0</v>
      </c>
      <c r="Z80">
        <v>68627.600000000006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450697.87</v>
      </c>
      <c r="AH80">
        <v>0</v>
      </c>
      <c r="AI80">
        <v>0</v>
      </c>
      <c r="AJ80">
        <v>2277822126.6419001</v>
      </c>
    </row>
    <row r="81" spans="1:36" x14ac:dyDescent="0.25">
      <c r="A81" t="s">
        <v>398</v>
      </c>
      <c r="B81" t="s">
        <v>22</v>
      </c>
      <c r="D81">
        <v>30178.86</v>
      </c>
      <c r="E81">
        <v>10571.18</v>
      </c>
      <c r="G81">
        <v>0.15750800000000001</v>
      </c>
      <c r="H81">
        <v>0</v>
      </c>
      <c r="I81">
        <v>641721.53</v>
      </c>
      <c r="J81">
        <v>163686.57</v>
      </c>
      <c r="K81">
        <v>0</v>
      </c>
      <c r="L81">
        <v>936314.72</v>
      </c>
      <c r="M81">
        <v>0</v>
      </c>
      <c r="N81">
        <v>370254.34</v>
      </c>
      <c r="O81">
        <v>225641.89</v>
      </c>
      <c r="P81">
        <v>231147.47</v>
      </c>
      <c r="Q81">
        <v>0</v>
      </c>
      <c r="R81">
        <v>0</v>
      </c>
      <c r="S81">
        <v>0</v>
      </c>
      <c r="T81">
        <v>0</v>
      </c>
      <c r="U81">
        <v>0</v>
      </c>
      <c r="V81">
        <v>497340.66</v>
      </c>
      <c r="W81">
        <v>0</v>
      </c>
      <c r="X81">
        <v>0</v>
      </c>
      <c r="Y81">
        <v>0</v>
      </c>
      <c r="Z81">
        <v>68627.600000000006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450692.55</v>
      </c>
      <c r="AH81">
        <v>0</v>
      </c>
      <c r="AI81">
        <v>0</v>
      </c>
      <c r="AJ81">
        <v>1947429574.0434</v>
      </c>
    </row>
    <row r="82" spans="1:36" x14ac:dyDescent="0.25">
      <c r="A82" t="s">
        <v>399</v>
      </c>
      <c r="B82" t="s">
        <v>21</v>
      </c>
      <c r="C82">
        <v>6323.79</v>
      </c>
      <c r="D82">
        <v>18053.310000000001</v>
      </c>
      <c r="G82">
        <v>9.4223000000000001E-2</v>
      </c>
      <c r="H82">
        <v>0</v>
      </c>
      <c r="I82">
        <v>625951.94999999995</v>
      </c>
      <c r="J82">
        <v>394508.4</v>
      </c>
      <c r="K82">
        <v>0</v>
      </c>
      <c r="L82">
        <v>436518</v>
      </c>
      <c r="M82">
        <v>0</v>
      </c>
      <c r="N82">
        <v>230923.7</v>
      </c>
      <c r="O82">
        <v>87528.56</v>
      </c>
      <c r="P82">
        <v>79556.649999999994</v>
      </c>
      <c r="Q82">
        <v>0</v>
      </c>
      <c r="R82">
        <v>0</v>
      </c>
      <c r="S82">
        <v>0</v>
      </c>
      <c r="T82">
        <v>0</v>
      </c>
      <c r="U82">
        <v>0</v>
      </c>
      <c r="V82">
        <v>421007.34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160195.56</v>
      </c>
      <c r="AH82">
        <v>0</v>
      </c>
      <c r="AI82">
        <v>0</v>
      </c>
      <c r="AJ82">
        <v>1952652540.6027701</v>
      </c>
    </row>
    <row r="83" spans="1:36" x14ac:dyDescent="0.25">
      <c r="A83" t="s">
        <v>400</v>
      </c>
      <c r="B83" t="s">
        <v>21</v>
      </c>
      <c r="D83">
        <v>18053.310000000001</v>
      </c>
      <c r="E83">
        <v>6323.79</v>
      </c>
      <c r="G83">
        <v>9.4223000000000001E-2</v>
      </c>
      <c r="H83">
        <v>0</v>
      </c>
      <c r="I83">
        <v>615143.75</v>
      </c>
      <c r="J83">
        <v>394508.4</v>
      </c>
      <c r="K83">
        <v>0</v>
      </c>
      <c r="L83">
        <v>436518</v>
      </c>
      <c r="M83">
        <v>0</v>
      </c>
      <c r="N83">
        <v>230995.57</v>
      </c>
      <c r="O83">
        <v>78931.16</v>
      </c>
      <c r="P83">
        <v>78593.61</v>
      </c>
      <c r="Q83">
        <v>0</v>
      </c>
      <c r="R83">
        <v>0</v>
      </c>
      <c r="S83">
        <v>0</v>
      </c>
      <c r="T83">
        <v>0</v>
      </c>
      <c r="U83">
        <v>0</v>
      </c>
      <c r="V83">
        <v>420877.67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160196.60999999999</v>
      </c>
      <c r="AH83">
        <v>0</v>
      </c>
      <c r="AI83">
        <v>0</v>
      </c>
      <c r="AJ83">
        <v>1954242688.7857499</v>
      </c>
    </row>
    <row r="84" spans="1:36" x14ac:dyDescent="0.25">
      <c r="A84" t="s">
        <v>401</v>
      </c>
      <c r="B84" t="s">
        <v>21</v>
      </c>
      <c r="C84">
        <v>510.78</v>
      </c>
      <c r="D84">
        <v>1458.2</v>
      </c>
      <c r="G84">
        <v>7.6109999999999997E-3</v>
      </c>
      <c r="H84">
        <v>0</v>
      </c>
      <c r="I84">
        <v>41979.39</v>
      </c>
      <c r="J84">
        <v>12134.67</v>
      </c>
      <c r="K84">
        <v>0</v>
      </c>
      <c r="L84">
        <v>29466.65</v>
      </c>
      <c r="M84">
        <v>0</v>
      </c>
      <c r="N84">
        <v>60611.69</v>
      </c>
      <c r="O84">
        <v>7448.49</v>
      </c>
      <c r="P84">
        <v>6307.19</v>
      </c>
      <c r="Q84">
        <v>0</v>
      </c>
      <c r="R84">
        <v>0</v>
      </c>
      <c r="S84">
        <v>0</v>
      </c>
      <c r="T84">
        <v>0</v>
      </c>
      <c r="U84">
        <v>0</v>
      </c>
      <c r="V84">
        <v>5164.41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4299.92</v>
      </c>
      <c r="AH84">
        <v>0</v>
      </c>
      <c r="AI84">
        <v>0</v>
      </c>
      <c r="AJ84">
        <v>120408298.958406</v>
      </c>
    </row>
    <row r="85" spans="1:36" x14ac:dyDescent="0.25">
      <c r="A85" t="s">
        <v>402</v>
      </c>
      <c r="B85" t="s">
        <v>21</v>
      </c>
      <c r="D85">
        <v>1458.2</v>
      </c>
      <c r="E85">
        <v>510.78</v>
      </c>
      <c r="G85">
        <v>7.6109999999999997E-3</v>
      </c>
      <c r="H85">
        <v>0</v>
      </c>
      <c r="I85">
        <v>27663.69</v>
      </c>
      <c r="J85">
        <v>12134.67</v>
      </c>
      <c r="K85">
        <v>0</v>
      </c>
      <c r="L85">
        <v>29466.65</v>
      </c>
      <c r="M85">
        <v>0</v>
      </c>
      <c r="N85">
        <v>60611.69</v>
      </c>
      <c r="O85">
        <v>5599.43</v>
      </c>
      <c r="P85">
        <v>5875.17</v>
      </c>
      <c r="Q85">
        <v>0</v>
      </c>
      <c r="R85">
        <v>0</v>
      </c>
      <c r="S85">
        <v>0</v>
      </c>
      <c r="T85">
        <v>0</v>
      </c>
      <c r="U85">
        <v>0</v>
      </c>
      <c r="V85">
        <v>5164.41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4299.92</v>
      </c>
      <c r="AH85">
        <v>0</v>
      </c>
      <c r="AI85">
        <v>0</v>
      </c>
      <c r="AJ85">
        <v>104098401.569039</v>
      </c>
    </row>
    <row r="86" spans="1:36" x14ac:dyDescent="0.25">
      <c r="A86" t="s">
        <v>403</v>
      </c>
      <c r="B86" t="s">
        <v>21</v>
      </c>
      <c r="D86">
        <v>4251.34</v>
      </c>
      <c r="E86">
        <v>1489.18</v>
      </c>
      <c r="G86">
        <v>2.2187999999999999E-2</v>
      </c>
      <c r="H86">
        <v>0</v>
      </c>
      <c r="I86">
        <v>180381.25</v>
      </c>
      <c r="J86">
        <v>103288.37</v>
      </c>
      <c r="K86">
        <v>0</v>
      </c>
      <c r="L86">
        <v>282049.05</v>
      </c>
      <c r="M86">
        <v>0</v>
      </c>
      <c r="N86">
        <v>103357.22</v>
      </c>
      <c r="O86">
        <v>17332.22</v>
      </c>
      <c r="P86">
        <v>18378.97</v>
      </c>
      <c r="Q86">
        <v>0</v>
      </c>
      <c r="R86">
        <v>0</v>
      </c>
      <c r="S86">
        <v>0</v>
      </c>
      <c r="T86">
        <v>0</v>
      </c>
      <c r="U86">
        <v>0</v>
      </c>
      <c r="V86">
        <v>172769</v>
      </c>
      <c r="W86">
        <v>0</v>
      </c>
      <c r="X86">
        <v>0</v>
      </c>
      <c r="Y86">
        <v>0</v>
      </c>
      <c r="Z86">
        <v>65854.75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114320.04</v>
      </c>
      <c r="AH86">
        <v>0</v>
      </c>
      <c r="AI86">
        <v>0</v>
      </c>
      <c r="AJ86">
        <v>476004260.67108297</v>
      </c>
    </row>
    <row r="87" spans="1:36" x14ac:dyDescent="0.25">
      <c r="A87" t="s">
        <v>404</v>
      </c>
      <c r="B87" t="s">
        <v>21</v>
      </c>
      <c r="C87">
        <v>1489.18</v>
      </c>
      <c r="D87">
        <v>4251.34</v>
      </c>
      <c r="G87">
        <v>2.2187999999999999E-2</v>
      </c>
      <c r="H87">
        <v>0</v>
      </c>
      <c r="I87">
        <v>229940.71</v>
      </c>
      <c r="J87">
        <v>103288.37</v>
      </c>
      <c r="K87">
        <v>0</v>
      </c>
      <c r="L87">
        <v>282049.05</v>
      </c>
      <c r="M87">
        <v>0</v>
      </c>
      <c r="N87">
        <v>103358.49</v>
      </c>
      <c r="O87">
        <v>20384.48</v>
      </c>
      <c r="P87">
        <v>18442.63</v>
      </c>
      <c r="Q87">
        <v>0</v>
      </c>
      <c r="R87">
        <v>0</v>
      </c>
      <c r="S87">
        <v>0</v>
      </c>
      <c r="T87">
        <v>0</v>
      </c>
      <c r="U87">
        <v>0</v>
      </c>
      <c r="V87">
        <v>172719.93</v>
      </c>
      <c r="W87">
        <v>0</v>
      </c>
      <c r="X87">
        <v>0</v>
      </c>
      <c r="Y87">
        <v>0</v>
      </c>
      <c r="Z87">
        <v>65854.75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114317.55</v>
      </c>
      <c r="AH87">
        <v>0</v>
      </c>
      <c r="AI87">
        <v>0</v>
      </c>
      <c r="AJ87">
        <v>532134823.11142498</v>
      </c>
    </row>
    <row r="88" spans="1:36" x14ac:dyDescent="0.25">
      <c r="A88" t="s">
        <v>405</v>
      </c>
      <c r="B88" t="s">
        <v>21</v>
      </c>
      <c r="D88">
        <v>23690.61</v>
      </c>
      <c r="E88">
        <v>8298.44</v>
      </c>
      <c r="G88">
        <v>0.123645</v>
      </c>
      <c r="H88">
        <v>0</v>
      </c>
      <c r="I88">
        <v>761950.22</v>
      </c>
      <c r="J88">
        <v>239542.44</v>
      </c>
      <c r="K88">
        <v>0</v>
      </c>
      <c r="L88">
        <v>831153.37</v>
      </c>
      <c r="M88">
        <v>0</v>
      </c>
      <c r="N88">
        <v>237348.33</v>
      </c>
      <c r="O88">
        <v>169230.07999999999</v>
      </c>
      <c r="P88">
        <v>170887.49</v>
      </c>
      <c r="Q88">
        <v>0</v>
      </c>
      <c r="R88">
        <v>0</v>
      </c>
      <c r="S88">
        <v>0</v>
      </c>
      <c r="T88">
        <v>0</v>
      </c>
      <c r="U88">
        <v>0</v>
      </c>
      <c r="V88">
        <v>540355.18000000005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104830.99</v>
      </c>
      <c r="AH88">
        <v>0</v>
      </c>
      <c r="AI88">
        <v>0</v>
      </c>
      <c r="AJ88">
        <v>1706927009.0513599</v>
      </c>
    </row>
    <row r="89" spans="1:36" x14ac:dyDescent="0.25">
      <c r="A89" t="s">
        <v>406</v>
      </c>
      <c r="B89" t="s">
        <v>21</v>
      </c>
      <c r="C89">
        <v>8298.44</v>
      </c>
      <c r="D89">
        <v>23690.61</v>
      </c>
      <c r="G89">
        <v>0.123645</v>
      </c>
      <c r="H89">
        <v>0</v>
      </c>
      <c r="I89">
        <v>971908.7</v>
      </c>
      <c r="J89">
        <v>239542.44</v>
      </c>
      <c r="K89">
        <v>0</v>
      </c>
      <c r="L89">
        <v>831153.37</v>
      </c>
      <c r="M89">
        <v>0</v>
      </c>
      <c r="N89">
        <v>237669.45</v>
      </c>
      <c r="O89">
        <v>195888.14</v>
      </c>
      <c r="P89">
        <v>176016.44</v>
      </c>
      <c r="Q89">
        <v>0</v>
      </c>
      <c r="R89">
        <v>0</v>
      </c>
      <c r="S89">
        <v>0</v>
      </c>
      <c r="T89">
        <v>0</v>
      </c>
      <c r="U89">
        <v>0</v>
      </c>
      <c r="V89">
        <v>537685.06999999995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104832.92</v>
      </c>
      <c r="AH89">
        <v>0</v>
      </c>
      <c r="AI89">
        <v>0</v>
      </c>
      <c r="AJ89">
        <v>1971559776.53671</v>
      </c>
    </row>
    <row r="90" spans="1:36" x14ac:dyDescent="0.25">
      <c r="A90" t="s">
        <v>407</v>
      </c>
      <c r="B90" t="s">
        <v>21</v>
      </c>
      <c r="C90">
        <v>12494.7</v>
      </c>
      <c r="D90">
        <v>35670.199999999997</v>
      </c>
      <c r="G90">
        <v>0.186168</v>
      </c>
      <c r="H90">
        <v>0</v>
      </c>
      <c r="I90">
        <v>1576758.7</v>
      </c>
      <c r="J90">
        <v>626942.71</v>
      </c>
      <c r="K90">
        <v>0</v>
      </c>
      <c r="L90">
        <v>1141299.43</v>
      </c>
      <c r="M90">
        <v>0</v>
      </c>
      <c r="N90">
        <v>450316.16</v>
      </c>
      <c r="O90">
        <v>382104.76</v>
      </c>
      <c r="P90">
        <v>335602.48</v>
      </c>
      <c r="Q90">
        <v>0</v>
      </c>
      <c r="R90">
        <v>0</v>
      </c>
      <c r="S90">
        <v>0</v>
      </c>
      <c r="T90">
        <v>0</v>
      </c>
      <c r="U90">
        <v>0</v>
      </c>
      <c r="V90">
        <v>884041.85</v>
      </c>
      <c r="W90">
        <v>0</v>
      </c>
      <c r="X90">
        <v>0</v>
      </c>
      <c r="Y90">
        <v>0</v>
      </c>
      <c r="Z90">
        <v>43737.51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249115.08</v>
      </c>
      <c r="AH90">
        <v>0</v>
      </c>
      <c r="AI90">
        <v>0</v>
      </c>
      <c r="AJ90">
        <v>2794127520.178</v>
      </c>
    </row>
    <row r="91" spans="1:36" x14ac:dyDescent="0.25">
      <c r="A91" t="s">
        <v>408</v>
      </c>
      <c r="B91" t="s">
        <v>21</v>
      </c>
      <c r="D91">
        <v>35670.199999999997</v>
      </c>
      <c r="E91">
        <v>12494.7</v>
      </c>
      <c r="G91">
        <v>0.186168</v>
      </c>
      <c r="H91">
        <v>0</v>
      </c>
      <c r="I91">
        <v>1323652.49</v>
      </c>
      <c r="J91">
        <v>626942.71</v>
      </c>
      <c r="K91">
        <v>0</v>
      </c>
      <c r="L91">
        <v>1141299.43</v>
      </c>
      <c r="M91">
        <v>0</v>
      </c>
      <c r="N91">
        <v>449128.57</v>
      </c>
      <c r="O91">
        <v>326738.43</v>
      </c>
      <c r="P91">
        <v>323197.55</v>
      </c>
      <c r="Q91">
        <v>0</v>
      </c>
      <c r="R91">
        <v>0</v>
      </c>
      <c r="S91">
        <v>0</v>
      </c>
      <c r="T91">
        <v>0</v>
      </c>
      <c r="U91">
        <v>0</v>
      </c>
      <c r="V91">
        <v>886898.87</v>
      </c>
      <c r="W91">
        <v>0</v>
      </c>
      <c r="X91">
        <v>0</v>
      </c>
      <c r="Y91">
        <v>0</v>
      </c>
      <c r="Z91">
        <v>43737.51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249122.35</v>
      </c>
      <c r="AH91">
        <v>0</v>
      </c>
      <c r="AI91">
        <v>0</v>
      </c>
      <c r="AJ91">
        <v>2785676708.1263399</v>
      </c>
    </row>
    <row r="92" spans="1:36" x14ac:dyDescent="0.25">
      <c r="A92" t="s">
        <v>409</v>
      </c>
      <c r="B92" t="s">
        <v>21</v>
      </c>
      <c r="D92">
        <v>4458.91</v>
      </c>
      <c r="E92">
        <v>1561.89</v>
      </c>
      <c r="G92">
        <v>2.3272000000000001E-2</v>
      </c>
      <c r="H92">
        <v>0</v>
      </c>
      <c r="I92">
        <v>227402.02</v>
      </c>
      <c r="J92">
        <v>94437.9</v>
      </c>
      <c r="K92">
        <v>0</v>
      </c>
      <c r="L92">
        <v>258328.15</v>
      </c>
      <c r="M92">
        <v>0</v>
      </c>
      <c r="N92">
        <v>267820.90000000002</v>
      </c>
      <c r="O92">
        <v>18324.16</v>
      </c>
      <c r="P92">
        <v>19963.919999999998</v>
      </c>
      <c r="Q92">
        <v>0</v>
      </c>
      <c r="R92">
        <v>0</v>
      </c>
      <c r="S92">
        <v>0</v>
      </c>
      <c r="T92">
        <v>0</v>
      </c>
      <c r="U92">
        <v>0</v>
      </c>
      <c r="V92">
        <v>148964.93</v>
      </c>
      <c r="W92">
        <v>0</v>
      </c>
      <c r="X92">
        <v>0</v>
      </c>
      <c r="Y92">
        <v>0</v>
      </c>
      <c r="Z92">
        <v>64094.3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210323.02</v>
      </c>
      <c r="AH92">
        <v>0</v>
      </c>
      <c r="AI92">
        <v>0</v>
      </c>
      <c r="AJ92">
        <v>833342956.765185</v>
      </c>
    </row>
    <row r="93" spans="1:36" x14ac:dyDescent="0.25">
      <c r="A93" t="s">
        <v>410</v>
      </c>
      <c r="B93" t="s">
        <v>21</v>
      </c>
      <c r="C93">
        <v>22240.799999999999</v>
      </c>
      <c r="D93">
        <v>63493.61</v>
      </c>
      <c r="G93">
        <v>0.33138200000000001</v>
      </c>
      <c r="H93">
        <v>0</v>
      </c>
      <c r="I93">
        <v>2507176.33</v>
      </c>
      <c r="J93">
        <v>643032.05000000005</v>
      </c>
      <c r="K93">
        <v>0</v>
      </c>
      <c r="L93">
        <v>3553012.2</v>
      </c>
      <c r="M93">
        <v>0</v>
      </c>
      <c r="N93">
        <v>1188141.72</v>
      </c>
      <c r="O93">
        <v>326052.93</v>
      </c>
      <c r="P93">
        <v>296699.83</v>
      </c>
      <c r="Q93">
        <v>0</v>
      </c>
      <c r="R93">
        <v>0</v>
      </c>
      <c r="S93">
        <v>0</v>
      </c>
      <c r="T93">
        <v>0</v>
      </c>
      <c r="U93">
        <v>0</v>
      </c>
      <c r="V93">
        <v>1413156.27</v>
      </c>
      <c r="W93">
        <v>0</v>
      </c>
      <c r="X93">
        <v>0</v>
      </c>
      <c r="Y93">
        <v>0</v>
      </c>
      <c r="Z93">
        <v>127428.8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667241.1</v>
      </c>
      <c r="AH93">
        <v>0</v>
      </c>
      <c r="AI93">
        <v>0</v>
      </c>
      <c r="AJ93">
        <v>6166994330.7137699</v>
      </c>
    </row>
    <row r="94" spans="1:36" x14ac:dyDescent="0.25">
      <c r="A94" t="s">
        <v>411</v>
      </c>
      <c r="B94" t="s">
        <v>21</v>
      </c>
      <c r="C94">
        <v>1561.89</v>
      </c>
      <c r="D94">
        <v>4458.91</v>
      </c>
      <c r="G94">
        <v>2.3272000000000001E-2</v>
      </c>
      <c r="H94">
        <v>0</v>
      </c>
      <c r="I94">
        <v>270111.67</v>
      </c>
      <c r="J94">
        <v>94437.9</v>
      </c>
      <c r="K94">
        <v>0</v>
      </c>
      <c r="L94">
        <v>258328.15</v>
      </c>
      <c r="M94">
        <v>0</v>
      </c>
      <c r="N94">
        <v>267793.5</v>
      </c>
      <c r="O94">
        <v>21520.77</v>
      </c>
      <c r="P94">
        <v>20091.89</v>
      </c>
      <c r="Q94">
        <v>0</v>
      </c>
      <c r="R94">
        <v>0</v>
      </c>
      <c r="S94">
        <v>0</v>
      </c>
      <c r="T94">
        <v>0</v>
      </c>
      <c r="U94">
        <v>0</v>
      </c>
      <c r="V94">
        <v>148746.04</v>
      </c>
      <c r="W94">
        <v>0</v>
      </c>
      <c r="X94">
        <v>0</v>
      </c>
      <c r="Y94">
        <v>0</v>
      </c>
      <c r="Z94">
        <v>64094.3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210322.45</v>
      </c>
      <c r="AH94">
        <v>0</v>
      </c>
      <c r="AI94">
        <v>0</v>
      </c>
      <c r="AJ94">
        <v>899061257.24421895</v>
      </c>
    </row>
    <row r="95" spans="1:36" x14ac:dyDescent="0.25">
      <c r="A95" t="s">
        <v>412</v>
      </c>
      <c r="B95" t="s">
        <v>21</v>
      </c>
      <c r="D95">
        <v>63493.61</v>
      </c>
      <c r="E95">
        <v>22240.799999999999</v>
      </c>
      <c r="G95">
        <v>0.33138200000000001</v>
      </c>
      <c r="H95">
        <v>0</v>
      </c>
      <c r="I95">
        <v>2043427.8400000001</v>
      </c>
      <c r="J95">
        <v>643032.05000000005</v>
      </c>
      <c r="K95">
        <v>0</v>
      </c>
      <c r="L95">
        <v>3553012.2</v>
      </c>
      <c r="M95">
        <v>0</v>
      </c>
      <c r="N95">
        <v>1187790.44</v>
      </c>
      <c r="O95">
        <v>284223.99</v>
      </c>
      <c r="P95">
        <v>295332.19</v>
      </c>
      <c r="Q95">
        <v>0</v>
      </c>
      <c r="R95">
        <v>0</v>
      </c>
      <c r="S95">
        <v>0</v>
      </c>
      <c r="T95">
        <v>0</v>
      </c>
      <c r="U95">
        <v>0</v>
      </c>
      <c r="V95">
        <v>1411621.41</v>
      </c>
      <c r="W95">
        <v>0</v>
      </c>
      <c r="X95">
        <v>0</v>
      </c>
      <c r="Y95">
        <v>0</v>
      </c>
      <c r="Z95">
        <v>127428.8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667214.36</v>
      </c>
      <c r="AH95">
        <v>0</v>
      </c>
      <c r="AI95">
        <v>0</v>
      </c>
      <c r="AJ95">
        <v>5833272750.81495</v>
      </c>
    </row>
    <row r="96" spans="1:36" x14ac:dyDescent="0.25">
      <c r="A96" t="s">
        <v>413</v>
      </c>
      <c r="B96" t="s">
        <v>21</v>
      </c>
      <c r="D96">
        <v>30147.360000000001</v>
      </c>
      <c r="E96">
        <v>10560.14</v>
      </c>
      <c r="G96">
        <v>0.15734300000000001</v>
      </c>
      <c r="H96">
        <v>0</v>
      </c>
      <c r="I96">
        <v>638152.21</v>
      </c>
      <c r="J96">
        <v>163686.57</v>
      </c>
      <c r="K96">
        <v>0</v>
      </c>
      <c r="L96">
        <v>936314.72</v>
      </c>
      <c r="M96">
        <v>0</v>
      </c>
      <c r="N96">
        <v>338681.7</v>
      </c>
      <c r="O96">
        <v>224682.17</v>
      </c>
      <c r="P96">
        <v>236748.48</v>
      </c>
      <c r="Q96">
        <v>0</v>
      </c>
      <c r="R96">
        <v>0</v>
      </c>
      <c r="S96">
        <v>0</v>
      </c>
      <c r="T96">
        <v>0</v>
      </c>
      <c r="U96">
        <v>0</v>
      </c>
      <c r="V96">
        <v>357612.54</v>
      </c>
      <c r="W96">
        <v>0</v>
      </c>
      <c r="X96">
        <v>0</v>
      </c>
      <c r="Y96">
        <v>0</v>
      </c>
      <c r="Z96">
        <v>68627.600000000006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437385.72</v>
      </c>
      <c r="AH96">
        <v>0</v>
      </c>
      <c r="AI96">
        <v>0</v>
      </c>
      <c r="AJ96">
        <v>1813426867.85761</v>
      </c>
    </row>
    <row r="97" spans="1:36" x14ac:dyDescent="0.25">
      <c r="A97" t="s">
        <v>414</v>
      </c>
      <c r="B97" t="s">
        <v>21</v>
      </c>
      <c r="C97">
        <v>10560.14</v>
      </c>
      <c r="D97">
        <v>30147.360000000001</v>
      </c>
      <c r="G97">
        <v>0.15734300000000001</v>
      </c>
      <c r="H97">
        <v>0</v>
      </c>
      <c r="I97">
        <v>1099508.17</v>
      </c>
      <c r="J97">
        <v>163686.57</v>
      </c>
      <c r="K97">
        <v>0</v>
      </c>
      <c r="L97">
        <v>936314.72</v>
      </c>
      <c r="M97">
        <v>0</v>
      </c>
      <c r="N97">
        <v>338752.87</v>
      </c>
      <c r="O97">
        <v>269625.33</v>
      </c>
      <c r="P97">
        <v>245650.76</v>
      </c>
      <c r="Q97">
        <v>0</v>
      </c>
      <c r="R97">
        <v>0</v>
      </c>
      <c r="S97">
        <v>0</v>
      </c>
      <c r="T97">
        <v>0</v>
      </c>
      <c r="U97">
        <v>0</v>
      </c>
      <c r="V97">
        <v>357352.27</v>
      </c>
      <c r="W97">
        <v>0</v>
      </c>
      <c r="X97">
        <v>0</v>
      </c>
      <c r="Y97">
        <v>0</v>
      </c>
      <c r="Z97">
        <v>68627.600000000006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437390.27</v>
      </c>
      <c r="AH97">
        <v>0</v>
      </c>
      <c r="AI97">
        <v>0</v>
      </c>
      <c r="AJ97">
        <v>2138177278.6008</v>
      </c>
    </row>
    <row r="98" spans="1:36" x14ac:dyDescent="0.25">
      <c r="A98" t="s">
        <v>415</v>
      </c>
      <c r="B98" t="s">
        <v>20</v>
      </c>
      <c r="C98">
        <v>8897.51</v>
      </c>
      <c r="D98">
        <v>25400.85</v>
      </c>
      <c r="G98">
        <v>0.13257099999999999</v>
      </c>
      <c r="H98">
        <v>0</v>
      </c>
      <c r="I98">
        <v>1018690.31</v>
      </c>
      <c r="J98">
        <v>394508.4</v>
      </c>
      <c r="K98">
        <v>0</v>
      </c>
      <c r="L98">
        <v>436518</v>
      </c>
      <c r="M98">
        <v>0</v>
      </c>
      <c r="N98">
        <v>283971.84999999998</v>
      </c>
      <c r="O98">
        <v>156884.07999999999</v>
      </c>
      <c r="P98">
        <v>141531.25</v>
      </c>
      <c r="Q98">
        <v>0</v>
      </c>
      <c r="R98">
        <v>0</v>
      </c>
      <c r="S98">
        <v>0</v>
      </c>
      <c r="T98">
        <v>0</v>
      </c>
      <c r="U98">
        <v>0</v>
      </c>
      <c r="V98">
        <v>734798.35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156629.82</v>
      </c>
      <c r="AH98">
        <v>0</v>
      </c>
      <c r="AI98">
        <v>0</v>
      </c>
      <c r="AJ98">
        <v>2404487709.1708698</v>
      </c>
    </row>
    <row r="99" spans="1:36" x14ac:dyDescent="0.25">
      <c r="A99" t="s">
        <v>416</v>
      </c>
      <c r="B99" t="s">
        <v>20</v>
      </c>
      <c r="D99">
        <v>1487.55</v>
      </c>
      <c r="E99">
        <v>521.05999999999995</v>
      </c>
      <c r="G99">
        <v>7.7640000000000001E-3</v>
      </c>
      <c r="H99">
        <v>0</v>
      </c>
      <c r="I99">
        <v>27839.65</v>
      </c>
      <c r="J99">
        <v>12134.67</v>
      </c>
      <c r="K99">
        <v>0</v>
      </c>
      <c r="L99">
        <v>29466.65</v>
      </c>
      <c r="M99">
        <v>0</v>
      </c>
      <c r="N99">
        <v>61779.839999999997</v>
      </c>
      <c r="O99">
        <v>5754.62</v>
      </c>
      <c r="P99">
        <v>6220.24</v>
      </c>
      <c r="Q99">
        <v>0</v>
      </c>
      <c r="R99">
        <v>0</v>
      </c>
      <c r="S99">
        <v>0</v>
      </c>
      <c r="T99">
        <v>0</v>
      </c>
      <c r="U99">
        <v>0</v>
      </c>
      <c r="V99">
        <v>1384.63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4217.2700000000004</v>
      </c>
      <c r="AH99">
        <v>0</v>
      </c>
      <c r="AI99">
        <v>0</v>
      </c>
      <c r="AJ99">
        <v>92902082.222069293</v>
      </c>
    </row>
    <row r="100" spans="1:36" x14ac:dyDescent="0.25">
      <c r="A100" t="s">
        <v>417</v>
      </c>
      <c r="B100" t="s">
        <v>20</v>
      </c>
      <c r="C100">
        <v>521.05999999999995</v>
      </c>
      <c r="D100">
        <v>1487.55</v>
      </c>
      <c r="G100">
        <v>7.7640000000000001E-3</v>
      </c>
      <c r="H100">
        <v>0</v>
      </c>
      <c r="I100">
        <v>44969.8</v>
      </c>
      <c r="J100">
        <v>12134.67</v>
      </c>
      <c r="K100">
        <v>0</v>
      </c>
      <c r="L100">
        <v>29466.65</v>
      </c>
      <c r="M100">
        <v>0</v>
      </c>
      <c r="N100">
        <v>61779.839999999997</v>
      </c>
      <c r="O100">
        <v>8029.51</v>
      </c>
      <c r="P100">
        <v>6813.95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1384.64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4217.2700000000004</v>
      </c>
      <c r="AH100">
        <v>0</v>
      </c>
      <c r="AI100">
        <v>0</v>
      </c>
      <c r="AJ100">
        <v>121240601.070049</v>
      </c>
    </row>
    <row r="101" spans="1:36" x14ac:dyDescent="0.25">
      <c r="A101" t="s">
        <v>418</v>
      </c>
      <c r="B101" t="s">
        <v>20</v>
      </c>
      <c r="D101">
        <v>25400.85</v>
      </c>
      <c r="E101">
        <v>8897.51</v>
      </c>
      <c r="G101">
        <v>0.13257099999999999</v>
      </c>
      <c r="H101">
        <v>0</v>
      </c>
      <c r="I101">
        <v>839547.59</v>
      </c>
      <c r="J101">
        <v>394508.4</v>
      </c>
      <c r="K101">
        <v>0</v>
      </c>
      <c r="L101">
        <v>436518</v>
      </c>
      <c r="M101">
        <v>0</v>
      </c>
      <c r="N101">
        <v>283941.03000000003</v>
      </c>
      <c r="O101">
        <v>136955.97</v>
      </c>
      <c r="P101">
        <v>138666.37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733476.87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156631.41</v>
      </c>
      <c r="AH101">
        <v>0</v>
      </c>
      <c r="AI101">
        <v>0</v>
      </c>
      <c r="AJ101">
        <v>2278355241.9052</v>
      </c>
    </row>
    <row r="102" spans="1:36" x14ac:dyDescent="0.25">
      <c r="A102" t="s">
        <v>419</v>
      </c>
      <c r="B102" t="s">
        <v>20</v>
      </c>
      <c r="D102">
        <v>23819.1</v>
      </c>
      <c r="E102">
        <v>8343.4500000000007</v>
      </c>
      <c r="G102">
        <v>0.12431499999999999</v>
      </c>
      <c r="H102">
        <v>0</v>
      </c>
      <c r="I102">
        <v>862705.61</v>
      </c>
      <c r="J102">
        <v>239542.44</v>
      </c>
      <c r="K102">
        <v>0</v>
      </c>
      <c r="L102">
        <v>831153.37</v>
      </c>
      <c r="M102">
        <v>0</v>
      </c>
      <c r="N102">
        <v>252016.45</v>
      </c>
      <c r="O102">
        <v>192084.05</v>
      </c>
      <c r="P102">
        <v>199332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426267.66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102498.03</v>
      </c>
      <c r="AH102">
        <v>0</v>
      </c>
      <c r="AI102">
        <v>0</v>
      </c>
      <c r="AJ102">
        <v>1593711570.53564</v>
      </c>
    </row>
    <row r="103" spans="1:36" x14ac:dyDescent="0.25">
      <c r="A103" t="s">
        <v>420</v>
      </c>
      <c r="B103" t="s">
        <v>20</v>
      </c>
      <c r="C103">
        <v>8343.4500000000007</v>
      </c>
      <c r="D103">
        <v>23819.1</v>
      </c>
      <c r="G103">
        <v>0.12431499999999999</v>
      </c>
      <c r="H103">
        <v>0</v>
      </c>
      <c r="I103">
        <v>1097823.1200000001</v>
      </c>
      <c r="J103">
        <v>239542.44</v>
      </c>
      <c r="K103">
        <v>0</v>
      </c>
      <c r="L103">
        <v>831153.37</v>
      </c>
      <c r="M103">
        <v>0</v>
      </c>
      <c r="N103">
        <v>252230.25</v>
      </c>
      <c r="O103">
        <v>222508.03</v>
      </c>
      <c r="P103">
        <v>203173.6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421774.09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102504.31</v>
      </c>
      <c r="AH103">
        <v>0</v>
      </c>
      <c r="AI103">
        <v>0</v>
      </c>
      <c r="AJ103">
        <v>1982707080.3147299</v>
      </c>
    </row>
    <row r="104" spans="1:36" x14ac:dyDescent="0.25">
      <c r="A104" t="s">
        <v>421</v>
      </c>
      <c r="B104" t="s">
        <v>20</v>
      </c>
      <c r="D104">
        <v>4316.04</v>
      </c>
      <c r="E104">
        <v>1511.84</v>
      </c>
      <c r="G104">
        <v>2.2526000000000001E-2</v>
      </c>
      <c r="H104">
        <v>0</v>
      </c>
      <c r="I104">
        <v>207203.63</v>
      </c>
      <c r="J104">
        <v>103288.37</v>
      </c>
      <c r="K104">
        <v>0</v>
      </c>
      <c r="L104">
        <v>282049.05</v>
      </c>
      <c r="M104">
        <v>0</v>
      </c>
      <c r="N104">
        <v>102231.33</v>
      </c>
      <c r="O104">
        <v>21196.61</v>
      </c>
      <c r="P104">
        <v>22051.39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111572.96</v>
      </c>
      <c r="W104">
        <v>0</v>
      </c>
      <c r="X104">
        <v>0</v>
      </c>
      <c r="Y104">
        <v>0</v>
      </c>
      <c r="Z104">
        <v>65854.75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111781.73</v>
      </c>
      <c r="AH104">
        <v>0</v>
      </c>
      <c r="AI104">
        <v>0</v>
      </c>
      <c r="AJ104">
        <v>469948883.46108502</v>
      </c>
    </row>
    <row r="105" spans="1:36" x14ac:dyDescent="0.25">
      <c r="A105" t="s">
        <v>422</v>
      </c>
      <c r="B105" t="s">
        <v>20</v>
      </c>
      <c r="C105">
        <v>1511.84</v>
      </c>
      <c r="D105">
        <v>4316.04</v>
      </c>
      <c r="G105">
        <v>2.2526000000000001E-2</v>
      </c>
      <c r="H105">
        <v>0</v>
      </c>
      <c r="I105">
        <v>247977.31</v>
      </c>
      <c r="J105">
        <v>103288.37</v>
      </c>
      <c r="K105">
        <v>0</v>
      </c>
      <c r="L105">
        <v>282049.05</v>
      </c>
      <c r="M105">
        <v>0</v>
      </c>
      <c r="N105">
        <v>102238.1</v>
      </c>
      <c r="O105">
        <v>23870.65</v>
      </c>
      <c r="P105">
        <v>22092.57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111491.4</v>
      </c>
      <c r="W105">
        <v>0</v>
      </c>
      <c r="X105">
        <v>0</v>
      </c>
      <c r="Y105">
        <v>0</v>
      </c>
      <c r="Z105">
        <v>65854.75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111777.7</v>
      </c>
      <c r="AH105">
        <v>0</v>
      </c>
      <c r="AI105">
        <v>0</v>
      </c>
      <c r="AJ105">
        <v>499867423.08571202</v>
      </c>
    </row>
    <row r="106" spans="1:36" x14ac:dyDescent="0.25">
      <c r="A106" t="s">
        <v>423</v>
      </c>
      <c r="B106" t="s">
        <v>20</v>
      </c>
      <c r="D106">
        <v>41023.43</v>
      </c>
      <c r="E106">
        <v>14369.85</v>
      </c>
      <c r="G106">
        <v>0.21410699999999999</v>
      </c>
      <c r="H106">
        <v>0</v>
      </c>
      <c r="I106">
        <v>1609477.57</v>
      </c>
      <c r="J106">
        <v>626942.71</v>
      </c>
      <c r="K106">
        <v>0</v>
      </c>
      <c r="L106">
        <v>1141299.43</v>
      </c>
      <c r="M106">
        <v>0</v>
      </c>
      <c r="N106">
        <v>520747.42</v>
      </c>
      <c r="O106">
        <v>375416.78</v>
      </c>
      <c r="P106">
        <v>379587.47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1290210.83</v>
      </c>
      <c r="W106">
        <v>0</v>
      </c>
      <c r="X106">
        <v>0</v>
      </c>
      <c r="Y106">
        <v>0</v>
      </c>
      <c r="Z106">
        <v>43737.51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243569.08</v>
      </c>
      <c r="AH106">
        <v>0</v>
      </c>
      <c r="AI106">
        <v>0</v>
      </c>
      <c r="AJ106">
        <v>3104764587.19484</v>
      </c>
    </row>
    <row r="107" spans="1:36" x14ac:dyDescent="0.25">
      <c r="A107" t="s">
        <v>424</v>
      </c>
      <c r="B107" t="s">
        <v>20</v>
      </c>
      <c r="C107">
        <v>14369.85</v>
      </c>
      <c r="D107">
        <v>41023.43</v>
      </c>
      <c r="G107">
        <v>0.21410699999999999</v>
      </c>
      <c r="H107">
        <v>0</v>
      </c>
      <c r="I107">
        <v>1971755.74</v>
      </c>
      <c r="J107">
        <v>626942.71</v>
      </c>
      <c r="K107">
        <v>0</v>
      </c>
      <c r="L107">
        <v>1141299.43</v>
      </c>
      <c r="M107">
        <v>0</v>
      </c>
      <c r="N107">
        <v>521510.87</v>
      </c>
      <c r="O107">
        <v>436433.21</v>
      </c>
      <c r="P107">
        <v>391617.49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1286353.17</v>
      </c>
      <c r="W107">
        <v>0</v>
      </c>
      <c r="X107">
        <v>0</v>
      </c>
      <c r="Y107">
        <v>0</v>
      </c>
      <c r="Z107">
        <v>43737.51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243572.76</v>
      </c>
      <c r="AH107">
        <v>0</v>
      </c>
      <c r="AI107">
        <v>0</v>
      </c>
      <c r="AJ107">
        <v>3301088319.0358801</v>
      </c>
    </row>
    <row r="108" spans="1:36" x14ac:dyDescent="0.25">
      <c r="A108" t="s">
        <v>425</v>
      </c>
      <c r="B108" t="s">
        <v>20</v>
      </c>
      <c r="C108">
        <v>1810.74</v>
      </c>
      <c r="D108">
        <v>5169.3500000000004</v>
      </c>
      <c r="G108">
        <v>2.6980000000000001E-2</v>
      </c>
      <c r="H108">
        <v>0</v>
      </c>
      <c r="I108">
        <v>330729.69</v>
      </c>
      <c r="J108">
        <v>94437.9</v>
      </c>
      <c r="K108">
        <v>0</v>
      </c>
      <c r="L108">
        <v>258328.15</v>
      </c>
      <c r="M108">
        <v>0</v>
      </c>
      <c r="N108">
        <v>329151.2</v>
      </c>
      <c r="O108">
        <v>29902.36</v>
      </c>
      <c r="P108">
        <v>27899.26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104448.53</v>
      </c>
      <c r="W108">
        <v>0</v>
      </c>
      <c r="X108">
        <v>0</v>
      </c>
      <c r="Y108">
        <v>0</v>
      </c>
      <c r="Z108">
        <v>64094.3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205698.57</v>
      </c>
      <c r="AH108">
        <v>0</v>
      </c>
      <c r="AI108">
        <v>0</v>
      </c>
      <c r="AJ108">
        <v>933477803.14044905</v>
      </c>
    </row>
    <row r="109" spans="1:36" x14ac:dyDescent="0.25">
      <c r="A109" t="s">
        <v>426</v>
      </c>
      <c r="B109" t="s">
        <v>20</v>
      </c>
      <c r="D109">
        <v>64710.34</v>
      </c>
      <c r="E109">
        <v>22667</v>
      </c>
      <c r="G109">
        <v>0.33773199999999998</v>
      </c>
      <c r="H109">
        <v>0</v>
      </c>
      <c r="I109">
        <v>2251070.14</v>
      </c>
      <c r="J109">
        <v>643032.05000000005</v>
      </c>
      <c r="K109">
        <v>0</v>
      </c>
      <c r="L109">
        <v>3553012.2</v>
      </c>
      <c r="M109">
        <v>0</v>
      </c>
      <c r="N109">
        <v>1173847.3</v>
      </c>
      <c r="O109">
        <v>336925.93</v>
      </c>
      <c r="P109">
        <v>354126.86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1038924.31</v>
      </c>
      <c r="W109">
        <v>0</v>
      </c>
      <c r="X109">
        <v>0</v>
      </c>
      <c r="Y109">
        <v>0</v>
      </c>
      <c r="Z109">
        <v>127428.8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652793.87</v>
      </c>
      <c r="AH109">
        <v>0</v>
      </c>
      <c r="AI109">
        <v>0</v>
      </c>
      <c r="AJ109">
        <v>5706486164.3740396</v>
      </c>
    </row>
    <row r="110" spans="1:36" x14ac:dyDescent="0.25">
      <c r="A110" t="s">
        <v>427</v>
      </c>
      <c r="B110" t="s">
        <v>20</v>
      </c>
      <c r="C110">
        <v>22667</v>
      </c>
      <c r="D110">
        <v>64710.34</v>
      </c>
      <c r="G110">
        <v>0.33773199999999998</v>
      </c>
      <c r="H110">
        <v>0</v>
      </c>
      <c r="I110">
        <v>2799205.11</v>
      </c>
      <c r="J110">
        <v>643032.05000000005</v>
      </c>
      <c r="K110">
        <v>0</v>
      </c>
      <c r="L110">
        <v>3553012.2</v>
      </c>
      <c r="M110">
        <v>0</v>
      </c>
      <c r="N110">
        <v>1173970.83</v>
      </c>
      <c r="O110">
        <v>386166.52</v>
      </c>
      <c r="P110">
        <v>356369.11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1038148.45</v>
      </c>
      <c r="W110">
        <v>0</v>
      </c>
      <c r="X110">
        <v>0</v>
      </c>
      <c r="Y110">
        <v>0</v>
      </c>
      <c r="Z110">
        <v>127428.8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652983.9</v>
      </c>
      <c r="AH110">
        <v>0</v>
      </c>
      <c r="AI110">
        <v>0</v>
      </c>
      <c r="AJ110">
        <v>6135672770.7493</v>
      </c>
    </row>
    <row r="111" spans="1:36" x14ac:dyDescent="0.25">
      <c r="A111" t="s">
        <v>428</v>
      </c>
      <c r="B111" t="s">
        <v>20</v>
      </c>
      <c r="D111">
        <v>32973.47</v>
      </c>
      <c r="E111">
        <v>11550.08</v>
      </c>
      <c r="G111">
        <v>0.172093</v>
      </c>
      <c r="H111">
        <v>0</v>
      </c>
      <c r="I111">
        <v>825249.46</v>
      </c>
      <c r="J111">
        <v>163686.57</v>
      </c>
      <c r="K111">
        <v>0</v>
      </c>
      <c r="L111">
        <v>936314.72</v>
      </c>
      <c r="M111">
        <v>0</v>
      </c>
      <c r="N111">
        <v>332393.14</v>
      </c>
      <c r="O111">
        <v>247057.39</v>
      </c>
      <c r="P111">
        <v>265155.62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317324.84999999998</v>
      </c>
      <c r="W111">
        <v>0</v>
      </c>
      <c r="X111">
        <v>0</v>
      </c>
      <c r="Y111">
        <v>0</v>
      </c>
      <c r="Z111">
        <v>68627.600000000006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428562.16</v>
      </c>
      <c r="AH111">
        <v>0</v>
      </c>
      <c r="AI111">
        <v>0</v>
      </c>
      <c r="AJ111">
        <v>1974470464.4205401</v>
      </c>
    </row>
    <row r="112" spans="1:36" x14ac:dyDescent="0.25">
      <c r="A112" t="s">
        <v>429</v>
      </c>
      <c r="B112" t="s">
        <v>20</v>
      </c>
      <c r="D112">
        <v>5169.3500000000004</v>
      </c>
      <c r="E112">
        <v>1810.74</v>
      </c>
      <c r="G112">
        <v>2.6980000000000001E-2</v>
      </c>
      <c r="H112">
        <v>0</v>
      </c>
      <c r="I112">
        <v>279803.74</v>
      </c>
      <c r="J112">
        <v>94437.9</v>
      </c>
      <c r="K112">
        <v>0</v>
      </c>
      <c r="L112">
        <v>258328.15</v>
      </c>
      <c r="M112">
        <v>0</v>
      </c>
      <c r="N112">
        <v>329054.05</v>
      </c>
      <c r="O112">
        <v>25881.98</v>
      </c>
      <c r="P112">
        <v>27704.31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104499.78</v>
      </c>
      <c r="W112">
        <v>0</v>
      </c>
      <c r="X112">
        <v>0</v>
      </c>
      <c r="Y112">
        <v>0</v>
      </c>
      <c r="Z112">
        <v>64094.3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205703.28</v>
      </c>
      <c r="AH112">
        <v>0</v>
      </c>
      <c r="AI112">
        <v>0</v>
      </c>
      <c r="AJ112">
        <v>845361374.45163</v>
      </c>
    </row>
    <row r="113" spans="1:36" x14ac:dyDescent="0.25">
      <c r="A113" t="s">
        <v>430</v>
      </c>
      <c r="B113" t="s">
        <v>20</v>
      </c>
      <c r="C113">
        <v>11550.08</v>
      </c>
      <c r="D113">
        <v>32973.47</v>
      </c>
      <c r="G113">
        <v>0.172093</v>
      </c>
      <c r="H113">
        <v>0</v>
      </c>
      <c r="I113">
        <v>1308131.8700000001</v>
      </c>
      <c r="J113">
        <v>163686.57</v>
      </c>
      <c r="K113">
        <v>0</v>
      </c>
      <c r="L113">
        <v>936314.72</v>
      </c>
      <c r="M113">
        <v>0</v>
      </c>
      <c r="N113">
        <v>332607.31</v>
      </c>
      <c r="O113">
        <v>291386.21999999997</v>
      </c>
      <c r="P113">
        <v>270787.08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318255.62</v>
      </c>
      <c r="W113">
        <v>0</v>
      </c>
      <c r="X113">
        <v>0</v>
      </c>
      <c r="Y113">
        <v>0</v>
      </c>
      <c r="Z113">
        <v>68627.600000000006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428588.19</v>
      </c>
      <c r="AH113">
        <v>0</v>
      </c>
      <c r="AI113">
        <v>0</v>
      </c>
      <c r="AJ113">
        <v>2448533385.6642299</v>
      </c>
    </row>
    <row r="114" spans="1:36" x14ac:dyDescent="0.25">
      <c r="A114" t="s">
        <v>431</v>
      </c>
      <c r="B114" t="s">
        <v>19</v>
      </c>
      <c r="D114">
        <v>24939.87</v>
      </c>
      <c r="E114">
        <v>8736.0400000000009</v>
      </c>
      <c r="G114">
        <v>0.130165</v>
      </c>
      <c r="H114">
        <v>0</v>
      </c>
      <c r="I114">
        <v>837291.43</v>
      </c>
      <c r="J114">
        <v>394508.4</v>
      </c>
      <c r="K114">
        <v>0</v>
      </c>
      <c r="L114">
        <v>436518</v>
      </c>
      <c r="M114">
        <v>0</v>
      </c>
      <c r="N114">
        <v>239220.68</v>
      </c>
      <c r="O114">
        <v>140574.34</v>
      </c>
      <c r="P114">
        <v>146933.65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554575.30000000005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157900.81</v>
      </c>
      <c r="AH114">
        <v>0</v>
      </c>
      <c r="AI114">
        <v>0</v>
      </c>
      <c r="AJ114">
        <v>1659604541.8837099</v>
      </c>
    </row>
    <row r="115" spans="1:36" x14ac:dyDescent="0.25">
      <c r="A115" t="s">
        <v>432</v>
      </c>
      <c r="B115" t="s">
        <v>19</v>
      </c>
      <c r="C115">
        <v>8736.0400000000009</v>
      </c>
      <c r="D115">
        <v>24939.87</v>
      </c>
      <c r="G115">
        <v>0.130165</v>
      </c>
      <c r="H115">
        <v>0</v>
      </c>
      <c r="I115">
        <v>988549.22</v>
      </c>
      <c r="J115">
        <v>394508.4</v>
      </c>
      <c r="K115">
        <v>0</v>
      </c>
      <c r="L115">
        <v>436518</v>
      </c>
      <c r="M115">
        <v>0</v>
      </c>
      <c r="N115">
        <v>239095.53</v>
      </c>
      <c r="O115">
        <v>161425.47</v>
      </c>
      <c r="P115">
        <v>149575.43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556021.02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157894.62</v>
      </c>
      <c r="AH115">
        <v>0</v>
      </c>
      <c r="AI115">
        <v>0</v>
      </c>
      <c r="AJ115">
        <v>1897744963.52616</v>
      </c>
    </row>
    <row r="116" spans="1:36" x14ac:dyDescent="0.25">
      <c r="A116" t="s">
        <v>433</v>
      </c>
      <c r="B116" t="s">
        <v>19</v>
      </c>
      <c r="D116">
        <v>1340.64</v>
      </c>
      <c r="E116">
        <v>469.61</v>
      </c>
      <c r="G116">
        <v>6.9969999999999997E-3</v>
      </c>
      <c r="H116">
        <v>0</v>
      </c>
      <c r="I116">
        <v>20773.27</v>
      </c>
      <c r="J116">
        <v>12134.67</v>
      </c>
      <c r="K116">
        <v>0</v>
      </c>
      <c r="L116">
        <v>29466.65</v>
      </c>
      <c r="M116">
        <v>0</v>
      </c>
      <c r="N116">
        <v>56591.06</v>
      </c>
      <c r="O116">
        <v>4557.96</v>
      </c>
      <c r="P116">
        <v>5007.28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293.44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4247.3</v>
      </c>
      <c r="AH116">
        <v>0</v>
      </c>
      <c r="AI116">
        <v>0</v>
      </c>
      <c r="AJ116">
        <v>57037013.939207397</v>
      </c>
    </row>
    <row r="117" spans="1:36" x14ac:dyDescent="0.25">
      <c r="A117" t="s">
        <v>434</v>
      </c>
      <c r="B117" t="s">
        <v>19</v>
      </c>
      <c r="C117">
        <v>469.61</v>
      </c>
      <c r="D117">
        <v>1340.64</v>
      </c>
      <c r="G117">
        <v>6.9969999999999997E-3</v>
      </c>
      <c r="H117">
        <v>0</v>
      </c>
      <c r="I117">
        <v>33893.39</v>
      </c>
      <c r="J117">
        <v>12134.67</v>
      </c>
      <c r="K117">
        <v>0</v>
      </c>
      <c r="L117">
        <v>29466.65</v>
      </c>
      <c r="M117">
        <v>0</v>
      </c>
      <c r="N117">
        <v>56591.06</v>
      </c>
      <c r="O117">
        <v>7002.89</v>
      </c>
      <c r="P117">
        <v>6047.53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293.43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4247.3</v>
      </c>
      <c r="AH117">
        <v>0</v>
      </c>
      <c r="AI117">
        <v>0</v>
      </c>
      <c r="AJ117">
        <v>72374617.1878874</v>
      </c>
    </row>
    <row r="118" spans="1:36" x14ac:dyDescent="0.25">
      <c r="A118" t="s">
        <v>435</v>
      </c>
      <c r="B118" t="s">
        <v>19</v>
      </c>
      <c r="D118">
        <v>21424.240000000002</v>
      </c>
      <c r="E118">
        <v>7504.57</v>
      </c>
      <c r="G118">
        <v>0.111816</v>
      </c>
      <c r="H118">
        <v>0</v>
      </c>
      <c r="I118">
        <v>847459.92</v>
      </c>
      <c r="J118">
        <v>239542.44</v>
      </c>
      <c r="K118">
        <v>0</v>
      </c>
      <c r="L118">
        <v>831153.37</v>
      </c>
      <c r="M118">
        <v>0</v>
      </c>
      <c r="N118">
        <v>243436.27</v>
      </c>
      <c r="O118">
        <v>186951.83</v>
      </c>
      <c r="P118">
        <v>199239.33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298745.69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103343.44</v>
      </c>
      <c r="AH118">
        <v>0</v>
      </c>
      <c r="AI118">
        <v>0</v>
      </c>
      <c r="AJ118">
        <v>1064059650.60614</v>
      </c>
    </row>
    <row r="119" spans="1:36" x14ac:dyDescent="0.25">
      <c r="A119" t="s">
        <v>436</v>
      </c>
      <c r="B119" t="s">
        <v>19</v>
      </c>
      <c r="C119">
        <v>7504.57</v>
      </c>
      <c r="D119">
        <v>21424.240000000002</v>
      </c>
      <c r="G119">
        <v>0.111816</v>
      </c>
      <c r="H119">
        <v>0</v>
      </c>
      <c r="I119">
        <v>1023789.26</v>
      </c>
      <c r="J119">
        <v>239542.44</v>
      </c>
      <c r="K119">
        <v>0</v>
      </c>
      <c r="L119">
        <v>831153.37</v>
      </c>
      <c r="M119">
        <v>0</v>
      </c>
      <c r="N119">
        <v>243508.33</v>
      </c>
      <c r="O119">
        <v>217026.52</v>
      </c>
      <c r="P119">
        <v>203602.75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295427.44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103344.63</v>
      </c>
      <c r="AH119">
        <v>0</v>
      </c>
      <c r="AI119">
        <v>0</v>
      </c>
      <c r="AJ119">
        <v>1334160494.39009</v>
      </c>
    </row>
    <row r="120" spans="1:36" x14ac:dyDescent="0.25">
      <c r="A120" t="s">
        <v>437</v>
      </c>
      <c r="B120" t="s">
        <v>19</v>
      </c>
      <c r="D120">
        <v>3836.13</v>
      </c>
      <c r="E120">
        <v>1343.73</v>
      </c>
      <c r="G120">
        <v>2.0021000000000001E-2</v>
      </c>
      <c r="H120">
        <v>0</v>
      </c>
      <c r="I120">
        <v>199048.33</v>
      </c>
      <c r="J120">
        <v>103288.37</v>
      </c>
      <c r="K120">
        <v>0</v>
      </c>
      <c r="L120">
        <v>282049.05</v>
      </c>
      <c r="M120">
        <v>0</v>
      </c>
      <c r="N120">
        <v>89626.26</v>
      </c>
      <c r="O120">
        <v>20899.73</v>
      </c>
      <c r="P120">
        <v>21573.5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68976.800000000003</v>
      </c>
      <c r="W120">
        <v>0</v>
      </c>
      <c r="X120">
        <v>0</v>
      </c>
      <c r="Y120">
        <v>0</v>
      </c>
      <c r="Z120">
        <v>65854.75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112700.01</v>
      </c>
      <c r="AH120">
        <v>0</v>
      </c>
      <c r="AI120">
        <v>0</v>
      </c>
      <c r="AJ120">
        <v>260692793.84207901</v>
      </c>
    </row>
    <row r="121" spans="1:36" x14ac:dyDescent="0.25">
      <c r="A121" t="s">
        <v>438</v>
      </c>
      <c r="B121" t="s">
        <v>19</v>
      </c>
      <c r="C121">
        <v>1343.73</v>
      </c>
      <c r="D121">
        <v>3836.13</v>
      </c>
      <c r="G121">
        <v>2.0021000000000001E-2</v>
      </c>
      <c r="H121">
        <v>0</v>
      </c>
      <c r="I121">
        <v>216247.25</v>
      </c>
      <c r="J121">
        <v>103288.37</v>
      </c>
      <c r="K121">
        <v>0</v>
      </c>
      <c r="L121">
        <v>282049.05</v>
      </c>
      <c r="M121">
        <v>0</v>
      </c>
      <c r="N121">
        <v>89624.97</v>
      </c>
      <c r="O121">
        <v>23061.07</v>
      </c>
      <c r="P121">
        <v>21587.759999999998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68959.289999999994</v>
      </c>
      <c r="W121">
        <v>0</v>
      </c>
      <c r="X121">
        <v>0</v>
      </c>
      <c r="Y121">
        <v>0</v>
      </c>
      <c r="Z121">
        <v>65854.75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112702.09</v>
      </c>
      <c r="AH121">
        <v>0</v>
      </c>
      <c r="AI121">
        <v>0</v>
      </c>
      <c r="AJ121">
        <v>295971892.69981599</v>
      </c>
    </row>
    <row r="122" spans="1:36" x14ac:dyDescent="0.25">
      <c r="A122" t="s">
        <v>439</v>
      </c>
      <c r="B122" t="s">
        <v>19</v>
      </c>
      <c r="C122">
        <v>13604.45</v>
      </c>
      <c r="D122">
        <v>38838.339999999997</v>
      </c>
      <c r="G122">
        <v>0.20270299999999999</v>
      </c>
      <c r="H122">
        <v>0</v>
      </c>
      <c r="I122">
        <v>1852783.05</v>
      </c>
      <c r="J122">
        <v>626942.71</v>
      </c>
      <c r="K122">
        <v>0</v>
      </c>
      <c r="L122">
        <v>1141299.43</v>
      </c>
      <c r="M122">
        <v>0</v>
      </c>
      <c r="N122">
        <v>458076.56</v>
      </c>
      <c r="O122">
        <v>416361.27</v>
      </c>
      <c r="P122">
        <v>388109.13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936450.21</v>
      </c>
      <c r="W122">
        <v>0</v>
      </c>
      <c r="X122">
        <v>0</v>
      </c>
      <c r="Y122">
        <v>0</v>
      </c>
      <c r="Z122">
        <v>43737.51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245610.2</v>
      </c>
      <c r="AH122">
        <v>0</v>
      </c>
      <c r="AI122">
        <v>0</v>
      </c>
      <c r="AJ122">
        <v>2420741575.40452</v>
      </c>
    </row>
    <row r="123" spans="1:36" x14ac:dyDescent="0.25">
      <c r="A123" t="s">
        <v>440</v>
      </c>
      <c r="B123" t="s">
        <v>19</v>
      </c>
      <c r="D123">
        <v>38838.339999999997</v>
      </c>
      <c r="E123">
        <v>13604.45</v>
      </c>
      <c r="G123">
        <v>0.20270299999999999</v>
      </c>
      <c r="H123">
        <v>0</v>
      </c>
      <c r="I123">
        <v>1599119.21</v>
      </c>
      <c r="J123">
        <v>626942.71</v>
      </c>
      <c r="K123">
        <v>0</v>
      </c>
      <c r="L123">
        <v>1141299.43</v>
      </c>
      <c r="M123">
        <v>0</v>
      </c>
      <c r="N123">
        <v>457907.92</v>
      </c>
      <c r="O123">
        <v>360838.13</v>
      </c>
      <c r="P123">
        <v>381872.77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945496.96</v>
      </c>
      <c r="W123">
        <v>0</v>
      </c>
      <c r="X123">
        <v>0</v>
      </c>
      <c r="Y123">
        <v>0</v>
      </c>
      <c r="Z123">
        <v>43737.51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245612.32</v>
      </c>
      <c r="AH123">
        <v>0</v>
      </c>
      <c r="AI123">
        <v>0</v>
      </c>
      <c r="AJ123">
        <v>2130779752.15271</v>
      </c>
    </row>
    <row r="124" spans="1:36" x14ac:dyDescent="0.25">
      <c r="A124" t="s">
        <v>441</v>
      </c>
      <c r="B124" t="s">
        <v>19</v>
      </c>
      <c r="C124">
        <v>1675.01</v>
      </c>
      <c r="D124">
        <v>4781.87</v>
      </c>
      <c r="G124">
        <v>2.4957E-2</v>
      </c>
      <c r="H124">
        <v>0</v>
      </c>
      <c r="I124">
        <v>278084.81</v>
      </c>
      <c r="J124">
        <v>94437.9</v>
      </c>
      <c r="K124">
        <v>0</v>
      </c>
      <c r="L124">
        <v>258328.15</v>
      </c>
      <c r="M124">
        <v>0</v>
      </c>
      <c r="N124">
        <v>327340.58</v>
      </c>
      <c r="O124">
        <v>29614.63</v>
      </c>
      <c r="P124">
        <v>27824.080000000002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86372.27</v>
      </c>
      <c r="W124">
        <v>0</v>
      </c>
      <c r="X124">
        <v>0</v>
      </c>
      <c r="Y124">
        <v>0</v>
      </c>
      <c r="Z124">
        <v>64094.3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207506.52</v>
      </c>
      <c r="AH124">
        <v>0</v>
      </c>
      <c r="AI124">
        <v>0</v>
      </c>
      <c r="AJ124">
        <v>626843089.78300595</v>
      </c>
    </row>
    <row r="125" spans="1:36" x14ac:dyDescent="0.25">
      <c r="A125" t="s">
        <v>442</v>
      </c>
      <c r="B125" t="s">
        <v>19</v>
      </c>
      <c r="D125">
        <v>4781.87</v>
      </c>
      <c r="E125">
        <v>1675.01</v>
      </c>
      <c r="G125">
        <v>2.4957E-2</v>
      </c>
      <c r="H125">
        <v>0</v>
      </c>
      <c r="I125">
        <v>254791.2</v>
      </c>
      <c r="J125">
        <v>94437.9</v>
      </c>
      <c r="K125">
        <v>0</v>
      </c>
      <c r="L125">
        <v>258328.15</v>
      </c>
      <c r="M125">
        <v>0</v>
      </c>
      <c r="N125">
        <v>327332.34000000003</v>
      </c>
      <c r="O125">
        <v>26214.65</v>
      </c>
      <c r="P125">
        <v>27776.49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86099.67</v>
      </c>
      <c r="W125">
        <v>0</v>
      </c>
      <c r="X125">
        <v>0</v>
      </c>
      <c r="Y125">
        <v>0</v>
      </c>
      <c r="Z125">
        <v>64094.3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207496.43</v>
      </c>
      <c r="AH125">
        <v>0</v>
      </c>
      <c r="AI125">
        <v>0</v>
      </c>
      <c r="AJ125">
        <v>569049862.00498295</v>
      </c>
    </row>
    <row r="126" spans="1:36" x14ac:dyDescent="0.25">
      <c r="A126" t="s">
        <v>443</v>
      </c>
      <c r="B126" t="s">
        <v>19</v>
      </c>
      <c r="D126">
        <v>58969.81</v>
      </c>
      <c r="E126">
        <v>20656.189999999999</v>
      </c>
      <c r="G126">
        <v>0.30777100000000002</v>
      </c>
      <c r="H126">
        <v>0</v>
      </c>
      <c r="I126">
        <v>2255503.31</v>
      </c>
      <c r="J126">
        <v>643032.05000000005</v>
      </c>
      <c r="K126">
        <v>0</v>
      </c>
      <c r="L126">
        <v>3553012.2</v>
      </c>
      <c r="M126">
        <v>0</v>
      </c>
      <c r="N126">
        <v>1074345.07</v>
      </c>
      <c r="O126">
        <v>330742.15000000002</v>
      </c>
      <c r="P126">
        <v>347647.4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671628.29</v>
      </c>
      <c r="W126">
        <v>0</v>
      </c>
      <c r="X126">
        <v>0</v>
      </c>
      <c r="Y126">
        <v>0</v>
      </c>
      <c r="Z126">
        <v>127428.8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659138.44999999995</v>
      </c>
      <c r="AH126">
        <v>0</v>
      </c>
      <c r="AI126">
        <v>0</v>
      </c>
      <c r="AJ126">
        <v>3309070789.5602498</v>
      </c>
    </row>
    <row r="127" spans="1:36" x14ac:dyDescent="0.25">
      <c r="A127" t="s">
        <v>444</v>
      </c>
      <c r="B127" t="s">
        <v>19</v>
      </c>
      <c r="C127">
        <v>20656.189999999999</v>
      </c>
      <c r="D127">
        <v>58969.81</v>
      </c>
      <c r="G127">
        <v>0.30777100000000002</v>
      </c>
      <c r="H127">
        <v>0</v>
      </c>
      <c r="I127">
        <v>2496166.7200000002</v>
      </c>
      <c r="J127">
        <v>643032.05000000005</v>
      </c>
      <c r="K127">
        <v>0</v>
      </c>
      <c r="L127">
        <v>3553012.2</v>
      </c>
      <c r="M127">
        <v>0</v>
      </c>
      <c r="N127">
        <v>1074202.1599999999</v>
      </c>
      <c r="O127">
        <v>370950.87</v>
      </c>
      <c r="P127">
        <v>348336.3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676142.77</v>
      </c>
      <c r="W127">
        <v>0</v>
      </c>
      <c r="X127">
        <v>0</v>
      </c>
      <c r="Y127">
        <v>0</v>
      </c>
      <c r="Z127">
        <v>127428.8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659241.31000000006</v>
      </c>
      <c r="AH127">
        <v>0</v>
      </c>
      <c r="AI127">
        <v>0</v>
      </c>
      <c r="AJ127">
        <v>3657400929.2098899</v>
      </c>
    </row>
    <row r="128" spans="1:36" x14ac:dyDescent="0.25">
      <c r="A128" t="s">
        <v>445</v>
      </c>
      <c r="B128" t="s">
        <v>19</v>
      </c>
      <c r="D128">
        <v>30067.9</v>
      </c>
      <c r="E128">
        <v>10532.31</v>
      </c>
      <c r="G128">
        <v>0.15692800000000001</v>
      </c>
      <c r="H128">
        <v>0</v>
      </c>
      <c r="I128">
        <v>926000.09</v>
      </c>
      <c r="J128">
        <v>163686.57</v>
      </c>
      <c r="K128">
        <v>0</v>
      </c>
      <c r="L128">
        <v>936314.72</v>
      </c>
      <c r="M128">
        <v>0</v>
      </c>
      <c r="N128">
        <v>351789.81</v>
      </c>
      <c r="O128">
        <v>242721.21</v>
      </c>
      <c r="P128">
        <v>260181.22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349075.05</v>
      </c>
      <c r="W128">
        <v>0</v>
      </c>
      <c r="X128">
        <v>0</v>
      </c>
      <c r="Y128">
        <v>0</v>
      </c>
      <c r="Z128">
        <v>68627.600000000006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433610.18</v>
      </c>
      <c r="AH128">
        <v>0</v>
      </c>
      <c r="AI128">
        <v>0</v>
      </c>
      <c r="AJ128">
        <v>1356697949.3385999</v>
      </c>
    </row>
    <row r="129" spans="1:36" x14ac:dyDescent="0.25">
      <c r="A129" t="s">
        <v>446</v>
      </c>
      <c r="B129" t="s">
        <v>19</v>
      </c>
      <c r="C129">
        <v>10532.31</v>
      </c>
      <c r="D129">
        <v>30067.9</v>
      </c>
      <c r="G129">
        <v>0.15692800000000001</v>
      </c>
      <c r="H129">
        <v>0</v>
      </c>
      <c r="I129">
        <v>1282412.97</v>
      </c>
      <c r="J129">
        <v>163686.57</v>
      </c>
      <c r="K129">
        <v>0</v>
      </c>
      <c r="L129">
        <v>936314.72</v>
      </c>
      <c r="M129">
        <v>0</v>
      </c>
      <c r="N129">
        <v>351639.06</v>
      </c>
      <c r="O129">
        <v>280190.89</v>
      </c>
      <c r="P129">
        <v>263197.93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356997.43</v>
      </c>
      <c r="W129">
        <v>0</v>
      </c>
      <c r="X129">
        <v>0</v>
      </c>
      <c r="Y129">
        <v>0</v>
      </c>
      <c r="Z129">
        <v>68627.600000000006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433592.58</v>
      </c>
      <c r="AH129">
        <v>0</v>
      </c>
      <c r="AI129">
        <v>0</v>
      </c>
      <c r="AJ129">
        <v>1545162103.65798</v>
      </c>
    </row>
    <row r="130" spans="1:36" x14ac:dyDescent="0.25">
      <c r="A130" t="s">
        <v>447</v>
      </c>
      <c r="B130" t="s">
        <v>18</v>
      </c>
      <c r="C130">
        <v>8200.5</v>
      </c>
      <c r="D130">
        <v>23411.01</v>
      </c>
      <c r="G130">
        <v>0.122185</v>
      </c>
      <c r="H130">
        <v>0</v>
      </c>
      <c r="I130">
        <v>870223.53</v>
      </c>
      <c r="J130">
        <v>394508.4</v>
      </c>
      <c r="K130">
        <v>0</v>
      </c>
      <c r="L130">
        <v>436518</v>
      </c>
      <c r="M130">
        <v>0</v>
      </c>
      <c r="N130">
        <v>220785.68</v>
      </c>
      <c r="O130">
        <v>147339.23000000001</v>
      </c>
      <c r="P130">
        <v>135893.29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502454.6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160090.39000000001</v>
      </c>
      <c r="AH130">
        <v>0</v>
      </c>
      <c r="AI130">
        <v>0</v>
      </c>
      <c r="AJ130">
        <v>1717590854.0967801</v>
      </c>
    </row>
    <row r="131" spans="1:36" x14ac:dyDescent="0.25">
      <c r="A131" t="s">
        <v>448</v>
      </c>
      <c r="B131" t="s">
        <v>18</v>
      </c>
      <c r="D131">
        <v>23411.01</v>
      </c>
      <c r="E131">
        <v>8200.5</v>
      </c>
      <c r="G131">
        <v>0.122185</v>
      </c>
      <c r="H131">
        <v>0</v>
      </c>
      <c r="I131">
        <v>768121.66</v>
      </c>
      <c r="J131">
        <v>394508.4</v>
      </c>
      <c r="K131">
        <v>0</v>
      </c>
      <c r="L131">
        <v>436518</v>
      </c>
      <c r="M131">
        <v>0</v>
      </c>
      <c r="N131">
        <v>220727.13</v>
      </c>
      <c r="O131">
        <v>128431.73</v>
      </c>
      <c r="P131">
        <v>133281.60000000001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500333.23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160089.34</v>
      </c>
      <c r="AH131">
        <v>0</v>
      </c>
      <c r="AI131">
        <v>0</v>
      </c>
      <c r="AJ131">
        <v>1534556216.0129199</v>
      </c>
    </row>
    <row r="132" spans="1:36" x14ac:dyDescent="0.25">
      <c r="A132" t="s">
        <v>449</v>
      </c>
      <c r="B132" t="s">
        <v>18</v>
      </c>
      <c r="D132">
        <v>1425.57</v>
      </c>
      <c r="E132">
        <v>499.35</v>
      </c>
      <c r="G132">
        <v>7.4400000000000004E-3</v>
      </c>
      <c r="H132">
        <v>0</v>
      </c>
      <c r="I132">
        <v>19871.55</v>
      </c>
      <c r="J132">
        <v>12134.67</v>
      </c>
      <c r="K132">
        <v>0</v>
      </c>
      <c r="L132">
        <v>29466.65</v>
      </c>
      <c r="M132">
        <v>0</v>
      </c>
      <c r="N132">
        <v>59636.04</v>
      </c>
      <c r="O132">
        <v>4723.1400000000003</v>
      </c>
      <c r="P132">
        <v>5163.54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486.05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4298.1099999999997</v>
      </c>
      <c r="AH132">
        <v>0</v>
      </c>
      <c r="AI132">
        <v>0</v>
      </c>
      <c r="AJ132">
        <v>61563157.146646701</v>
      </c>
    </row>
    <row r="133" spans="1:36" x14ac:dyDescent="0.25">
      <c r="A133" t="s">
        <v>450</v>
      </c>
      <c r="B133" t="s">
        <v>18</v>
      </c>
      <c r="C133">
        <v>499.35</v>
      </c>
      <c r="D133">
        <v>1425.57</v>
      </c>
      <c r="G133">
        <v>7.4400000000000004E-3</v>
      </c>
      <c r="H133">
        <v>0</v>
      </c>
      <c r="I133">
        <v>32165</v>
      </c>
      <c r="J133">
        <v>12134.67</v>
      </c>
      <c r="K133">
        <v>0</v>
      </c>
      <c r="L133">
        <v>29466.65</v>
      </c>
      <c r="M133">
        <v>0</v>
      </c>
      <c r="N133">
        <v>59636.800000000003</v>
      </c>
      <c r="O133">
        <v>7226.56</v>
      </c>
      <c r="P133">
        <v>6227.71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486.04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4298.1099999999997</v>
      </c>
      <c r="AH133">
        <v>0</v>
      </c>
      <c r="AI133">
        <v>0</v>
      </c>
      <c r="AJ133">
        <v>76382130.120700195</v>
      </c>
    </row>
    <row r="134" spans="1:36" x14ac:dyDescent="0.25">
      <c r="A134" t="s">
        <v>451</v>
      </c>
      <c r="B134" t="s">
        <v>18</v>
      </c>
      <c r="D134">
        <v>21813.13</v>
      </c>
      <c r="E134">
        <v>7640.79</v>
      </c>
      <c r="G134">
        <v>0.113846</v>
      </c>
      <c r="H134">
        <v>0</v>
      </c>
      <c r="I134">
        <v>803816.53</v>
      </c>
      <c r="J134">
        <v>239542.44</v>
      </c>
      <c r="K134">
        <v>0</v>
      </c>
      <c r="L134">
        <v>831153.37</v>
      </c>
      <c r="M134">
        <v>0</v>
      </c>
      <c r="N134">
        <v>227531.48</v>
      </c>
      <c r="O134">
        <v>187053</v>
      </c>
      <c r="P134">
        <v>199397.65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262995.18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104776.02</v>
      </c>
      <c r="AH134">
        <v>0</v>
      </c>
      <c r="AI134">
        <v>0</v>
      </c>
      <c r="AJ134">
        <v>1056772157.74359</v>
      </c>
    </row>
    <row r="135" spans="1:36" x14ac:dyDescent="0.25">
      <c r="A135" t="s">
        <v>452</v>
      </c>
      <c r="B135" t="s">
        <v>18</v>
      </c>
      <c r="C135">
        <v>7640.79</v>
      </c>
      <c r="D135">
        <v>21813.13</v>
      </c>
      <c r="G135">
        <v>0.113846</v>
      </c>
      <c r="H135">
        <v>0</v>
      </c>
      <c r="I135">
        <v>980906.43</v>
      </c>
      <c r="J135">
        <v>239542.44</v>
      </c>
      <c r="K135">
        <v>0</v>
      </c>
      <c r="L135">
        <v>831153.37</v>
      </c>
      <c r="M135">
        <v>0</v>
      </c>
      <c r="N135">
        <v>227793.4</v>
      </c>
      <c r="O135">
        <v>217872.89</v>
      </c>
      <c r="P135">
        <v>204035.51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260355.94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104777.96</v>
      </c>
      <c r="AH135">
        <v>0</v>
      </c>
      <c r="AI135">
        <v>0</v>
      </c>
      <c r="AJ135">
        <v>1301586438.2641599</v>
      </c>
    </row>
    <row r="136" spans="1:36" x14ac:dyDescent="0.25">
      <c r="A136" t="s">
        <v>453</v>
      </c>
      <c r="B136" t="s">
        <v>18</v>
      </c>
      <c r="D136">
        <v>3988.28</v>
      </c>
      <c r="E136">
        <v>1397.03</v>
      </c>
      <c r="G136">
        <v>2.0815E-2</v>
      </c>
      <c r="H136">
        <v>0</v>
      </c>
      <c r="I136">
        <v>188877.16</v>
      </c>
      <c r="J136">
        <v>103288.37</v>
      </c>
      <c r="K136">
        <v>0</v>
      </c>
      <c r="L136">
        <v>282049.05</v>
      </c>
      <c r="M136">
        <v>0</v>
      </c>
      <c r="N136">
        <v>86864.18</v>
      </c>
      <c r="O136">
        <v>21034.880000000001</v>
      </c>
      <c r="P136">
        <v>21720.05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72433.69</v>
      </c>
      <c r="W136">
        <v>0</v>
      </c>
      <c r="X136">
        <v>0</v>
      </c>
      <c r="Y136">
        <v>0</v>
      </c>
      <c r="Z136">
        <v>65854.75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114266.38</v>
      </c>
      <c r="AH136">
        <v>0</v>
      </c>
      <c r="AI136">
        <v>0</v>
      </c>
      <c r="AJ136">
        <v>267050282.956229</v>
      </c>
    </row>
    <row r="137" spans="1:36" x14ac:dyDescent="0.25">
      <c r="A137" t="s">
        <v>454</v>
      </c>
      <c r="B137" t="s">
        <v>18</v>
      </c>
      <c r="C137">
        <v>1397.03</v>
      </c>
      <c r="D137">
        <v>3988.28</v>
      </c>
      <c r="G137">
        <v>2.0815E-2</v>
      </c>
      <c r="H137">
        <v>0</v>
      </c>
      <c r="I137">
        <v>206841.31</v>
      </c>
      <c r="J137">
        <v>103288.37</v>
      </c>
      <c r="K137">
        <v>0</v>
      </c>
      <c r="L137">
        <v>282049.05</v>
      </c>
      <c r="M137">
        <v>0</v>
      </c>
      <c r="N137">
        <v>86864.4</v>
      </c>
      <c r="O137">
        <v>23255.49</v>
      </c>
      <c r="P137">
        <v>21736.94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72415.62</v>
      </c>
      <c r="W137">
        <v>0</v>
      </c>
      <c r="X137">
        <v>0</v>
      </c>
      <c r="Y137">
        <v>0</v>
      </c>
      <c r="Z137">
        <v>65854.75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114272.45</v>
      </c>
      <c r="AH137">
        <v>0</v>
      </c>
      <c r="AI137">
        <v>0</v>
      </c>
      <c r="AJ137">
        <v>303037177.17788798</v>
      </c>
    </row>
    <row r="138" spans="1:36" x14ac:dyDescent="0.25">
      <c r="A138" t="s">
        <v>455</v>
      </c>
      <c r="B138" t="s">
        <v>18</v>
      </c>
      <c r="C138">
        <v>13290.28</v>
      </c>
      <c r="D138">
        <v>37941.440000000002</v>
      </c>
      <c r="G138">
        <v>0.198022</v>
      </c>
      <c r="H138">
        <v>0</v>
      </c>
      <c r="I138">
        <v>1681621.13</v>
      </c>
      <c r="J138">
        <v>626942.71</v>
      </c>
      <c r="K138">
        <v>0</v>
      </c>
      <c r="L138">
        <v>1141299.43</v>
      </c>
      <c r="M138">
        <v>0</v>
      </c>
      <c r="N138">
        <v>413776.06</v>
      </c>
      <c r="O138">
        <v>404106.91</v>
      </c>
      <c r="P138">
        <v>374929.01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808606.12</v>
      </c>
      <c r="W138">
        <v>0</v>
      </c>
      <c r="X138">
        <v>0</v>
      </c>
      <c r="Y138">
        <v>0</v>
      </c>
      <c r="Z138">
        <v>43737.51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249012.19</v>
      </c>
      <c r="AH138">
        <v>0</v>
      </c>
      <c r="AI138">
        <v>0</v>
      </c>
      <c r="AJ138">
        <v>2284622569.8924098</v>
      </c>
    </row>
    <row r="139" spans="1:36" x14ac:dyDescent="0.25">
      <c r="A139" t="s">
        <v>456</v>
      </c>
      <c r="B139" t="s">
        <v>18</v>
      </c>
      <c r="D139">
        <v>4745.6499999999996</v>
      </c>
      <c r="E139">
        <v>1662.33</v>
      </c>
      <c r="G139">
        <v>2.4767999999999998E-2</v>
      </c>
      <c r="H139">
        <v>0</v>
      </c>
      <c r="I139">
        <v>216152.36</v>
      </c>
      <c r="J139">
        <v>94437.9</v>
      </c>
      <c r="K139">
        <v>0</v>
      </c>
      <c r="L139">
        <v>258328.15</v>
      </c>
      <c r="M139">
        <v>0</v>
      </c>
      <c r="N139">
        <v>316149.59000000003</v>
      </c>
      <c r="O139">
        <v>25186.5</v>
      </c>
      <c r="P139">
        <v>26928.37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72274.81</v>
      </c>
      <c r="W139">
        <v>0</v>
      </c>
      <c r="X139">
        <v>0</v>
      </c>
      <c r="Y139">
        <v>0</v>
      </c>
      <c r="Z139">
        <v>64094.3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210397.44</v>
      </c>
      <c r="AH139">
        <v>0</v>
      </c>
      <c r="AI139">
        <v>0</v>
      </c>
      <c r="AJ139">
        <v>524316504.17180902</v>
      </c>
    </row>
    <row r="140" spans="1:36" x14ac:dyDescent="0.25">
      <c r="A140" t="s">
        <v>457</v>
      </c>
      <c r="B140" t="s">
        <v>18</v>
      </c>
      <c r="D140">
        <v>37941.440000000002</v>
      </c>
      <c r="E140">
        <v>13290.28</v>
      </c>
      <c r="G140">
        <v>0.198022</v>
      </c>
      <c r="H140">
        <v>0</v>
      </c>
      <c r="I140">
        <v>1428624.84</v>
      </c>
      <c r="J140">
        <v>626942.71</v>
      </c>
      <c r="K140">
        <v>0</v>
      </c>
      <c r="L140">
        <v>1141299.43</v>
      </c>
      <c r="M140">
        <v>0</v>
      </c>
      <c r="N140">
        <v>413441.62</v>
      </c>
      <c r="O140">
        <v>348137.51</v>
      </c>
      <c r="P140">
        <v>366993.71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822066.73</v>
      </c>
      <c r="W140">
        <v>0</v>
      </c>
      <c r="X140">
        <v>0</v>
      </c>
      <c r="Y140">
        <v>0</v>
      </c>
      <c r="Z140">
        <v>43737.51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249023.56</v>
      </c>
      <c r="AH140">
        <v>0</v>
      </c>
      <c r="AI140">
        <v>0</v>
      </c>
      <c r="AJ140">
        <v>2090878178.2072501</v>
      </c>
    </row>
    <row r="141" spans="1:36" x14ac:dyDescent="0.25">
      <c r="A141" t="s">
        <v>458</v>
      </c>
      <c r="B141" t="s">
        <v>18</v>
      </c>
      <c r="C141">
        <v>1662.33</v>
      </c>
      <c r="D141">
        <v>4745.6499999999996</v>
      </c>
      <c r="G141">
        <v>2.4767999999999998E-2</v>
      </c>
      <c r="H141">
        <v>0</v>
      </c>
      <c r="I141">
        <v>247163.44</v>
      </c>
      <c r="J141">
        <v>94437.9</v>
      </c>
      <c r="K141">
        <v>0</v>
      </c>
      <c r="L141">
        <v>258328.15</v>
      </c>
      <c r="M141">
        <v>0</v>
      </c>
      <c r="N141">
        <v>316097.57</v>
      </c>
      <c r="O141">
        <v>28767.439999999999</v>
      </c>
      <c r="P141">
        <v>27015.57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72213.7</v>
      </c>
      <c r="W141">
        <v>0</v>
      </c>
      <c r="X141">
        <v>0</v>
      </c>
      <c r="Y141">
        <v>0</v>
      </c>
      <c r="Z141">
        <v>64094.3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210398.24</v>
      </c>
      <c r="AH141">
        <v>0</v>
      </c>
      <c r="AI141">
        <v>0</v>
      </c>
      <c r="AJ141">
        <v>595194772.78014302</v>
      </c>
    </row>
    <row r="142" spans="1:36" x14ac:dyDescent="0.25">
      <c r="A142" t="s">
        <v>459</v>
      </c>
      <c r="B142" t="s">
        <v>18</v>
      </c>
      <c r="D142">
        <v>59840.78</v>
      </c>
      <c r="E142">
        <v>20961.27</v>
      </c>
      <c r="G142">
        <v>0.31231700000000001</v>
      </c>
      <c r="H142">
        <v>0</v>
      </c>
      <c r="I142">
        <v>2016662.7</v>
      </c>
      <c r="J142">
        <v>643032.05000000005</v>
      </c>
      <c r="K142">
        <v>0</v>
      </c>
      <c r="L142">
        <v>3553012.2</v>
      </c>
      <c r="M142">
        <v>0</v>
      </c>
      <c r="N142">
        <v>1014960.64</v>
      </c>
      <c r="O142">
        <v>324325.71999999997</v>
      </c>
      <c r="P142">
        <v>345377.18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578174.23</v>
      </c>
      <c r="W142">
        <v>0</v>
      </c>
      <c r="X142">
        <v>0</v>
      </c>
      <c r="Y142">
        <v>0</v>
      </c>
      <c r="Z142">
        <v>127428.8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668397.75</v>
      </c>
      <c r="AH142">
        <v>0</v>
      </c>
      <c r="AI142">
        <v>0</v>
      </c>
      <c r="AJ142">
        <v>3044324785.1233301</v>
      </c>
    </row>
    <row r="143" spans="1:36" x14ac:dyDescent="0.25">
      <c r="A143" t="s">
        <v>460</v>
      </c>
      <c r="B143" t="s">
        <v>18</v>
      </c>
      <c r="C143">
        <v>20961.27</v>
      </c>
      <c r="D143">
        <v>59840.78</v>
      </c>
      <c r="G143">
        <v>0.31231700000000001</v>
      </c>
      <c r="H143">
        <v>0</v>
      </c>
      <c r="I143">
        <v>2344277.5</v>
      </c>
      <c r="J143">
        <v>643032.05000000005</v>
      </c>
      <c r="K143">
        <v>0</v>
      </c>
      <c r="L143">
        <v>3553012.2</v>
      </c>
      <c r="M143">
        <v>0</v>
      </c>
      <c r="N143">
        <v>1014804.48</v>
      </c>
      <c r="O143">
        <v>369697.77</v>
      </c>
      <c r="P143">
        <v>346490.74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584045.68000000005</v>
      </c>
      <c r="W143">
        <v>0</v>
      </c>
      <c r="X143">
        <v>0</v>
      </c>
      <c r="Y143">
        <v>0</v>
      </c>
      <c r="Z143">
        <v>127428.8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668491.43000000005</v>
      </c>
      <c r="AH143">
        <v>0</v>
      </c>
      <c r="AI143">
        <v>0</v>
      </c>
      <c r="AJ143">
        <v>3555540453.40622</v>
      </c>
    </row>
    <row r="144" spans="1:36" x14ac:dyDescent="0.25">
      <c r="A144" t="s">
        <v>461</v>
      </c>
      <c r="B144" t="s">
        <v>18</v>
      </c>
      <c r="C144">
        <v>10434.56</v>
      </c>
      <c r="D144">
        <v>29788.84</v>
      </c>
      <c r="G144">
        <v>0.155472</v>
      </c>
      <c r="H144">
        <v>0</v>
      </c>
      <c r="I144">
        <v>1161357.02</v>
      </c>
      <c r="J144">
        <v>163686.57</v>
      </c>
      <c r="K144">
        <v>0</v>
      </c>
      <c r="L144">
        <v>936314.72</v>
      </c>
      <c r="M144">
        <v>0</v>
      </c>
      <c r="N144">
        <v>277363.27</v>
      </c>
      <c r="O144">
        <v>274298.32</v>
      </c>
      <c r="P144">
        <v>257410.78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206739.63</v>
      </c>
      <c r="W144">
        <v>0</v>
      </c>
      <c r="X144">
        <v>0</v>
      </c>
      <c r="Y144">
        <v>0</v>
      </c>
      <c r="Z144">
        <v>68627.600000000006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439665.87</v>
      </c>
      <c r="AH144">
        <v>0</v>
      </c>
      <c r="AI144">
        <v>0</v>
      </c>
      <c r="AJ144">
        <v>1367762679.2242501</v>
      </c>
    </row>
    <row r="145" spans="1:36" x14ac:dyDescent="0.25">
      <c r="A145" t="s">
        <v>462</v>
      </c>
      <c r="B145" t="s">
        <v>18</v>
      </c>
      <c r="D145">
        <v>29788.84</v>
      </c>
      <c r="E145">
        <v>10434.56</v>
      </c>
      <c r="G145">
        <v>0.155472</v>
      </c>
      <c r="H145">
        <v>0</v>
      </c>
      <c r="I145">
        <v>693286.09</v>
      </c>
      <c r="J145">
        <v>163686.57</v>
      </c>
      <c r="K145">
        <v>0</v>
      </c>
      <c r="L145">
        <v>936314.72</v>
      </c>
      <c r="M145">
        <v>0</v>
      </c>
      <c r="N145">
        <v>277304.86</v>
      </c>
      <c r="O145">
        <v>232870.68</v>
      </c>
      <c r="P145">
        <v>253550.17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206740.7</v>
      </c>
      <c r="W145">
        <v>0</v>
      </c>
      <c r="X145">
        <v>0</v>
      </c>
      <c r="Y145">
        <v>0</v>
      </c>
      <c r="Z145">
        <v>68627.600000000006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439672.51</v>
      </c>
      <c r="AH145">
        <v>0</v>
      </c>
      <c r="AI145">
        <v>0</v>
      </c>
      <c r="AJ145">
        <v>1122785786.4907501</v>
      </c>
    </row>
    <row r="146" spans="1:36" x14ac:dyDescent="0.25">
      <c r="A146" t="s">
        <v>463</v>
      </c>
      <c r="B146" t="s">
        <v>17</v>
      </c>
      <c r="D146">
        <v>21422.15</v>
      </c>
      <c r="E146">
        <v>7503.84</v>
      </c>
      <c r="G146">
        <v>0.111805</v>
      </c>
      <c r="H146">
        <v>0</v>
      </c>
      <c r="I146">
        <v>724378.77</v>
      </c>
      <c r="J146">
        <v>394508.4</v>
      </c>
      <c r="K146">
        <v>0</v>
      </c>
      <c r="L146">
        <v>436518</v>
      </c>
      <c r="M146">
        <v>0</v>
      </c>
      <c r="N146">
        <v>214003.76</v>
      </c>
      <c r="O146">
        <v>120686.88</v>
      </c>
      <c r="P146">
        <v>125240.6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394967.68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160367.82</v>
      </c>
      <c r="AH146">
        <v>0</v>
      </c>
      <c r="AI146">
        <v>0</v>
      </c>
      <c r="AJ146">
        <v>1682251937.8376601</v>
      </c>
    </row>
    <row r="147" spans="1:36" x14ac:dyDescent="0.25">
      <c r="A147" t="s">
        <v>464</v>
      </c>
      <c r="B147" t="s">
        <v>17</v>
      </c>
      <c r="C147">
        <v>7503.84</v>
      </c>
      <c r="D147">
        <v>21422.15</v>
      </c>
      <c r="G147">
        <v>0.111805</v>
      </c>
      <c r="H147">
        <v>0</v>
      </c>
      <c r="I147">
        <v>786686.78</v>
      </c>
      <c r="J147">
        <v>394508.4</v>
      </c>
      <c r="K147">
        <v>0</v>
      </c>
      <c r="L147">
        <v>436518</v>
      </c>
      <c r="M147">
        <v>0</v>
      </c>
      <c r="N147">
        <v>213770.3</v>
      </c>
      <c r="O147">
        <v>136999.43</v>
      </c>
      <c r="P147">
        <v>127259.4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399717.78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160369.74</v>
      </c>
      <c r="AH147">
        <v>0</v>
      </c>
      <c r="AI147">
        <v>0</v>
      </c>
      <c r="AJ147">
        <v>1745997460.70474</v>
      </c>
    </row>
    <row r="148" spans="1:36" x14ac:dyDescent="0.25">
      <c r="A148" t="s">
        <v>465</v>
      </c>
      <c r="B148" t="s">
        <v>17</v>
      </c>
      <c r="D148">
        <v>1332.87</v>
      </c>
      <c r="E148">
        <v>466.88</v>
      </c>
      <c r="G148">
        <v>6.9560000000000004E-3</v>
      </c>
      <c r="H148">
        <v>0</v>
      </c>
      <c r="I148">
        <v>18336.849999999999</v>
      </c>
      <c r="J148">
        <v>12134.67</v>
      </c>
      <c r="K148">
        <v>0</v>
      </c>
      <c r="L148">
        <v>29466.65</v>
      </c>
      <c r="M148">
        <v>0</v>
      </c>
      <c r="N148">
        <v>56333.16</v>
      </c>
      <c r="O148">
        <v>4147.59</v>
      </c>
      <c r="P148">
        <v>4556.46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191.09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4304.6000000000004</v>
      </c>
      <c r="AH148">
        <v>0</v>
      </c>
      <c r="AI148">
        <v>0</v>
      </c>
      <c r="AJ148">
        <v>53044986.831570297</v>
      </c>
    </row>
    <row r="149" spans="1:36" x14ac:dyDescent="0.25">
      <c r="A149" t="s">
        <v>466</v>
      </c>
      <c r="B149" t="s">
        <v>17</v>
      </c>
      <c r="C149">
        <v>466.88</v>
      </c>
      <c r="D149">
        <v>1332.87</v>
      </c>
      <c r="G149">
        <v>6.9560000000000004E-3</v>
      </c>
      <c r="H149">
        <v>0</v>
      </c>
      <c r="I149">
        <v>27517.73</v>
      </c>
      <c r="J149">
        <v>12134.67</v>
      </c>
      <c r="K149">
        <v>0</v>
      </c>
      <c r="L149">
        <v>29466.65</v>
      </c>
      <c r="M149">
        <v>0</v>
      </c>
      <c r="N149">
        <v>56333.16</v>
      </c>
      <c r="O149">
        <v>6827.85</v>
      </c>
      <c r="P149">
        <v>5976.41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191.09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4304.6000000000004</v>
      </c>
      <c r="AH149">
        <v>0</v>
      </c>
      <c r="AI149">
        <v>0</v>
      </c>
      <c r="AJ149">
        <v>65666042.445758797</v>
      </c>
    </row>
    <row r="150" spans="1:36" x14ac:dyDescent="0.25">
      <c r="A150" t="s">
        <v>467</v>
      </c>
      <c r="B150" t="s">
        <v>17</v>
      </c>
      <c r="D150">
        <v>3728.7</v>
      </c>
      <c r="E150">
        <v>1306.0999999999999</v>
      </c>
      <c r="G150">
        <v>1.9460999999999999E-2</v>
      </c>
      <c r="H150">
        <v>0</v>
      </c>
      <c r="I150">
        <v>187206.08</v>
      </c>
      <c r="J150">
        <v>103288.37</v>
      </c>
      <c r="K150">
        <v>0</v>
      </c>
      <c r="L150">
        <v>282049.05</v>
      </c>
      <c r="M150">
        <v>0</v>
      </c>
      <c r="N150">
        <v>79218.63</v>
      </c>
      <c r="O150">
        <v>21095.27</v>
      </c>
      <c r="P150">
        <v>21503.68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58336.4</v>
      </c>
      <c r="W150">
        <v>0</v>
      </c>
      <c r="X150">
        <v>0</v>
      </c>
      <c r="Y150">
        <v>0</v>
      </c>
      <c r="Z150">
        <v>65854.75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114470.96</v>
      </c>
      <c r="AH150">
        <v>0</v>
      </c>
      <c r="AI150">
        <v>0</v>
      </c>
      <c r="AJ150">
        <v>295042110.969854</v>
      </c>
    </row>
    <row r="151" spans="1:36" x14ac:dyDescent="0.25">
      <c r="A151" t="s">
        <v>468</v>
      </c>
      <c r="B151" t="s">
        <v>17</v>
      </c>
      <c r="C151">
        <v>7192.46</v>
      </c>
      <c r="D151">
        <v>20533.21</v>
      </c>
      <c r="G151">
        <v>0.107166</v>
      </c>
      <c r="H151">
        <v>0</v>
      </c>
      <c r="I151">
        <v>964139.01</v>
      </c>
      <c r="J151">
        <v>239542.44</v>
      </c>
      <c r="K151">
        <v>0</v>
      </c>
      <c r="L151">
        <v>831153.37</v>
      </c>
      <c r="M151">
        <v>0</v>
      </c>
      <c r="N151">
        <v>236488.32000000001</v>
      </c>
      <c r="O151">
        <v>214087.69</v>
      </c>
      <c r="P151">
        <v>201182.75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225974.71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104964.44</v>
      </c>
      <c r="AH151">
        <v>0</v>
      </c>
      <c r="AI151">
        <v>0</v>
      </c>
      <c r="AJ151">
        <v>1337403005.43839</v>
      </c>
    </row>
    <row r="152" spans="1:36" x14ac:dyDescent="0.25">
      <c r="A152" t="s">
        <v>469</v>
      </c>
      <c r="B152" t="s">
        <v>17</v>
      </c>
      <c r="D152">
        <v>20533.21</v>
      </c>
      <c r="E152">
        <v>7192.46</v>
      </c>
      <c r="G152">
        <v>0.107166</v>
      </c>
      <c r="H152">
        <v>0</v>
      </c>
      <c r="I152">
        <v>797539.49</v>
      </c>
      <c r="J152">
        <v>239542.44</v>
      </c>
      <c r="K152">
        <v>0</v>
      </c>
      <c r="L152">
        <v>831153.37</v>
      </c>
      <c r="M152">
        <v>0</v>
      </c>
      <c r="N152">
        <v>236208.15</v>
      </c>
      <c r="O152">
        <v>184803.5</v>
      </c>
      <c r="P152">
        <v>197142.42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229133.46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104963.47</v>
      </c>
      <c r="AH152">
        <v>0</v>
      </c>
      <c r="AI152">
        <v>0</v>
      </c>
      <c r="AJ152">
        <v>1131366333.3879399</v>
      </c>
    </row>
    <row r="153" spans="1:36" x14ac:dyDescent="0.25">
      <c r="A153" t="s">
        <v>470</v>
      </c>
      <c r="B153" t="s">
        <v>17</v>
      </c>
      <c r="C153">
        <v>1306.0999999999999</v>
      </c>
      <c r="D153">
        <v>3728.7</v>
      </c>
      <c r="G153">
        <v>1.9460999999999999E-2</v>
      </c>
      <c r="H153">
        <v>0</v>
      </c>
      <c r="I153">
        <v>195658.16</v>
      </c>
      <c r="J153">
        <v>103288.37</v>
      </c>
      <c r="K153">
        <v>0</v>
      </c>
      <c r="L153">
        <v>282049.05</v>
      </c>
      <c r="M153">
        <v>0</v>
      </c>
      <c r="N153">
        <v>79227.73</v>
      </c>
      <c r="O153">
        <v>22953.599999999999</v>
      </c>
      <c r="P153">
        <v>21518.240000000002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58342.87</v>
      </c>
      <c r="W153">
        <v>0</v>
      </c>
      <c r="X153">
        <v>0</v>
      </c>
      <c r="Y153">
        <v>0</v>
      </c>
      <c r="Z153">
        <v>65854.75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114471.79</v>
      </c>
      <c r="AH153">
        <v>0</v>
      </c>
      <c r="AI153">
        <v>0</v>
      </c>
      <c r="AJ153">
        <v>300612924.95854998</v>
      </c>
    </row>
    <row r="154" spans="1:36" x14ac:dyDescent="0.25">
      <c r="A154" t="s">
        <v>471</v>
      </c>
      <c r="B154" t="s">
        <v>17</v>
      </c>
      <c r="C154">
        <v>12406.5</v>
      </c>
      <c r="D154">
        <v>35418.39</v>
      </c>
      <c r="G154">
        <v>0.18485299999999999</v>
      </c>
      <c r="H154">
        <v>0</v>
      </c>
      <c r="I154">
        <v>1542167.84</v>
      </c>
      <c r="J154">
        <v>626942.71</v>
      </c>
      <c r="K154">
        <v>0</v>
      </c>
      <c r="L154">
        <v>1141299.43</v>
      </c>
      <c r="M154">
        <v>0</v>
      </c>
      <c r="N154">
        <v>361007.18</v>
      </c>
      <c r="O154">
        <v>385299.94</v>
      </c>
      <c r="P154">
        <v>361102.34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567215.03</v>
      </c>
      <c r="W154">
        <v>0</v>
      </c>
      <c r="X154">
        <v>0</v>
      </c>
      <c r="Y154">
        <v>0</v>
      </c>
      <c r="Z154">
        <v>43737.51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249473.52</v>
      </c>
      <c r="AH154">
        <v>0</v>
      </c>
      <c r="AI154">
        <v>0</v>
      </c>
      <c r="AJ154">
        <v>2306904644.3975601</v>
      </c>
    </row>
    <row r="155" spans="1:36" x14ac:dyDescent="0.25">
      <c r="A155" t="s">
        <v>472</v>
      </c>
      <c r="B155" t="s">
        <v>17</v>
      </c>
      <c r="D155">
        <v>57273.67</v>
      </c>
      <c r="E155">
        <v>20062.05</v>
      </c>
      <c r="G155">
        <v>0.29891899999999999</v>
      </c>
      <c r="H155">
        <v>0</v>
      </c>
      <c r="I155">
        <v>1981540.39</v>
      </c>
      <c r="J155">
        <v>643032.05000000005</v>
      </c>
      <c r="K155">
        <v>0</v>
      </c>
      <c r="L155">
        <v>3553012.2</v>
      </c>
      <c r="M155">
        <v>0</v>
      </c>
      <c r="N155">
        <v>1004120.41</v>
      </c>
      <c r="O155">
        <v>324655.98</v>
      </c>
      <c r="P155">
        <v>342064.3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510070.27</v>
      </c>
      <c r="W155">
        <v>0</v>
      </c>
      <c r="X155">
        <v>0</v>
      </c>
      <c r="Y155">
        <v>0</v>
      </c>
      <c r="Z155">
        <v>127428.8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669525.21</v>
      </c>
      <c r="AH155">
        <v>0</v>
      </c>
      <c r="AI155">
        <v>0</v>
      </c>
      <c r="AJ155">
        <v>3248399075.0756798</v>
      </c>
    </row>
    <row r="156" spans="1:36" x14ac:dyDescent="0.25">
      <c r="A156" t="s">
        <v>473</v>
      </c>
      <c r="B156" t="s">
        <v>17</v>
      </c>
      <c r="D156">
        <v>4371.3599999999997</v>
      </c>
      <c r="E156">
        <v>1531.22</v>
      </c>
      <c r="G156">
        <v>2.2814999999999998E-2</v>
      </c>
      <c r="H156">
        <v>0</v>
      </c>
      <c r="I156">
        <v>187896.88</v>
      </c>
      <c r="J156">
        <v>94437.9</v>
      </c>
      <c r="K156">
        <v>0</v>
      </c>
      <c r="L156">
        <v>258328.15</v>
      </c>
      <c r="M156">
        <v>0</v>
      </c>
      <c r="N156">
        <v>305397.01</v>
      </c>
      <c r="O156">
        <v>24095.78</v>
      </c>
      <c r="P156">
        <v>25591.93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58244.32</v>
      </c>
      <c r="W156">
        <v>0</v>
      </c>
      <c r="X156">
        <v>0</v>
      </c>
      <c r="Y156">
        <v>0</v>
      </c>
      <c r="Z156">
        <v>64094.3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210773.37</v>
      </c>
      <c r="AH156">
        <v>0</v>
      </c>
      <c r="AI156">
        <v>0</v>
      </c>
      <c r="AJ156">
        <v>501071666.728818</v>
      </c>
    </row>
    <row r="157" spans="1:36" x14ac:dyDescent="0.25">
      <c r="A157" t="s">
        <v>474</v>
      </c>
      <c r="B157" t="s">
        <v>17</v>
      </c>
      <c r="D157">
        <v>35418.39</v>
      </c>
      <c r="E157">
        <v>12406.5</v>
      </c>
      <c r="G157">
        <v>0.18485299999999999</v>
      </c>
      <c r="H157">
        <v>0</v>
      </c>
      <c r="I157">
        <v>1293210.1499999999</v>
      </c>
      <c r="J157">
        <v>626942.71</v>
      </c>
      <c r="K157">
        <v>0</v>
      </c>
      <c r="L157">
        <v>1141299.43</v>
      </c>
      <c r="M157">
        <v>0</v>
      </c>
      <c r="N157">
        <v>357875.83</v>
      </c>
      <c r="O157">
        <v>331783.2</v>
      </c>
      <c r="P157">
        <v>357002.19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595727.02</v>
      </c>
      <c r="W157">
        <v>0</v>
      </c>
      <c r="X157">
        <v>0</v>
      </c>
      <c r="Y157">
        <v>0</v>
      </c>
      <c r="Z157">
        <v>43737.51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249462.94</v>
      </c>
      <c r="AH157">
        <v>0</v>
      </c>
      <c r="AI157">
        <v>0</v>
      </c>
      <c r="AJ157">
        <v>2223522566.7562799</v>
      </c>
    </row>
    <row r="158" spans="1:36" x14ac:dyDescent="0.25">
      <c r="A158" t="s">
        <v>475</v>
      </c>
      <c r="B158" t="s">
        <v>17</v>
      </c>
      <c r="C158">
        <v>1531.22</v>
      </c>
      <c r="D158">
        <v>4371.3599999999997</v>
      </c>
      <c r="G158">
        <v>2.2814999999999998E-2</v>
      </c>
      <c r="H158">
        <v>0</v>
      </c>
      <c r="I158">
        <v>209455.82</v>
      </c>
      <c r="J158">
        <v>94437.9</v>
      </c>
      <c r="K158">
        <v>0</v>
      </c>
      <c r="L158">
        <v>258328.15</v>
      </c>
      <c r="M158">
        <v>0</v>
      </c>
      <c r="N158">
        <v>305246.07</v>
      </c>
      <c r="O158">
        <v>27256.86</v>
      </c>
      <c r="P158">
        <v>25640.05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58197.38</v>
      </c>
      <c r="W158">
        <v>0</v>
      </c>
      <c r="X158">
        <v>0</v>
      </c>
      <c r="Y158">
        <v>0</v>
      </c>
      <c r="Z158">
        <v>64094.3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210769.31</v>
      </c>
      <c r="AH158">
        <v>0</v>
      </c>
      <c r="AI158">
        <v>0</v>
      </c>
      <c r="AJ158">
        <v>536238591.95448297</v>
      </c>
    </row>
    <row r="159" spans="1:36" x14ac:dyDescent="0.25">
      <c r="A159" t="s">
        <v>476</v>
      </c>
      <c r="B159" t="s">
        <v>17</v>
      </c>
      <c r="D159">
        <v>27356.78</v>
      </c>
      <c r="E159">
        <v>9582.65</v>
      </c>
      <c r="G159">
        <v>0.14277899999999999</v>
      </c>
      <c r="H159">
        <v>0</v>
      </c>
      <c r="I159">
        <v>730394.82</v>
      </c>
      <c r="J159">
        <v>163686.57</v>
      </c>
      <c r="K159">
        <v>0</v>
      </c>
      <c r="L159">
        <v>936314.72</v>
      </c>
      <c r="M159">
        <v>0</v>
      </c>
      <c r="N159">
        <v>271733.01</v>
      </c>
      <c r="O159">
        <v>224004.4</v>
      </c>
      <c r="P159">
        <v>242531.68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162962.51999999999</v>
      </c>
      <c r="W159">
        <v>0</v>
      </c>
      <c r="X159">
        <v>0</v>
      </c>
      <c r="Y159">
        <v>0</v>
      </c>
      <c r="Z159">
        <v>68627.600000000006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440539.81</v>
      </c>
      <c r="AH159">
        <v>0</v>
      </c>
      <c r="AI159">
        <v>0</v>
      </c>
      <c r="AJ159">
        <v>1167848554.5411899</v>
      </c>
    </row>
    <row r="160" spans="1:36" x14ac:dyDescent="0.25">
      <c r="A160" t="s">
        <v>477</v>
      </c>
      <c r="B160" t="s">
        <v>17</v>
      </c>
      <c r="C160">
        <v>20062.05</v>
      </c>
      <c r="D160">
        <v>57273.67</v>
      </c>
      <c r="G160">
        <v>0.29891899999999999</v>
      </c>
      <c r="H160">
        <v>0</v>
      </c>
      <c r="I160">
        <v>2226358.7599999998</v>
      </c>
      <c r="J160">
        <v>643032.05000000005</v>
      </c>
      <c r="K160">
        <v>0</v>
      </c>
      <c r="L160">
        <v>3553012.2</v>
      </c>
      <c r="M160">
        <v>0</v>
      </c>
      <c r="N160">
        <v>1004204.8</v>
      </c>
      <c r="O160">
        <v>364255.55</v>
      </c>
      <c r="P160">
        <v>342529.22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508044.46</v>
      </c>
      <c r="W160">
        <v>0</v>
      </c>
      <c r="X160">
        <v>0</v>
      </c>
      <c r="Y160">
        <v>0</v>
      </c>
      <c r="Z160">
        <v>127428.8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669658.78</v>
      </c>
      <c r="AH160">
        <v>0</v>
      </c>
      <c r="AI160">
        <v>0</v>
      </c>
      <c r="AJ160">
        <v>3465629335.0835299</v>
      </c>
    </row>
    <row r="161" spans="1:36" x14ac:dyDescent="0.25">
      <c r="A161" t="s">
        <v>478</v>
      </c>
      <c r="B161" t="s">
        <v>17</v>
      </c>
      <c r="C161">
        <v>9582.65</v>
      </c>
      <c r="D161">
        <v>27356.78</v>
      </c>
      <c r="G161">
        <v>0.14277899999999999</v>
      </c>
      <c r="H161">
        <v>0</v>
      </c>
      <c r="I161">
        <v>1083953.67</v>
      </c>
      <c r="J161">
        <v>163686.57</v>
      </c>
      <c r="K161">
        <v>0</v>
      </c>
      <c r="L161">
        <v>936314.72</v>
      </c>
      <c r="M161">
        <v>0</v>
      </c>
      <c r="N161">
        <v>272087.90000000002</v>
      </c>
      <c r="O161">
        <v>259320.24</v>
      </c>
      <c r="P161">
        <v>243962.08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165879.35</v>
      </c>
      <c r="W161">
        <v>0</v>
      </c>
      <c r="X161">
        <v>0</v>
      </c>
      <c r="Y161">
        <v>0</v>
      </c>
      <c r="Z161">
        <v>68627.600000000006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440524.82</v>
      </c>
      <c r="AH161">
        <v>0</v>
      </c>
      <c r="AI161">
        <v>0</v>
      </c>
      <c r="AJ161">
        <v>1369224805.4675801</v>
      </c>
    </row>
    <row r="162" spans="1:36" x14ac:dyDescent="0.25">
      <c r="A162" t="s">
        <v>479</v>
      </c>
      <c r="B162" t="s">
        <v>16</v>
      </c>
      <c r="C162">
        <v>7327.34</v>
      </c>
      <c r="D162">
        <v>20918.27</v>
      </c>
      <c r="G162">
        <v>0.10917499999999999</v>
      </c>
      <c r="H162">
        <v>0</v>
      </c>
      <c r="I162">
        <v>686711.52</v>
      </c>
      <c r="J162">
        <v>394508.4</v>
      </c>
      <c r="K162">
        <v>0</v>
      </c>
      <c r="L162">
        <v>436518</v>
      </c>
      <c r="M162">
        <v>0</v>
      </c>
      <c r="N162">
        <v>186494.58</v>
      </c>
      <c r="O162">
        <v>132101.34</v>
      </c>
      <c r="P162">
        <v>122613.71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302860.31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162404.29999999999</v>
      </c>
      <c r="AH162">
        <v>0</v>
      </c>
      <c r="AI162">
        <v>0</v>
      </c>
      <c r="AJ162">
        <v>1562551221.6073999</v>
      </c>
    </row>
    <row r="163" spans="1:36" x14ac:dyDescent="0.25">
      <c r="A163" t="s">
        <v>480</v>
      </c>
      <c r="B163" t="s">
        <v>16</v>
      </c>
      <c r="D163">
        <v>20918.27</v>
      </c>
      <c r="E163">
        <v>7327.34</v>
      </c>
      <c r="G163">
        <v>0.10917499999999999</v>
      </c>
      <c r="H163">
        <v>0</v>
      </c>
      <c r="I163">
        <v>645541.29</v>
      </c>
      <c r="J163">
        <v>394508.4</v>
      </c>
      <c r="K163">
        <v>0</v>
      </c>
      <c r="L163">
        <v>436518</v>
      </c>
      <c r="M163">
        <v>0</v>
      </c>
      <c r="N163">
        <v>186490.8</v>
      </c>
      <c r="O163">
        <v>114548.67</v>
      </c>
      <c r="P163">
        <v>120088.52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300502.34999999998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162406.37</v>
      </c>
      <c r="AH163">
        <v>0</v>
      </c>
      <c r="AI163">
        <v>0</v>
      </c>
      <c r="AJ163">
        <v>1511967153.73276</v>
      </c>
    </row>
    <row r="164" spans="1:36" x14ac:dyDescent="0.25">
      <c r="A164" t="s">
        <v>481</v>
      </c>
      <c r="B164" t="s">
        <v>16</v>
      </c>
      <c r="C164">
        <v>456.89</v>
      </c>
      <c r="D164">
        <v>1304.33</v>
      </c>
      <c r="G164">
        <v>6.8069999999999997E-3</v>
      </c>
      <c r="H164">
        <v>0</v>
      </c>
      <c r="I164">
        <v>21435.200000000001</v>
      </c>
      <c r="J164">
        <v>12134.67</v>
      </c>
      <c r="K164">
        <v>0</v>
      </c>
      <c r="L164">
        <v>29466.65</v>
      </c>
      <c r="M164">
        <v>0</v>
      </c>
      <c r="N164">
        <v>57166.63</v>
      </c>
      <c r="O164">
        <v>6454.91</v>
      </c>
      <c r="P164">
        <v>5589.18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257.89999999999998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4351.71</v>
      </c>
      <c r="AH164">
        <v>0</v>
      </c>
      <c r="AI164">
        <v>0</v>
      </c>
      <c r="AJ164">
        <v>58566361.777669698</v>
      </c>
    </row>
    <row r="165" spans="1:36" x14ac:dyDescent="0.25">
      <c r="A165" t="s">
        <v>482</v>
      </c>
      <c r="B165" t="s">
        <v>16</v>
      </c>
      <c r="D165">
        <v>1304.33</v>
      </c>
      <c r="E165">
        <v>456.89</v>
      </c>
      <c r="G165">
        <v>6.8069999999999997E-3</v>
      </c>
      <c r="H165">
        <v>0</v>
      </c>
      <c r="I165">
        <v>14061.27</v>
      </c>
      <c r="J165">
        <v>12134.67</v>
      </c>
      <c r="K165">
        <v>0</v>
      </c>
      <c r="L165">
        <v>29466.65</v>
      </c>
      <c r="M165">
        <v>0</v>
      </c>
      <c r="N165">
        <v>57168.03</v>
      </c>
      <c r="O165">
        <v>3736.72</v>
      </c>
      <c r="P165">
        <v>4125.55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257.88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4351.71</v>
      </c>
      <c r="AH165">
        <v>0</v>
      </c>
      <c r="AI165">
        <v>0</v>
      </c>
      <c r="AJ165">
        <v>50125551.680375502</v>
      </c>
    </row>
    <row r="166" spans="1:36" x14ac:dyDescent="0.25">
      <c r="A166" t="s">
        <v>483</v>
      </c>
      <c r="B166" t="s">
        <v>16</v>
      </c>
      <c r="D166">
        <v>3608.44</v>
      </c>
      <c r="E166">
        <v>1263.98</v>
      </c>
      <c r="G166">
        <v>1.8832999999999999E-2</v>
      </c>
      <c r="H166">
        <v>0</v>
      </c>
      <c r="I166">
        <v>166938.35999999999</v>
      </c>
      <c r="J166">
        <v>103288.37</v>
      </c>
      <c r="K166">
        <v>0</v>
      </c>
      <c r="L166">
        <v>282049.05</v>
      </c>
      <c r="M166">
        <v>0</v>
      </c>
      <c r="N166">
        <v>71731</v>
      </c>
      <c r="O166">
        <v>19430.900000000001</v>
      </c>
      <c r="P166">
        <v>19995.73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42832.38</v>
      </c>
      <c r="W166">
        <v>0</v>
      </c>
      <c r="X166">
        <v>0</v>
      </c>
      <c r="Y166">
        <v>0</v>
      </c>
      <c r="Z166">
        <v>65854.75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115921.87</v>
      </c>
      <c r="AH166">
        <v>0</v>
      </c>
      <c r="AI166">
        <v>0</v>
      </c>
      <c r="AJ166">
        <v>253180773.10851201</v>
      </c>
    </row>
    <row r="167" spans="1:36" x14ac:dyDescent="0.25">
      <c r="A167" t="s">
        <v>484</v>
      </c>
      <c r="B167" t="s">
        <v>16</v>
      </c>
      <c r="C167">
        <v>7037.89</v>
      </c>
      <c r="D167">
        <v>20091.939999999999</v>
      </c>
      <c r="G167">
        <v>0.104863</v>
      </c>
      <c r="H167">
        <v>0</v>
      </c>
      <c r="I167">
        <v>837165.62</v>
      </c>
      <c r="J167">
        <v>239542.44</v>
      </c>
      <c r="K167">
        <v>0</v>
      </c>
      <c r="L167">
        <v>831153.37</v>
      </c>
      <c r="M167">
        <v>0</v>
      </c>
      <c r="N167">
        <v>206892.02</v>
      </c>
      <c r="O167">
        <v>208406.61</v>
      </c>
      <c r="P167">
        <v>195611.11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136806.84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106288.95</v>
      </c>
      <c r="AH167">
        <v>0</v>
      </c>
      <c r="AI167">
        <v>0</v>
      </c>
      <c r="AJ167">
        <v>1152084489.9514999</v>
      </c>
    </row>
    <row r="168" spans="1:36" x14ac:dyDescent="0.25">
      <c r="A168" t="s">
        <v>485</v>
      </c>
      <c r="B168" t="s">
        <v>16</v>
      </c>
      <c r="D168">
        <v>20091.939999999999</v>
      </c>
      <c r="E168">
        <v>7037.89</v>
      </c>
      <c r="G168">
        <v>0.104863</v>
      </c>
      <c r="H168">
        <v>0</v>
      </c>
      <c r="I168">
        <v>692462.12</v>
      </c>
      <c r="J168">
        <v>239542.44</v>
      </c>
      <c r="K168">
        <v>0</v>
      </c>
      <c r="L168">
        <v>831153.37</v>
      </c>
      <c r="M168">
        <v>0</v>
      </c>
      <c r="N168">
        <v>206524.64</v>
      </c>
      <c r="O168">
        <v>178333.3</v>
      </c>
      <c r="P168">
        <v>191512.06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138390.22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106286.01</v>
      </c>
      <c r="AH168">
        <v>0</v>
      </c>
      <c r="AI168">
        <v>0</v>
      </c>
      <c r="AJ168">
        <v>1029156382.2685699</v>
      </c>
    </row>
    <row r="169" spans="1:36" x14ac:dyDescent="0.25">
      <c r="A169" t="s">
        <v>486</v>
      </c>
      <c r="B169" t="s">
        <v>16</v>
      </c>
      <c r="C169">
        <v>1263.98</v>
      </c>
      <c r="D169">
        <v>3608.44</v>
      </c>
      <c r="G169">
        <v>1.8832999999999999E-2</v>
      </c>
      <c r="H169">
        <v>0</v>
      </c>
      <c r="I169">
        <v>172894.19</v>
      </c>
      <c r="J169">
        <v>103288.37</v>
      </c>
      <c r="K169">
        <v>0</v>
      </c>
      <c r="L169">
        <v>282049.05</v>
      </c>
      <c r="M169">
        <v>0</v>
      </c>
      <c r="N169">
        <v>71743.12</v>
      </c>
      <c r="O169">
        <v>21369.88</v>
      </c>
      <c r="P169">
        <v>20018.43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42842.71</v>
      </c>
      <c r="W169">
        <v>0</v>
      </c>
      <c r="X169">
        <v>0</v>
      </c>
      <c r="Y169">
        <v>0</v>
      </c>
      <c r="Z169">
        <v>65854.75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115922.95</v>
      </c>
      <c r="AH169">
        <v>0</v>
      </c>
      <c r="AI169">
        <v>0</v>
      </c>
      <c r="AJ169">
        <v>259776094.435893</v>
      </c>
    </row>
    <row r="170" spans="1:36" x14ac:dyDescent="0.25">
      <c r="A170" t="s">
        <v>487</v>
      </c>
      <c r="B170" t="s">
        <v>16</v>
      </c>
      <c r="C170">
        <v>12189</v>
      </c>
      <c r="D170">
        <v>34797.47</v>
      </c>
      <c r="G170">
        <v>0.181613</v>
      </c>
      <c r="H170">
        <v>0</v>
      </c>
      <c r="I170">
        <v>1413432.73</v>
      </c>
      <c r="J170">
        <v>626942.71</v>
      </c>
      <c r="K170">
        <v>0</v>
      </c>
      <c r="L170">
        <v>1141299.43</v>
      </c>
      <c r="M170">
        <v>0</v>
      </c>
      <c r="N170">
        <v>311901.3</v>
      </c>
      <c r="O170">
        <v>375562.47</v>
      </c>
      <c r="P170">
        <v>351410.87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437016.52</v>
      </c>
      <c r="W170">
        <v>0</v>
      </c>
      <c r="X170">
        <v>0</v>
      </c>
      <c r="Y170">
        <v>0</v>
      </c>
      <c r="Z170">
        <v>43737.51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252644.44</v>
      </c>
      <c r="AH170">
        <v>0</v>
      </c>
      <c r="AI170">
        <v>0</v>
      </c>
      <c r="AJ170">
        <v>2046523317.28894</v>
      </c>
    </row>
    <row r="171" spans="1:36" x14ac:dyDescent="0.25">
      <c r="A171" t="s">
        <v>488</v>
      </c>
      <c r="B171" t="s">
        <v>16</v>
      </c>
      <c r="D171">
        <v>34797.47</v>
      </c>
      <c r="E171">
        <v>12189</v>
      </c>
      <c r="G171">
        <v>0.181613</v>
      </c>
      <c r="H171">
        <v>0</v>
      </c>
      <c r="I171">
        <v>1164190.02</v>
      </c>
      <c r="J171">
        <v>626942.71</v>
      </c>
      <c r="K171">
        <v>0</v>
      </c>
      <c r="L171">
        <v>1141299.43</v>
      </c>
      <c r="M171">
        <v>0</v>
      </c>
      <c r="N171">
        <v>311977.5</v>
      </c>
      <c r="O171">
        <v>321346.03000000003</v>
      </c>
      <c r="P171">
        <v>346584.44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452388.56</v>
      </c>
      <c r="W171">
        <v>0</v>
      </c>
      <c r="X171">
        <v>0</v>
      </c>
      <c r="Y171">
        <v>0</v>
      </c>
      <c r="Z171">
        <v>43737.51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252627.01</v>
      </c>
      <c r="AH171">
        <v>0</v>
      </c>
      <c r="AI171">
        <v>0</v>
      </c>
      <c r="AJ171">
        <v>1985429853.5288401</v>
      </c>
    </row>
    <row r="172" spans="1:36" x14ac:dyDescent="0.25">
      <c r="A172" t="s">
        <v>489</v>
      </c>
      <c r="B172" t="s">
        <v>16</v>
      </c>
      <c r="D172">
        <v>55419.11</v>
      </c>
      <c r="E172">
        <v>19412.43</v>
      </c>
      <c r="G172">
        <v>0.28924</v>
      </c>
      <c r="H172">
        <v>0</v>
      </c>
      <c r="I172">
        <v>1744621.88</v>
      </c>
      <c r="J172">
        <v>643032.05000000005</v>
      </c>
      <c r="K172">
        <v>0</v>
      </c>
      <c r="L172">
        <v>3553012.2</v>
      </c>
      <c r="M172">
        <v>0</v>
      </c>
      <c r="N172">
        <v>928168.11</v>
      </c>
      <c r="O172">
        <v>301292.02</v>
      </c>
      <c r="P172">
        <v>320530.95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287622.45</v>
      </c>
      <c r="W172">
        <v>0</v>
      </c>
      <c r="X172">
        <v>0</v>
      </c>
      <c r="Y172">
        <v>0</v>
      </c>
      <c r="Z172">
        <v>127428.8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678443.29</v>
      </c>
      <c r="AH172">
        <v>0</v>
      </c>
      <c r="AI172">
        <v>0</v>
      </c>
      <c r="AJ172">
        <v>2796900295.6138301</v>
      </c>
    </row>
    <row r="173" spans="1:36" x14ac:dyDescent="0.25">
      <c r="A173" t="s">
        <v>490</v>
      </c>
      <c r="B173" t="s">
        <v>16</v>
      </c>
      <c r="D173">
        <v>4248.76</v>
      </c>
      <c r="E173">
        <v>1488.27</v>
      </c>
      <c r="G173">
        <v>2.2175E-2</v>
      </c>
      <c r="H173">
        <v>0</v>
      </c>
      <c r="I173">
        <v>168971.06</v>
      </c>
      <c r="J173">
        <v>94437.9</v>
      </c>
      <c r="K173">
        <v>0</v>
      </c>
      <c r="L173">
        <v>258328.15</v>
      </c>
      <c r="M173">
        <v>0</v>
      </c>
      <c r="N173">
        <v>306839.65999999997</v>
      </c>
      <c r="O173">
        <v>22666.11</v>
      </c>
      <c r="P173">
        <v>24099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42881.96</v>
      </c>
      <c r="W173">
        <v>0</v>
      </c>
      <c r="X173">
        <v>0</v>
      </c>
      <c r="Y173">
        <v>0</v>
      </c>
      <c r="Z173">
        <v>64094.3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213482.31</v>
      </c>
      <c r="AH173">
        <v>0</v>
      </c>
      <c r="AI173">
        <v>0</v>
      </c>
      <c r="AJ173">
        <v>425732129.280222</v>
      </c>
    </row>
    <row r="174" spans="1:36" x14ac:dyDescent="0.25">
      <c r="A174" t="s">
        <v>491</v>
      </c>
      <c r="B174" t="s">
        <v>16</v>
      </c>
      <c r="C174">
        <v>1488.27</v>
      </c>
      <c r="D174">
        <v>4248.76</v>
      </c>
      <c r="G174">
        <v>2.2175E-2</v>
      </c>
      <c r="H174">
        <v>0</v>
      </c>
      <c r="I174">
        <v>183324.57</v>
      </c>
      <c r="J174">
        <v>94437.9</v>
      </c>
      <c r="K174">
        <v>0</v>
      </c>
      <c r="L174">
        <v>258328.15</v>
      </c>
      <c r="M174">
        <v>0</v>
      </c>
      <c r="N174">
        <v>307114.58</v>
      </c>
      <c r="O174">
        <v>25688.9</v>
      </c>
      <c r="P174">
        <v>24161.42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42029.22</v>
      </c>
      <c r="W174">
        <v>0</v>
      </c>
      <c r="X174">
        <v>0</v>
      </c>
      <c r="Y174">
        <v>0</v>
      </c>
      <c r="Z174">
        <v>64094.3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213472.92</v>
      </c>
      <c r="AH174">
        <v>0</v>
      </c>
      <c r="AI174">
        <v>0</v>
      </c>
      <c r="AJ174">
        <v>447221207.56706601</v>
      </c>
    </row>
    <row r="175" spans="1:36" x14ac:dyDescent="0.25">
      <c r="A175" t="s">
        <v>492</v>
      </c>
      <c r="B175" t="s">
        <v>16</v>
      </c>
      <c r="C175">
        <v>9317.93</v>
      </c>
      <c r="D175">
        <v>26601.06</v>
      </c>
      <c r="G175">
        <v>0.13883499999999999</v>
      </c>
      <c r="H175">
        <v>0</v>
      </c>
      <c r="I175">
        <v>973926.34</v>
      </c>
      <c r="J175">
        <v>163686.57</v>
      </c>
      <c r="K175">
        <v>0</v>
      </c>
      <c r="L175">
        <v>936314.72</v>
      </c>
      <c r="M175">
        <v>0</v>
      </c>
      <c r="N175">
        <v>254298.5</v>
      </c>
      <c r="O175">
        <v>251151.31</v>
      </c>
      <c r="P175">
        <v>236303.53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109309.77</v>
      </c>
      <c r="W175">
        <v>0</v>
      </c>
      <c r="X175">
        <v>0</v>
      </c>
      <c r="Y175">
        <v>0</v>
      </c>
      <c r="Z175">
        <v>68627.600000000006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446536.23</v>
      </c>
      <c r="AH175">
        <v>0</v>
      </c>
      <c r="AI175">
        <v>0</v>
      </c>
      <c r="AJ175">
        <v>1123673965.29826</v>
      </c>
    </row>
    <row r="176" spans="1:36" x14ac:dyDescent="0.25">
      <c r="A176" t="s">
        <v>493</v>
      </c>
      <c r="B176" t="s">
        <v>16</v>
      </c>
      <c r="C176">
        <v>19412.43</v>
      </c>
      <c r="D176">
        <v>55419.11</v>
      </c>
      <c r="G176">
        <v>0.28924</v>
      </c>
      <c r="H176">
        <v>0</v>
      </c>
      <c r="I176">
        <v>1917511.37</v>
      </c>
      <c r="J176">
        <v>643032.05000000005</v>
      </c>
      <c r="K176">
        <v>0</v>
      </c>
      <c r="L176">
        <v>3553012.2</v>
      </c>
      <c r="M176">
        <v>0</v>
      </c>
      <c r="N176">
        <v>928408.79</v>
      </c>
      <c r="O176">
        <v>341975.25</v>
      </c>
      <c r="P176">
        <v>321422.06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288384.01</v>
      </c>
      <c r="W176">
        <v>0</v>
      </c>
      <c r="X176">
        <v>0</v>
      </c>
      <c r="Y176">
        <v>0</v>
      </c>
      <c r="Z176">
        <v>127428.8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678526.36</v>
      </c>
      <c r="AH176">
        <v>0</v>
      </c>
      <c r="AI176">
        <v>0</v>
      </c>
      <c r="AJ176">
        <v>3032740766.4741302</v>
      </c>
    </row>
    <row r="177" spans="1:36" x14ac:dyDescent="0.25">
      <c r="A177" t="s">
        <v>494</v>
      </c>
      <c r="B177" t="s">
        <v>16</v>
      </c>
      <c r="D177">
        <v>26601.06</v>
      </c>
      <c r="E177">
        <v>9317.93</v>
      </c>
      <c r="G177">
        <v>0.13883499999999999</v>
      </c>
      <c r="H177">
        <v>0</v>
      </c>
      <c r="I177">
        <v>688364.8</v>
      </c>
      <c r="J177">
        <v>163686.57</v>
      </c>
      <c r="K177">
        <v>0</v>
      </c>
      <c r="L177">
        <v>936314.72</v>
      </c>
      <c r="M177">
        <v>0</v>
      </c>
      <c r="N177">
        <v>253822.53</v>
      </c>
      <c r="O177">
        <v>216978.96</v>
      </c>
      <c r="P177">
        <v>234478.81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108965.93</v>
      </c>
      <c r="W177">
        <v>0</v>
      </c>
      <c r="X177">
        <v>0</v>
      </c>
      <c r="Y177">
        <v>0</v>
      </c>
      <c r="Z177">
        <v>68627.600000000006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446533.38</v>
      </c>
      <c r="AH177">
        <v>0</v>
      </c>
      <c r="AI177">
        <v>0</v>
      </c>
      <c r="AJ177">
        <v>1018096766.7634799</v>
      </c>
    </row>
    <row r="178" spans="1:36" x14ac:dyDescent="0.25">
      <c r="A178" t="s">
        <v>495</v>
      </c>
      <c r="B178" t="s">
        <v>15</v>
      </c>
      <c r="D178">
        <v>19317.240000000002</v>
      </c>
      <c r="E178">
        <v>6766.52</v>
      </c>
      <c r="G178">
        <v>0.10081900000000001</v>
      </c>
      <c r="H178">
        <v>0</v>
      </c>
      <c r="I178">
        <v>366201.86</v>
      </c>
      <c r="J178">
        <v>394508.4</v>
      </c>
      <c r="K178">
        <v>0</v>
      </c>
      <c r="L178">
        <v>436518</v>
      </c>
      <c r="M178">
        <v>0</v>
      </c>
      <c r="N178">
        <v>167384.70000000001</v>
      </c>
      <c r="O178">
        <v>84399.34</v>
      </c>
      <c r="P178">
        <v>85306.14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469234.31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176303.99</v>
      </c>
      <c r="AH178">
        <v>0</v>
      </c>
      <c r="AI178">
        <v>0</v>
      </c>
      <c r="AJ178">
        <v>1310997503.2272999</v>
      </c>
    </row>
    <row r="179" spans="1:36" x14ac:dyDescent="0.25">
      <c r="A179" t="s">
        <v>496</v>
      </c>
      <c r="B179" t="s">
        <v>15</v>
      </c>
      <c r="C179">
        <v>6766.52</v>
      </c>
      <c r="D179">
        <v>19317.240000000002</v>
      </c>
      <c r="G179">
        <v>0.10081900000000001</v>
      </c>
      <c r="H179">
        <v>0</v>
      </c>
      <c r="I179">
        <v>393408.79</v>
      </c>
      <c r="J179">
        <v>394508.4</v>
      </c>
      <c r="K179">
        <v>0</v>
      </c>
      <c r="L179">
        <v>436518</v>
      </c>
      <c r="M179">
        <v>0</v>
      </c>
      <c r="N179">
        <v>167379.79999999999</v>
      </c>
      <c r="O179">
        <v>100488.91</v>
      </c>
      <c r="P179">
        <v>87948.26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469759.26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176303.76</v>
      </c>
      <c r="AH179">
        <v>0</v>
      </c>
      <c r="AI179">
        <v>0</v>
      </c>
      <c r="AJ179">
        <v>1377379106.06054</v>
      </c>
    </row>
    <row r="180" spans="1:36" x14ac:dyDescent="0.25">
      <c r="A180" t="s">
        <v>497</v>
      </c>
      <c r="B180" t="s">
        <v>15</v>
      </c>
      <c r="D180">
        <v>1206.44</v>
      </c>
      <c r="E180">
        <v>422.6</v>
      </c>
      <c r="G180">
        <v>6.2969999999999996E-3</v>
      </c>
      <c r="H180">
        <v>0</v>
      </c>
      <c r="I180">
        <v>7717.15</v>
      </c>
      <c r="J180">
        <v>12134.67</v>
      </c>
      <c r="K180">
        <v>0</v>
      </c>
      <c r="L180">
        <v>29466.65</v>
      </c>
      <c r="M180">
        <v>0</v>
      </c>
      <c r="N180">
        <v>54029.8</v>
      </c>
      <c r="O180">
        <v>2729.08</v>
      </c>
      <c r="P180">
        <v>2669.23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2996.25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4672.74</v>
      </c>
      <c r="AH180">
        <v>0</v>
      </c>
      <c r="AI180">
        <v>0</v>
      </c>
      <c r="AJ180">
        <v>54974195.407887802</v>
      </c>
    </row>
    <row r="181" spans="1:36" x14ac:dyDescent="0.25">
      <c r="A181" t="s">
        <v>498</v>
      </c>
      <c r="B181" t="s">
        <v>15</v>
      </c>
      <c r="C181">
        <v>422.6</v>
      </c>
      <c r="D181">
        <v>1206.44</v>
      </c>
      <c r="G181">
        <v>6.2969999999999996E-3</v>
      </c>
      <c r="H181">
        <v>0</v>
      </c>
      <c r="I181">
        <v>11182.19</v>
      </c>
      <c r="J181">
        <v>12134.67</v>
      </c>
      <c r="K181">
        <v>0</v>
      </c>
      <c r="L181">
        <v>29466.65</v>
      </c>
      <c r="M181">
        <v>0</v>
      </c>
      <c r="N181">
        <v>54029.81</v>
      </c>
      <c r="O181">
        <v>4576.53</v>
      </c>
      <c r="P181">
        <v>3437.32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2996.16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4672.74</v>
      </c>
      <c r="AH181">
        <v>0</v>
      </c>
      <c r="AI181">
        <v>0</v>
      </c>
      <c r="AJ181">
        <v>62983807.344960801</v>
      </c>
    </row>
    <row r="182" spans="1:36" x14ac:dyDescent="0.25">
      <c r="A182" t="s">
        <v>499</v>
      </c>
      <c r="B182" t="s">
        <v>15</v>
      </c>
      <c r="D182">
        <v>19399.3</v>
      </c>
      <c r="E182">
        <v>6795.27</v>
      </c>
      <c r="G182">
        <v>0.101248</v>
      </c>
      <c r="H182">
        <v>0</v>
      </c>
      <c r="I182">
        <v>366243.75</v>
      </c>
      <c r="J182">
        <v>239542.44</v>
      </c>
      <c r="K182">
        <v>0</v>
      </c>
      <c r="L182">
        <v>831153.37</v>
      </c>
      <c r="M182">
        <v>0</v>
      </c>
      <c r="N182">
        <v>168179.48</v>
      </c>
      <c r="O182">
        <v>134121.59</v>
      </c>
      <c r="P182">
        <v>139728.48000000001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209212.57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115365.77</v>
      </c>
      <c r="AH182">
        <v>0</v>
      </c>
      <c r="AI182">
        <v>0</v>
      </c>
      <c r="AJ182">
        <v>1133002441.7284</v>
      </c>
    </row>
    <row r="183" spans="1:36" x14ac:dyDescent="0.25">
      <c r="A183" t="s">
        <v>500</v>
      </c>
      <c r="B183" t="s">
        <v>15</v>
      </c>
      <c r="C183">
        <v>6795.27</v>
      </c>
      <c r="D183">
        <v>19399.3</v>
      </c>
      <c r="G183">
        <v>0.101248</v>
      </c>
      <c r="H183">
        <v>0</v>
      </c>
      <c r="I183">
        <v>474923.22</v>
      </c>
      <c r="J183">
        <v>239542.44</v>
      </c>
      <c r="K183">
        <v>0</v>
      </c>
      <c r="L183">
        <v>831153.37</v>
      </c>
      <c r="M183">
        <v>0</v>
      </c>
      <c r="N183">
        <v>168684.84</v>
      </c>
      <c r="O183">
        <v>164511.45000000001</v>
      </c>
      <c r="P183">
        <v>149063.5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208152.64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115370.66</v>
      </c>
      <c r="AH183">
        <v>0</v>
      </c>
      <c r="AI183">
        <v>0</v>
      </c>
      <c r="AJ183">
        <v>1234305767.03479</v>
      </c>
    </row>
    <row r="184" spans="1:36" x14ac:dyDescent="0.25">
      <c r="A184" t="s">
        <v>501</v>
      </c>
      <c r="B184" t="s">
        <v>15</v>
      </c>
      <c r="D184">
        <v>3378.13</v>
      </c>
      <c r="E184">
        <v>1183.31</v>
      </c>
      <c r="G184">
        <v>1.7631000000000001E-2</v>
      </c>
      <c r="H184">
        <v>0</v>
      </c>
      <c r="I184">
        <v>93838.25</v>
      </c>
      <c r="J184">
        <v>103288.37</v>
      </c>
      <c r="K184">
        <v>0</v>
      </c>
      <c r="L184">
        <v>282049.05</v>
      </c>
      <c r="M184">
        <v>0</v>
      </c>
      <c r="N184">
        <v>65374.57</v>
      </c>
      <c r="O184">
        <v>12140.72</v>
      </c>
      <c r="P184">
        <v>12270.54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75175.929999999993</v>
      </c>
      <c r="W184">
        <v>0</v>
      </c>
      <c r="X184">
        <v>0</v>
      </c>
      <c r="Y184">
        <v>0</v>
      </c>
      <c r="Z184">
        <v>65854.75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125817.16</v>
      </c>
      <c r="AH184">
        <v>0</v>
      </c>
      <c r="AI184">
        <v>0</v>
      </c>
      <c r="AJ184">
        <v>282314415.62586999</v>
      </c>
    </row>
    <row r="185" spans="1:36" x14ac:dyDescent="0.25">
      <c r="A185" t="s">
        <v>502</v>
      </c>
      <c r="B185" t="s">
        <v>15</v>
      </c>
      <c r="C185">
        <v>1183.31</v>
      </c>
      <c r="D185">
        <v>3378.13</v>
      </c>
      <c r="G185">
        <v>1.7631000000000001E-2</v>
      </c>
      <c r="H185">
        <v>0</v>
      </c>
      <c r="I185">
        <v>98450.45</v>
      </c>
      <c r="J185">
        <v>103288.37</v>
      </c>
      <c r="K185">
        <v>0</v>
      </c>
      <c r="L185">
        <v>282049.05</v>
      </c>
      <c r="M185">
        <v>0</v>
      </c>
      <c r="N185">
        <v>65428.97</v>
      </c>
      <c r="O185">
        <v>13486.18</v>
      </c>
      <c r="P185">
        <v>12318.18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75201.73</v>
      </c>
      <c r="W185">
        <v>0</v>
      </c>
      <c r="X185">
        <v>0</v>
      </c>
      <c r="Y185">
        <v>0</v>
      </c>
      <c r="Z185">
        <v>65854.75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125829.6</v>
      </c>
      <c r="AH185">
        <v>0</v>
      </c>
      <c r="AI185">
        <v>0</v>
      </c>
      <c r="AJ185">
        <v>300547478.831644</v>
      </c>
    </row>
    <row r="186" spans="1:36" x14ac:dyDescent="0.25">
      <c r="A186" t="s">
        <v>503</v>
      </c>
      <c r="B186" t="s">
        <v>15</v>
      </c>
      <c r="D186">
        <v>33148.99</v>
      </c>
      <c r="E186">
        <v>11611.56</v>
      </c>
      <c r="G186">
        <v>0.173009</v>
      </c>
      <c r="H186">
        <v>0</v>
      </c>
      <c r="I186">
        <v>670992.52</v>
      </c>
      <c r="J186">
        <v>626942.71</v>
      </c>
      <c r="K186">
        <v>0</v>
      </c>
      <c r="L186">
        <v>1141299.43</v>
      </c>
      <c r="M186">
        <v>0</v>
      </c>
      <c r="N186">
        <v>292060.45</v>
      </c>
      <c r="O186">
        <v>282426.78999999998</v>
      </c>
      <c r="P186">
        <v>290843.08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727484.56</v>
      </c>
      <c r="W186">
        <v>0</v>
      </c>
      <c r="X186">
        <v>0</v>
      </c>
      <c r="Y186">
        <v>0</v>
      </c>
      <c r="Z186">
        <v>43737.51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274247.21000000002</v>
      </c>
      <c r="AH186">
        <v>0</v>
      </c>
      <c r="AI186">
        <v>0</v>
      </c>
      <c r="AJ186">
        <v>1915116813.91974</v>
      </c>
    </row>
    <row r="187" spans="1:36" x14ac:dyDescent="0.25">
      <c r="A187" t="s">
        <v>504</v>
      </c>
      <c r="B187" t="s">
        <v>15</v>
      </c>
      <c r="C187">
        <v>11611.56</v>
      </c>
      <c r="D187">
        <v>33148.99</v>
      </c>
      <c r="G187">
        <v>0.173009</v>
      </c>
      <c r="H187">
        <v>0</v>
      </c>
      <c r="I187">
        <v>831856.78</v>
      </c>
      <c r="J187">
        <v>626942.71</v>
      </c>
      <c r="K187">
        <v>0</v>
      </c>
      <c r="L187">
        <v>1141299.43</v>
      </c>
      <c r="M187">
        <v>0</v>
      </c>
      <c r="N187">
        <v>292475.81</v>
      </c>
      <c r="O187">
        <v>338947.28</v>
      </c>
      <c r="P187">
        <v>303312.69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721607.57</v>
      </c>
      <c r="W187">
        <v>0</v>
      </c>
      <c r="X187">
        <v>0</v>
      </c>
      <c r="Y187">
        <v>0</v>
      </c>
      <c r="Z187">
        <v>43737.51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274265.32</v>
      </c>
      <c r="AH187">
        <v>0</v>
      </c>
      <c r="AI187">
        <v>0</v>
      </c>
      <c r="AJ187">
        <v>1964154800.5350699</v>
      </c>
    </row>
    <row r="188" spans="1:36" x14ac:dyDescent="0.25">
      <c r="A188" t="s">
        <v>505</v>
      </c>
      <c r="B188" t="s">
        <v>15</v>
      </c>
      <c r="D188">
        <v>3930.94</v>
      </c>
      <c r="E188">
        <v>1376.95</v>
      </c>
      <c r="G188">
        <v>2.0516E-2</v>
      </c>
      <c r="H188">
        <v>0</v>
      </c>
      <c r="I188">
        <v>99768.88</v>
      </c>
      <c r="J188">
        <v>94437.9</v>
      </c>
      <c r="K188">
        <v>0</v>
      </c>
      <c r="L188">
        <v>258328.15</v>
      </c>
      <c r="M188">
        <v>0</v>
      </c>
      <c r="N188">
        <v>311887.09999999998</v>
      </c>
      <c r="O188">
        <v>15190.53</v>
      </c>
      <c r="P188">
        <v>16004.27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117837.58</v>
      </c>
      <c r="W188">
        <v>0</v>
      </c>
      <c r="X188">
        <v>0</v>
      </c>
      <c r="Y188">
        <v>0</v>
      </c>
      <c r="Z188">
        <v>64094.3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231751.64</v>
      </c>
      <c r="AH188">
        <v>0</v>
      </c>
      <c r="AI188">
        <v>0</v>
      </c>
      <c r="AJ188">
        <v>461263991.799667</v>
      </c>
    </row>
    <row r="189" spans="1:36" x14ac:dyDescent="0.25">
      <c r="A189" t="s">
        <v>506</v>
      </c>
      <c r="B189" t="s">
        <v>15</v>
      </c>
      <c r="C189">
        <v>18483.740000000002</v>
      </c>
      <c r="D189">
        <v>52767.87</v>
      </c>
      <c r="G189">
        <v>0.27540300000000001</v>
      </c>
      <c r="H189">
        <v>0</v>
      </c>
      <c r="I189">
        <v>1054883.08</v>
      </c>
      <c r="J189">
        <v>643032.05000000005</v>
      </c>
      <c r="K189">
        <v>0</v>
      </c>
      <c r="L189">
        <v>3553012.2</v>
      </c>
      <c r="M189">
        <v>0</v>
      </c>
      <c r="N189">
        <v>861527.5</v>
      </c>
      <c r="O189">
        <v>222187.46</v>
      </c>
      <c r="P189">
        <v>201863.33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512172.63</v>
      </c>
      <c r="W189">
        <v>0</v>
      </c>
      <c r="X189">
        <v>0</v>
      </c>
      <c r="Y189">
        <v>0</v>
      </c>
      <c r="Z189">
        <v>127428.8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736922.58</v>
      </c>
      <c r="AH189">
        <v>0</v>
      </c>
      <c r="AI189">
        <v>0</v>
      </c>
      <c r="AJ189">
        <v>3244715095.2863498</v>
      </c>
    </row>
    <row r="190" spans="1:36" x14ac:dyDescent="0.25">
      <c r="A190" t="s">
        <v>507</v>
      </c>
      <c r="B190" t="s">
        <v>15</v>
      </c>
      <c r="D190">
        <v>25073.7</v>
      </c>
      <c r="E190">
        <v>8782.92</v>
      </c>
      <c r="G190">
        <v>0.13086300000000001</v>
      </c>
      <c r="H190">
        <v>0</v>
      </c>
      <c r="I190">
        <v>362711.16</v>
      </c>
      <c r="J190">
        <v>163686.57</v>
      </c>
      <c r="K190">
        <v>0</v>
      </c>
      <c r="L190">
        <v>936314.72</v>
      </c>
      <c r="M190">
        <v>0</v>
      </c>
      <c r="N190">
        <v>234771.47</v>
      </c>
      <c r="O190">
        <v>170944.38</v>
      </c>
      <c r="P190">
        <v>182799.54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233878.9</v>
      </c>
      <c r="W190">
        <v>0</v>
      </c>
      <c r="X190">
        <v>0</v>
      </c>
      <c r="Y190">
        <v>0</v>
      </c>
      <c r="Z190">
        <v>68627.600000000006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484969.44</v>
      </c>
      <c r="AH190">
        <v>0</v>
      </c>
      <c r="AI190">
        <v>0</v>
      </c>
      <c r="AJ190">
        <v>1001376452.51265</v>
      </c>
    </row>
    <row r="191" spans="1:36" x14ac:dyDescent="0.25">
      <c r="A191" t="s">
        <v>508</v>
      </c>
      <c r="B191" t="s">
        <v>15</v>
      </c>
      <c r="D191">
        <v>52767.87</v>
      </c>
      <c r="E191">
        <v>18483.740000000002</v>
      </c>
      <c r="G191">
        <v>0.27540300000000001</v>
      </c>
      <c r="H191">
        <v>0</v>
      </c>
      <c r="I191">
        <v>961691.89</v>
      </c>
      <c r="J191">
        <v>643032.05000000005</v>
      </c>
      <c r="K191">
        <v>0</v>
      </c>
      <c r="L191">
        <v>3553012.2</v>
      </c>
      <c r="M191">
        <v>0</v>
      </c>
      <c r="N191">
        <v>861318.26</v>
      </c>
      <c r="O191">
        <v>193177.01</v>
      </c>
      <c r="P191">
        <v>200289.54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511447.29</v>
      </c>
      <c r="W191">
        <v>0</v>
      </c>
      <c r="X191">
        <v>0</v>
      </c>
      <c r="Y191">
        <v>0</v>
      </c>
      <c r="Z191">
        <v>127428.8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736918.55</v>
      </c>
      <c r="AH191">
        <v>0</v>
      </c>
      <c r="AI191">
        <v>0</v>
      </c>
      <c r="AJ191">
        <v>3032915251.0020099</v>
      </c>
    </row>
    <row r="192" spans="1:36" x14ac:dyDescent="0.25">
      <c r="A192" t="s">
        <v>509</v>
      </c>
      <c r="B192" t="s">
        <v>15</v>
      </c>
      <c r="C192">
        <v>1376.95</v>
      </c>
      <c r="D192">
        <v>3930.94</v>
      </c>
      <c r="G192">
        <v>2.0516E-2</v>
      </c>
      <c r="H192">
        <v>0</v>
      </c>
      <c r="I192">
        <v>110587.85</v>
      </c>
      <c r="J192">
        <v>94437.9</v>
      </c>
      <c r="K192">
        <v>0</v>
      </c>
      <c r="L192">
        <v>258328.15</v>
      </c>
      <c r="M192">
        <v>0</v>
      </c>
      <c r="N192">
        <v>312050.78000000003</v>
      </c>
      <c r="O192">
        <v>17405.419999999998</v>
      </c>
      <c r="P192">
        <v>16090.82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117503.35</v>
      </c>
      <c r="W192">
        <v>0</v>
      </c>
      <c r="X192">
        <v>0</v>
      </c>
      <c r="Y192">
        <v>0</v>
      </c>
      <c r="Z192">
        <v>64094.3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231749.16</v>
      </c>
      <c r="AH192">
        <v>0</v>
      </c>
      <c r="AI192">
        <v>0</v>
      </c>
      <c r="AJ192">
        <v>484913301.87108201</v>
      </c>
    </row>
    <row r="193" spans="1:36" x14ac:dyDescent="0.25">
      <c r="A193" t="s">
        <v>510</v>
      </c>
      <c r="B193" t="s">
        <v>15</v>
      </c>
      <c r="C193">
        <v>8782.92</v>
      </c>
      <c r="D193">
        <v>25073.7</v>
      </c>
      <c r="G193">
        <v>0.13086300000000001</v>
      </c>
      <c r="H193">
        <v>0</v>
      </c>
      <c r="I193">
        <v>567646.07999999996</v>
      </c>
      <c r="J193">
        <v>163686.57</v>
      </c>
      <c r="K193">
        <v>0</v>
      </c>
      <c r="L193">
        <v>936314.72</v>
      </c>
      <c r="M193">
        <v>0</v>
      </c>
      <c r="N193">
        <v>235327.49</v>
      </c>
      <c r="O193">
        <v>203203.75</v>
      </c>
      <c r="P193">
        <v>187596.96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234354.88</v>
      </c>
      <c r="W193">
        <v>0</v>
      </c>
      <c r="X193">
        <v>0</v>
      </c>
      <c r="Y193">
        <v>0</v>
      </c>
      <c r="Z193">
        <v>68627.600000000006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484950.86</v>
      </c>
      <c r="AH193">
        <v>0</v>
      </c>
      <c r="AI193">
        <v>0</v>
      </c>
      <c r="AJ193">
        <v>1136625605.9862199</v>
      </c>
    </row>
    <row r="194" spans="1:36" x14ac:dyDescent="0.25">
      <c r="A194" t="s">
        <v>511</v>
      </c>
      <c r="B194" t="s">
        <v>14</v>
      </c>
      <c r="C194">
        <v>7937.29</v>
      </c>
      <c r="D194">
        <v>22659.57</v>
      </c>
      <c r="G194">
        <v>0.11826299999999999</v>
      </c>
      <c r="H194">
        <v>0</v>
      </c>
      <c r="I194">
        <v>583761.06999999995</v>
      </c>
      <c r="J194">
        <v>394508.4</v>
      </c>
      <c r="K194">
        <v>0</v>
      </c>
      <c r="L194">
        <v>436518</v>
      </c>
      <c r="M194">
        <v>0</v>
      </c>
      <c r="N194">
        <v>207884.91</v>
      </c>
      <c r="O194">
        <v>117841.83</v>
      </c>
      <c r="P194">
        <v>106086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579481.44999999995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170237.69</v>
      </c>
      <c r="AH194">
        <v>0</v>
      </c>
      <c r="AI194">
        <v>0</v>
      </c>
      <c r="AJ194">
        <v>2075391600.6591301</v>
      </c>
    </row>
    <row r="195" spans="1:36" x14ac:dyDescent="0.25">
      <c r="A195" t="s">
        <v>512</v>
      </c>
      <c r="B195" t="s">
        <v>14</v>
      </c>
      <c r="D195">
        <v>22659.57</v>
      </c>
      <c r="E195">
        <v>7937.29</v>
      </c>
      <c r="G195">
        <v>0.11826299999999999</v>
      </c>
      <c r="H195">
        <v>0</v>
      </c>
      <c r="I195">
        <v>512008.73</v>
      </c>
      <c r="J195">
        <v>394508.4</v>
      </c>
      <c r="K195">
        <v>0</v>
      </c>
      <c r="L195">
        <v>436518</v>
      </c>
      <c r="M195">
        <v>0</v>
      </c>
      <c r="N195">
        <v>207663.17</v>
      </c>
      <c r="O195">
        <v>100348.35</v>
      </c>
      <c r="P195">
        <v>102616.69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578086.86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170237.53</v>
      </c>
      <c r="AH195">
        <v>0</v>
      </c>
      <c r="AI195">
        <v>0</v>
      </c>
      <c r="AJ195">
        <v>1980456920.8998101</v>
      </c>
    </row>
    <row r="196" spans="1:36" x14ac:dyDescent="0.25">
      <c r="A196" t="s">
        <v>513</v>
      </c>
      <c r="B196" t="s">
        <v>14</v>
      </c>
      <c r="D196">
        <v>1349.53</v>
      </c>
      <c r="E196">
        <v>472.72</v>
      </c>
      <c r="G196">
        <v>7.0429999999999998E-3</v>
      </c>
      <c r="H196">
        <v>0</v>
      </c>
      <c r="I196">
        <v>13560.63</v>
      </c>
      <c r="J196">
        <v>12134.67</v>
      </c>
      <c r="K196">
        <v>0</v>
      </c>
      <c r="L196">
        <v>29466.65</v>
      </c>
      <c r="M196">
        <v>0</v>
      </c>
      <c r="N196">
        <v>56910.03</v>
      </c>
      <c r="O196">
        <v>3620.56</v>
      </c>
      <c r="P196">
        <v>3714.18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2349.17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4532.5600000000004</v>
      </c>
      <c r="AH196">
        <v>0</v>
      </c>
      <c r="AI196">
        <v>0</v>
      </c>
      <c r="AJ196">
        <v>86671101.702216893</v>
      </c>
    </row>
    <row r="197" spans="1:36" x14ac:dyDescent="0.25">
      <c r="A197" t="s">
        <v>514</v>
      </c>
      <c r="B197" t="s">
        <v>14</v>
      </c>
      <c r="C197">
        <v>472.72</v>
      </c>
      <c r="D197">
        <v>1349.53</v>
      </c>
      <c r="G197">
        <v>7.0429999999999998E-3</v>
      </c>
      <c r="H197">
        <v>0</v>
      </c>
      <c r="I197">
        <v>21339.93</v>
      </c>
      <c r="J197">
        <v>12134.67</v>
      </c>
      <c r="K197">
        <v>0</v>
      </c>
      <c r="L197">
        <v>29466.65</v>
      </c>
      <c r="M197">
        <v>0</v>
      </c>
      <c r="N197">
        <v>56909.98</v>
      </c>
      <c r="O197">
        <v>5634.07</v>
      </c>
      <c r="P197">
        <v>4463.28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2349.17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4532.5600000000004</v>
      </c>
      <c r="AH197">
        <v>0</v>
      </c>
      <c r="AI197">
        <v>0</v>
      </c>
      <c r="AJ197">
        <v>102787242.13045999</v>
      </c>
    </row>
    <row r="198" spans="1:36" x14ac:dyDescent="0.25">
      <c r="A198" t="s">
        <v>515</v>
      </c>
      <c r="B198" t="s">
        <v>14</v>
      </c>
      <c r="D198">
        <v>21701.23</v>
      </c>
      <c r="E198">
        <v>7601.6</v>
      </c>
      <c r="G198">
        <v>0.113262</v>
      </c>
      <c r="H198">
        <v>0</v>
      </c>
      <c r="I198">
        <v>537564.18000000005</v>
      </c>
      <c r="J198">
        <v>239542.44</v>
      </c>
      <c r="K198">
        <v>0</v>
      </c>
      <c r="L198">
        <v>831153.37</v>
      </c>
      <c r="M198">
        <v>0</v>
      </c>
      <c r="N198">
        <v>192351.13</v>
      </c>
      <c r="O198">
        <v>155148.75</v>
      </c>
      <c r="P198">
        <v>164283.81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288976.68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111402.07</v>
      </c>
      <c r="AH198">
        <v>0</v>
      </c>
      <c r="AI198">
        <v>0</v>
      </c>
      <c r="AJ198">
        <v>1485346893.5016301</v>
      </c>
    </row>
    <row r="199" spans="1:36" x14ac:dyDescent="0.25">
      <c r="A199" t="s">
        <v>516</v>
      </c>
      <c r="B199" t="s">
        <v>14</v>
      </c>
      <c r="C199">
        <v>7601.6</v>
      </c>
      <c r="D199">
        <v>21701.23</v>
      </c>
      <c r="G199">
        <v>0.113262</v>
      </c>
      <c r="H199">
        <v>0</v>
      </c>
      <c r="I199">
        <v>675578.36</v>
      </c>
      <c r="J199">
        <v>239542.44</v>
      </c>
      <c r="K199">
        <v>0</v>
      </c>
      <c r="L199">
        <v>831153.37</v>
      </c>
      <c r="M199">
        <v>0</v>
      </c>
      <c r="N199">
        <v>192452.04</v>
      </c>
      <c r="O199">
        <v>186021.87</v>
      </c>
      <c r="P199">
        <v>172062.87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286274.55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111398.72</v>
      </c>
      <c r="AH199">
        <v>0</v>
      </c>
      <c r="AI199">
        <v>0</v>
      </c>
      <c r="AJ199">
        <v>1743661569.73316</v>
      </c>
    </row>
    <row r="200" spans="1:36" x14ac:dyDescent="0.25">
      <c r="A200" t="s">
        <v>517</v>
      </c>
      <c r="B200" t="s">
        <v>14</v>
      </c>
      <c r="D200">
        <v>3837.58</v>
      </c>
      <c r="E200">
        <v>1344.24</v>
      </c>
      <c r="G200">
        <v>2.0029000000000002E-2</v>
      </c>
      <c r="H200">
        <v>0</v>
      </c>
      <c r="I200">
        <v>125054.12</v>
      </c>
      <c r="J200">
        <v>103288.37</v>
      </c>
      <c r="K200">
        <v>0</v>
      </c>
      <c r="L200">
        <v>282049.05</v>
      </c>
      <c r="M200">
        <v>0</v>
      </c>
      <c r="N200">
        <v>74880.34</v>
      </c>
      <c r="O200">
        <v>15382.56</v>
      </c>
      <c r="P200">
        <v>15764.65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71941.37</v>
      </c>
      <c r="W200">
        <v>0</v>
      </c>
      <c r="X200">
        <v>0</v>
      </c>
      <c r="Y200">
        <v>0</v>
      </c>
      <c r="Z200">
        <v>65854.75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121497.76</v>
      </c>
      <c r="AH200">
        <v>0</v>
      </c>
      <c r="AI200">
        <v>0</v>
      </c>
      <c r="AJ200">
        <v>416904497.117594</v>
      </c>
    </row>
    <row r="201" spans="1:36" x14ac:dyDescent="0.25">
      <c r="A201" t="s">
        <v>518</v>
      </c>
      <c r="B201" t="s">
        <v>14</v>
      </c>
      <c r="C201">
        <v>1344.24</v>
      </c>
      <c r="D201">
        <v>3837.58</v>
      </c>
      <c r="G201">
        <v>2.0029000000000002E-2</v>
      </c>
      <c r="H201">
        <v>0</v>
      </c>
      <c r="I201">
        <v>140389.98000000001</v>
      </c>
      <c r="J201">
        <v>103288.37</v>
      </c>
      <c r="K201">
        <v>0</v>
      </c>
      <c r="L201">
        <v>282049.05</v>
      </c>
      <c r="M201">
        <v>0</v>
      </c>
      <c r="N201">
        <v>74878.39</v>
      </c>
      <c r="O201">
        <v>17105.34</v>
      </c>
      <c r="P201">
        <v>15809.27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71959.820000000007</v>
      </c>
      <c r="W201">
        <v>0</v>
      </c>
      <c r="X201">
        <v>0</v>
      </c>
      <c r="Y201">
        <v>0</v>
      </c>
      <c r="Z201">
        <v>65854.75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121495.08</v>
      </c>
      <c r="AH201">
        <v>0</v>
      </c>
      <c r="AI201">
        <v>0</v>
      </c>
      <c r="AJ201">
        <v>443685321.16514999</v>
      </c>
    </row>
    <row r="202" spans="1:36" x14ac:dyDescent="0.25">
      <c r="A202" t="s">
        <v>519</v>
      </c>
      <c r="B202" t="s">
        <v>14</v>
      </c>
      <c r="D202">
        <v>4621.07</v>
      </c>
      <c r="E202">
        <v>1618.69</v>
      </c>
      <c r="G202">
        <v>2.4118000000000001E-2</v>
      </c>
      <c r="H202">
        <v>0</v>
      </c>
      <c r="I202">
        <v>149966.82</v>
      </c>
      <c r="J202">
        <v>94437.9</v>
      </c>
      <c r="K202">
        <v>0</v>
      </c>
      <c r="L202">
        <v>258328.15</v>
      </c>
      <c r="M202">
        <v>0</v>
      </c>
      <c r="N202">
        <v>333148.19</v>
      </c>
      <c r="O202">
        <v>18827.509999999998</v>
      </c>
      <c r="P202">
        <v>20089.84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119778.56</v>
      </c>
      <c r="W202">
        <v>0</v>
      </c>
      <c r="X202">
        <v>0</v>
      </c>
      <c r="Y202">
        <v>0</v>
      </c>
      <c r="Z202">
        <v>64094.3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223735.46</v>
      </c>
      <c r="AH202">
        <v>0</v>
      </c>
      <c r="AI202">
        <v>0</v>
      </c>
      <c r="AJ202">
        <v>757143144.57918894</v>
      </c>
    </row>
    <row r="203" spans="1:36" x14ac:dyDescent="0.25">
      <c r="A203" t="s">
        <v>520</v>
      </c>
      <c r="B203" t="s">
        <v>14</v>
      </c>
      <c r="D203">
        <v>37305.379999999997</v>
      </c>
      <c r="E203">
        <v>13067.48</v>
      </c>
      <c r="G203">
        <v>0.19470199999999999</v>
      </c>
      <c r="H203">
        <v>0</v>
      </c>
      <c r="I203">
        <v>970955.69</v>
      </c>
      <c r="J203">
        <v>626942.71</v>
      </c>
      <c r="K203">
        <v>0</v>
      </c>
      <c r="L203">
        <v>1141299.43</v>
      </c>
      <c r="M203">
        <v>0</v>
      </c>
      <c r="N203">
        <v>356921.38</v>
      </c>
      <c r="O203">
        <v>322956.28000000003</v>
      </c>
      <c r="P203">
        <v>338359.79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899599.31</v>
      </c>
      <c r="W203">
        <v>0</v>
      </c>
      <c r="X203">
        <v>0</v>
      </c>
      <c r="Y203">
        <v>0</v>
      </c>
      <c r="Z203">
        <v>43737.51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264811.12</v>
      </c>
      <c r="AH203">
        <v>0</v>
      </c>
      <c r="AI203">
        <v>0</v>
      </c>
      <c r="AJ203">
        <v>2809295009.7630301</v>
      </c>
    </row>
    <row r="204" spans="1:36" x14ac:dyDescent="0.25">
      <c r="A204" t="s">
        <v>521</v>
      </c>
      <c r="B204" t="s">
        <v>14</v>
      </c>
      <c r="C204">
        <v>13067.48</v>
      </c>
      <c r="D204">
        <v>37305.379999999997</v>
      </c>
      <c r="G204">
        <v>0.19470199999999999</v>
      </c>
      <c r="H204">
        <v>0</v>
      </c>
      <c r="I204">
        <v>1172809.26</v>
      </c>
      <c r="J204">
        <v>626942.71</v>
      </c>
      <c r="K204">
        <v>0</v>
      </c>
      <c r="L204">
        <v>1141299.43</v>
      </c>
      <c r="M204">
        <v>0</v>
      </c>
      <c r="N204">
        <v>357697.54</v>
      </c>
      <c r="O204">
        <v>384209.78</v>
      </c>
      <c r="P204">
        <v>351777.19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894297.16</v>
      </c>
      <c r="W204">
        <v>0</v>
      </c>
      <c r="X204">
        <v>0</v>
      </c>
      <c r="Y204">
        <v>0</v>
      </c>
      <c r="Z204">
        <v>43737.51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264794.14</v>
      </c>
      <c r="AH204">
        <v>0</v>
      </c>
      <c r="AI204">
        <v>0</v>
      </c>
      <c r="AJ204">
        <v>2908486961.9923501</v>
      </c>
    </row>
    <row r="205" spans="1:36" x14ac:dyDescent="0.25">
      <c r="A205" t="s">
        <v>522</v>
      </c>
      <c r="B205" t="s">
        <v>14</v>
      </c>
      <c r="D205">
        <v>59272.37</v>
      </c>
      <c r="E205">
        <v>20762.169999999998</v>
      </c>
      <c r="G205">
        <v>0.30935099999999999</v>
      </c>
      <c r="H205">
        <v>0</v>
      </c>
      <c r="I205">
        <v>1353239.19</v>
      </c>
      <c r="J205">
        <v>643032.05000000005</v>
      </c>
      <c r="K205">
        <v>0</v>
      </c>
      <c r="L205">
        <v>3553012.2</v>
      </c>
      <c r="M205">
        <v>0</v>
      </c>
      <c r="N205">
        <v>945231.48</v>
      </c>
      <c r="O205">
        <v>238636.45</v>
      </c>
      <c r="P205">
        <v>252096.1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649764.15</v>
      </c>
      <c r="W205">
        <v>0</v>
      </c>
      <c r="X205">
        <v>0</v>
      </c>
      <c r="Y205">
        <v>0</v>
      </c>
      <c r="Z205">
        <v>127428.8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711126.93</v>
      </c>
      <c r="AH205">
        <v>0</v>
      </c>
      <c r="AI205">
        <v>0</v>
      </c>
      <c r="AJ205">
        <v>5810176334.65205</v>
      </c>
    </row>
    <row r="206" spans="1:36" x14ac:dyDescent="0.25">
      <c r="A206" t="s">
        <v>523</v>
      </c>
      <c r="B206" t="s">
        <v>14</v>
      </c>
      <c r="C206">
        <v>1618.69</v>
      </c>
      <c r="D206">
        <v>4621.07</v>
      </c>
      <c r="G206">
        <v>2.4118000000000001E-2</v>
      </c>
      <c r="H206">
        <v>0</v>
      </c>
      <c r="I206">
        <v>173275.65</v>
      </c>
      <c r="J206">
        <v>94437.9</v>
      </c>
      <c r="K206">
        <v>0</v>
      </c>
      <c r="L206">
        <v>258328.15</v>
      </c>
      <c r="M206">
        <v>0</v>
      </c>
      <c r="N206">
        <v>333124.14</v>
      </c>
      <c r="O206">
        <v>21825.41</v>
      </c>
      <c r="P206">
        <v>20269.98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119681.59</v>
      </c>
      <c r="W206">
        <v>0</v>
      </c>
      <c r="X206">
        <v>0</v>
      </c>
      <c r="Y206">
        <v>0</v>
      </c>
      <c r="Z206">
        <v>64094.3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223734.88</v>
      </c>
      <c r="AH206">
        <v>0</v>
      </c>
      <c r="AI206">
        <v>0</v>
      </c>
      <c r="AJ206">
        <v>810166832.01511002</v>
      </c>
    </row>
    <row r="207" spans="1:36" x14ac:dyDescent="0.25">
      <c r="A207" t="s">
        <v>524</v>
      </c>
      <c r="B207" t="s">
        <v>14</v>
      </c>
      <c r="C207">
        <v>20762.169999999998</v>
      </c>
      <c r="D207">
        <v>59272.37</v>
      </c>
      <c r="G207">
        <v>0.30935099999999999</v>
      </c>
      <c r="H207">
        <v>0</v>
      </c>
      <c r="I207">
        <v>1585149.43</v>
      </c>
      <c r="J207">
        <v>643032.05000000005</v>
      </c>
      <c r="K207">
        <v>0</v>
      </c>
      <c r="L207">
        <v>3553012.2</v>
      </c>
      <c r="M207">
        <v>0</v>
      </c>
      <c r="N207">
        <v>945097.74</v>
      </c>
      <c r="O207">
        <v>274781.03000000003</v>
      </c>
      <c r="P207">
        <v>253729.29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651151.22</v>
      </c>
      <c r="W207">
        <v>0</v>
      </c>
      <c r="X207">
        <v>0</v>
      </c>
      <c r="Y207">
        <v>0</v>
      </c>
      <c r="Z207">
        <v>127428.8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711030.46</v>
      </c>
      <c r="AH207">
        <v>0</v>
      </c>
      <c r="AI207">
        <v>0</v>
      </c>
      <c r="AJ207">
        <v>6187944841.0809498</v>
      </c>
    </row>
    <row r="208" spans="1:36" x14ac:dyDescent="0.25">
      <c r="A208" t="s">
        <v>525</v>
      </c>
      <c r="B208" t="s">
        <v>14</v>
      </c>
      <c r="D208">
        <v>29337.02</v>
      </c>
      <c r="E208">
        <v>10276.290000000001</v>
      </c>
      <c r="G208">
        <v>0.153114</v>
      </c>
      <c r="H208">
        <v>0</v>
      </c>
      <c r="I208">
        <v>515721.89</v>
      </c>
      <c r="J208">
        <v>163686.57</v>
      </c>
      <c r="K208">
        <v>0</v>
      </c>
      <c r="L208">
        <v>936314.72</v>
      </c>
      <c r="M208">
        <v>0</v>
      </c>
      <c r="N208">
        <v>266872.49</v>
      </c>
      <c r="O208">
        <v>202349.6</v>
      </c>
      <c r="P208">
        <v>218206.78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271476.44</v>
      </c>
      <c r="W208">
        <v>0</v>
      </c>
      <c r="X208">
        <v>0</v>
      </c>
      <c r="Y208">
        <v>0</v>
      </c>
      <c r="Z208">
        <v>68627.600000000006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467625.91</v>
      </c>
      <c r="AH208">
        <v>0</v>
      </c>
      <c r="AI208">
        <v>0</v>
      </c>
      <c r="AJ208">
        <v>2012462045.6386499</v>
      </c>
    </row>
    <row r="209" spans="1:36" x14ac:dyDescent="0.25">
      <c r="A209" t="s">
        <v>526</v>
      </c>
      <c r="B209" t="s">
        <v>14</v>
      </c>
      <c r="C209">
        <v>10276.290000000001</v>
      </c>
      <c r="D209">
        <v>29337.02</v>
      </c>
      <c r="G209">
        <v>0.153114</v>
      </c>
      <c r="H209">
        <v>0</v>
      </c>
      <c r="I209">
        <v>828184.47</v>
      </c>
      <c r="J209">
        <v>163686.57</v>
      </c>
      <c r="K209">
        <v>0</v>
      </c>
      <c r="L209">
        <v>936314.72</v>
      </c>
      <c r="M209">
        <v>0</v>
      </c>
      <c r="N209">
        <v>267067.25</v>
      </c>
      <c r="O209">
        <v>239615.29</v>
      </c>
      <c r="P209">
        <v>223084.09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273205.90999999997</v>
      </c>
      <c r="W209">
        <v>0</v>
      </c>
      <c r="X209">
        <v>0</v>
      </c>
      <c r="Y209">
        <v>0</v>
      </c>
      <c r="Z209">
        <v>68627.600000000006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467629.04</v>
      </c>
      <c r="AH209">
        <v>0</v>
      </c>
      <c r="AI209">
        <v>0</v>
      </c>
      <c r="AJ209">
        <v>2212359865.7895098</v>
      </c>
    </row>
    <row r="210" spans="1:36" x14ac:dyDescent="0.25">
      <c r="A210" t="s">
        <v>527</v>
      </c>
      <c r="B210" t="s">
        <v>13</v>
      </c>
      <c r="D210">
        <v>20587.900000000001</v>
      </c>
      <c r="E210">
        <v>7211.61</v>
      </c>
      <c r="G210">
        <v>0.107451</v>
      </c>
      <c r="H210">
        <v>0</v>
      </c>
      <c r="I210">
        <v>302602.57</v>
      </c>
      <c r="J210">
        <v>394508.4</v>
      </c>
      <c r="K210">
        <v>0</v>
      </c>
      <c r="L210">
        <v>436518</v>
      </c>
      <c r="M210">
        <v>0</v>
      </c>
      <c r="N210">
        <v>165120.98000000001</v>
      </c>
      <c r="O210">
        <v>79245.5</v>
      </c>
      <c r="P210">
        <v>82473.919999999998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475923.25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176286.64</v>
      </c>
      <c r="AH210">
        <v>0</v>
      </c>
      <c r="AI210">
        <v>0</v>
      </c>
      <c r="AJ210">
        <v>1708119088.8724899</v>
      </c>
    </row>
    <row r="211" spans="1:36" x14ac:dyDescent="0.25">
      <c r="A211" t="s">
        <v>528</v>
      </c>
      <c r="B211" t="s">
        <v>13</v>
      </c>
      <c r="C211">
        <v>7211.61</v>
      </c>
      <c r="D211">
        <v>20587.900000000001</v>
      </c>
      <c r="G211">
        <v>0.107451</v>
      </c>
      <c r="H211">
        <v>0</v>
      </c>
      <c r="I211">
        <v>336744.24</v>
      </c>
      <c r="J211">
        <v>394508.4</v>
      </c>
      <c r="K211">
        <v>0</v>
      </c>
      <c r="L211">
        <v>436518</v>
      </c>
      <c r="M211">
        <v>0</v>
      </c>
      <c r="N211">
        <v>165118.93</v>
      </c>
      <c r="O211">
        <v>95243.73</v>
      </c>
      <c r="P211">
        <v>85350.58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476332.28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176286.24</v>
      </c>
      <c r="AH211">
        <v>0</v>
      </c>
      <c r="AI211">
        <v>0</v>
      </c>
      <c r="AJ211">
        <v>1764914568.9592299</v>
      </c>
    </row>
    <row r="212" spans="1:36" x14ac:dyDescent="0.25">
      <c r="A212" t="s">
        <v>529</v>
      </c>
      <c r="B212" t="s">
        <v>13</v>
      </c>
      <c r="D212">
        <v>1300.9000000000001</v>
      </c>
      <c r="E212">
        <v>455.68</v>
      </c>
      <c r="G212">
        <v>6.79E-3</v>
      </c>
      <c r="H212">
        <v>0</v>
      </c>
      <c r="I212">
        <v>5955.52</v>
      </c>
      <c r="J212">
        <v>12134.67</v>
      </c>
      <c r="K212">
        <v>0</v>
      </c>
      <c r="L212">
        <v>29466.65</v>
      </c>
      <c r="M212">
        <v>0</v>
      </c>
      <c r="N212">
        <v>55412.959999999999</v>
      </c>
      <c r="O212">
        <v>2642.21</v>
      </c>
      <c r="P212">
        <v>2578.13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3632.97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4672.42</v>
      </c>
      <c r="AH212">
        <v>0</v>
      </c>
      <c r="AI212">
        <v>0</v>
      </c>
      <c r="AJ212">
        <v>69535291.864686206</v>
      </c>
    </row>
    <row r="213" spans="1:36" x14ac:dyDescent="0.25">
      <c r="A213" t="s">
        <v>530</v>
      </c>
      <c r="B213" t="s">
        <v>13</v>
      </c>
      <c r="C213">
        <v>455.68</v>
      </c>
      <c r="D213">
        <v>1300.9000000000001</v>
      </c>
      <c r="G213">
        <v>6.79E-3</v>
      </c>
      <c r="H213">
        <v>0</v>
      </c>
      <c r="I213">
        <v>8804.49</v>
      </c>
      <c r="J213">
        <v>12134.67</v>
      </c>
      <c r="K213">
        <v>0</v>
      </c>
      <c r="L213">
        <v>29466.65</v>
      </c>
      <c r="M213">
        <v>0</v>
      </c>
      <c r="N213">
        <v>55412.959999999999</v>
      </c>
      <c r="O213">
        <v>4579.8</v>
      </c>
      <c r="P213">
        <v>3501.93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3632.97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4672.42</v>
      </c>
      <c r="AH213">
        <v>0</v>
      </c>
      <c r="AI213">
        <v>0</v>
      </c>
      <c r="AJ213">
        <v>84199169.789887995</v>
      </c>
    </row>
    <row r="214" spans="1:36" x14ac:dyDescent="0.25">
      <c r="A214" t="s">
        <v>531</v>
      </c>
      <c r="B214" t="s">
        <v>13</v>
      </c>
      <c r="D214">
        <v>20469.16</v>
      </c>
      <c r="E214">
        <v>7170.02</v>
      </c>
      <c r="G214">
        <v>0.106831</v>
      </c>
      <c r="H214">
        <v>0</v>
      </c>
      <c r="I214">
        <v>327009.96999999997</v>
      </c>
      <c r="J214">
        <v>239542.44</v>
      </c>
      <c r="K214">
        <v>0</v>
      </c>
      <c r="L214">
        <v>831153.37</v>
      </c>
      <c r="M214">
        <v>0</v>
      </c>
      <c r="N214">
        <v>151340.01</v>
      </c>
      <c r="O214">
        <v>140438.01</v>
      </c>
      <c r="P214">
        <v>150234.94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219030.45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115357.41</v>
      </c>
      <c r="AH214">
        <v>0</v>
      </c>
      <c r="AI214">
        <v>0</v>
      </c>
      <c r="AJ214">
        <v>1391981805.28988</v>
      </c>
    </row>
    <row r="215" spans="1:36" x14ac:dyDescent="0.25">
      <c r="A215" t="s">
        <v>532</v>
      </c>
      <c r="B215" t="s">
        <v>13</v>
      </c>
      <c r="C215">
        <v>7170.02</v>
      </c>
      <c r="D215">
        <v>20469.16</v>
      </c>
      <c r="G215">
        <v>0.106831</v>
      </c>
      <c r="H215">
        <v>0</v>
      </c>
      <c r="I215">
        <v>452065.65</v>
      </c>
      <c r="J215">
        <v>239542.44</v>
      </c>
      <c r="K215">
        <v>0</v>
      </c>
      <c r="L215">
        <v>831153.37</v>
      </c>
      <c r="M215">
        <v>0</v>
      </c>
      <c r="N215">
        <v>151697.17000000001</v>
      </c>
      <c r="O215">
        <v>173655.57</v>
      </c>
      <c r="P215">
        <v>160228.87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218343.51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115355.4</v>
      </c>
      <c r="AH215">
        <v>0</v>
      </c>
      <c r="AI215">
        <v>0</v>
      </c>
      <c r="AJ215">
        <v>1558475626.5818801</v>
      </c>
    </row>
    <row r="216" spans="1:36" x14ac:dyDescent="0.25">
      <c r="A216" t="s">
        <v>533</v>
      </c>
      <c r="B216" t="s">
        <v>13</v>
      </c>
      <c r="D216">
        <v>3647.44</v>
      </c>
      <c r="E216">
        <v>1277.6400000000001</v>
      </c>
      <c r="G216">
        <v>1.9036000000000001E-2</v>
      </c>
      <c r="H216">
        <v>0</v>
      </c>
      <c r="I216">
        <v>83494.960000000006</v>
      </c>
      <c r="J216">
        <v>103288.37</v>
      </c>
      <c r="K216">
        <v>0</v>
      </c>
      <c r="L216">
        <v>282049.05</v>
      </c>
      <c r="M216">
        <v>0</v>
      </c>
      <c r="N216">
        <v>61157.03</v>
      </c>
      <c r="O216">
        <v>12605.72</v>
      </c>
      <c r="P216">
        <v>12922.83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70651.59</v>
      </c>
      <c r="W216">
        <v>0</v>
      </c>
      <c r="X216">
        <v>0</v>
      </c>
      <c r="Y216">
        <v>0</v>
      </c>
      <c r="Z216">
        <v>65854.75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125812.93</v>
      </c>
      <c r="AH216">
        <v>0</v>
      </c>
      <c r="AI216">
        <v>0</v>
      </c>
      <c r="AJ216">
        <v>347092233.47907901</v>
      </c>
    </row>
    <row r="217" spans="1:36" x14ac:dyDescent="0.25">
      <c r="A217" t="s">
        <v>534</v>
      </c>
      <c r="B217" t="s">
        <v>13</v>
      </c>
      <c r="C217">
        <v>1277.6400000000001</v>
      </c>
      <c r="D217">
        <v>3647.44</v>
      </c>
      <c r="G217">
        <v>1.9036000000000001E-2</v>
      </c>
      <c r="H217">
        <v>0</v>
      </c>
      <c r="I217">
        <v>89576.99</v>
      </c>
      <c r="J217">
        <v>103288.37</v>
      </c>
      <c r="K217">
        <v>0</v>
      </c>
      <c r="L217">
        <v>282049.05</v>
      </c>
      <c r="M217">
        <v>0</v>
      </c>
      <c r="N217">
        <v>61202.89</v>
      </c>
      <c r="O217">
        <v>14069.01</v>
      </c>
      <c r="P217">
        <v>12971.41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70728.5</v>
      </c>
      <c r="W217">
        <v>0</v>
      </c>
      <c r="X217">
        <v>0</v>
      </c>
      <c r="Y217">
        <v>0</v>
      </c>
      <c r="Z217">
        <v>65854.75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125808.94</v>
      </c>
      <c r="AH217">
        <v>0</v>
      </c>
      <c r="AI217">
        <v>0</v>
      </c>
      <c r="AJ217">
        <v>374146781.41604799</v>
      </c>
    </row>
    <row r="218" spans="1:36" x14ac:dyDescent="0.25">
      <c r="A218" t="s">
        <v>535</v>
      </c>
      <c r="B218" t="s">
        <v>13</v>
      </c>
      <c r="D218">
        <v>34658.36</v>
      </c>
      <c r="E218">
        <v>12140.27</v>
      </c>
      <c r="G218">
        <v>0.18088699999999999</v>
      </c>
      <c r="H218">
        <v>0</v>
      </c>
      <c r="I218">
        <v>577027.05000000005</v>
      </c>
      <c r="J218">
        <v>626942.71</v>
      </c>
      <c r="K218">
        <v>0</v>
      </c>
      <c r="L218">
        <v>1141299.43</v>
      </c>
      <c r="M218">
        <v>0</v>
      </c>
      <c r="N218">
        <v>252659.74</v>
      </c>
      <c r="O218">
        <v>289860.89</v>
      </c>
      <c r="P218">
        <v>310107.94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662914.57999999996</v>
      </c>
      <c r="W218">
        <v>0</v>
      </c>
      <c r="X218">
        <v>0</v>
      </c>
      <c r="Y218">
        <v>0</v>
      </c>
      <c r="Z218">
        <v>43737.51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274233.02</v>
      </c>
      <c r="AH218">
        <v>0</v>
      </c>
      <c r="AI218">
        <v>0</v>
      </c>
      <c r="AJ218">
        <v>2535393920.8281398</v>
      </c>
    </row>
    <row r="219" spans="1:36" x14ac:dyDescent="0.25">
      <c r="A219" t="s">
        <v>536</v>
      </c>
      <c r="B219" t="s">
        <v>13</v>
      </c>
      <c r="C219">
        <v>12140.27</v>
      </c>
      <c r="D219">
        <v>34658.36</v>
      </c>
      <c r="G219">
        <v>0.18088699999999999</v>
      </c>
      <c r="H219">
        <v>0</v>
      </c>
      <c r="I219">
        <v>757498.2</v>
      </c>
      <c r="J219">
        <v>626942.71</v>
      </c>
      <c r="K219">
        <v>0</v>
      </c>
      <c r="L219">
        <v>1141299.43</v>
      </c>
      <c r="M219">
        <v>0</v>
      </c>
      <c r="N219">
        <v>252759.62</v>
      </c>
      <c r="O219">
        <v>351806.61</v>
      </c>
      <c r="P219">
        <v>322044.27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661267.93000000005</v>
      </c>
      <c r="W219">
        <v>0</v>
      </c>
      <c r="X219">
        <v>0</v>
      </c>
      <c r="Y219">
        <v>0</v>
      </c>
      <c r="Z219">
        <v>43737.51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274229.78000000003</v>
      </c>
      <c r="AH219">
        <v>0</v>
      </c>
      <c r="AI219">
        <v>0</v>
      </c>
      <c r="AJ219">
        <v>2572623618.1321502</v>
      </c>
    </row>
    <row r="220" spans="1:36" x14ac:dyDescent="0.25">
      <c r="A220" t="s">
        <v>537</v>
      </c>
      <c r="B220" t="s">
        <v>13</v>
      </c>
      <c r="D220">
        <v>56813.42</v>
      </c>
      <c r="E220">
        <v>19900.84</v>
      </c>
      <c r="G220">
        <v>0.29651699999999998</v>
      </c>
      <c r="H220">
        <v>0</v>
      </c>
      <c r="I220">
        <v>832452.37</v>
      </c>
      <c r="J220">
        <v>643032.05000000005</v>
      </c>
      <c r="K220">
        <v>0</v>
      </c>
      <c r="L220">
        <v>3553012.2</v>
      </c>
      <c r="M220">
        <v>0</v>
      </c>
      <c r="N220">
        <v>824633.97</v>
      </c>
      <c r="O220">
        <v>190398.94</v>
      </c>
      <c r="P220">
        <v>202384.77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450074.31</v>
      </c>
      <c r="W220">
        <v>0</v>
      </c>
      <c r="X220">
        <v>0</v>
      </c>
      <c r="Y220">
        <v>0</v>
      </c>
      <c r="Z220">
        <v>127428.8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736685.04</v>
      </c>
      <c r="AH220">
        <v>0</v>
      </c>
      <c r="AI220">
        <v>0</v>
      </c>
      <c r="AJ220">
        <v>5096097589.7925901</v>
      </c>
    </row>
    <row r="221" spans="1:36" x14ac:dyDescent="0.25">
      <c r="A221" t="s">
        <v>538</v>
      </c>
      <c r="B221" t="s">
        <v>13</v>
      </c>
      <c r="D221">
        <v>4250.0600000000004</v>
      </c>
      <c r="E221">
        <v>1488.73</v>
      </c>
      <c r="G221">
        <v>2.2182E-2</v>
      </c>
      <c r="H221">
        <v>0</v>
      </c>
      <c r="I221">
        <v>84801.03</v>
      </c>
      <c r="J221">
        <v>94437.9</v>
      </c>
      <c r="K221">
        <v>0</v>
      </c>
      <c r="L221">
        <v>258328.15</v>
      </c>
      <c r="M221">
        <v>0</v>
      </c>
      <c r="N221">
        <v>321131.92</v>
      </c>
      <c r="O221">
        <v>15045.62</v>
      </c>
      <c r="P221">
        <v>16077.01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121133.37</v>
      </c>
      <c r="W221">
        <v>0</v>
      </c>
      <c r="X221">
        <v>0</v>
      </c>
      <c r="Y221">
        <v>0</v>
      </c>
      <c r="Z221">
        <v>64094.3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231731.03</v>
      </c>
      <c r="AH221">
        <v>0</v>
      </c>
      <c r="AI221">
        <v>0</v>
      </c>
      <c r="AJ221">
        <v>587562191.11263299</v>
      </c>
    </row>
    <row r="222" spans="1:36" x14ac:dyDescent="0.25">
      <c r="A222" t="s">
        <v>539</v>
      </c>
      <c r="B222" t="s">
        <v>13</v>
      </c>
      <c r="C222">
        <v>1488.73</v>
      </c>
      <c r="D222">
        <v>4250.0600000000004</v>
      </c>
      <c r="G222">
        <v>2.2182E-2</v>
      </c>
      <c r="H222">
        <v>0</v>
      </c>
      <c r="I222">
        <v>97256.67</v>
      </c>
      <c r="J222">
        <v>94437.9</v>
      </c>
      <c r="K222">
        <v>0</v>
      </c>
      <c r="L222">
        <v>258328.15</v>
      </c>
      <c r="M222">
        <v>0</v>
      </c>
      <c r="N222">
        <v>321135.98</v>
      </c>
      <c r="O222">
        <v>17427</v>
      </c>
      <c r="P222">
        <v>16200.31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120995.1</v>
      </c>
      <c r="W222">
        <v>0</v>
      </c>
      <c r="X222">
        <v>0</v>
      </c>
      <c r="Y222">
        <v>0</v>
      </c>
      <c r="Z222">
        <v>64094.3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231726.04</v>
      </c>
      <c r="AH222">
        <v>0</v>
      </c>
      <c r="AI222">
        <v>0</v>
      </c>
      <c r="AJ222">
        <v>631452013.91969395</v>
      </c>
    </row>
    <row r="223" spans="1:36" x14ac:dyDescent="0.25">
      <c r="A223" t="s">
        <v>540</v>
      </c>
      <c r="B223" t="s">
        <v>13</v>
      </c>
      <c r="C223">
        <v>19900.84</v>
      </c>
      <c r="D223">
        <v>56813.42</v>
      </c>
      <c r="G223">
        <v>0.29651699999999998</v>
      </c>
      <c r="H223">
        <v>0</v>
      </c>
      <c r="I223">
        <v>945251.9</v>
      </c>
      <c r="J223">
        <v>643032.05000000005</v>
      </c>
      <c r="K223">
        <v>0</v>
      </c>
      <c r="L223">
        <v>3553012.2</v>
      </c>
      <c r="M223">
        <v>0</v>
      </c>
      <c r="N223">
        <v>824788.68</v>
      </c>
      <c r="O223">
        <v>222058.84</v>
      </c>
      <c r="P223">
        <v>204338.85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450181.72</v>
      </c>
      <c r="W223">
        <v>0</v>
      </c>
      <c r="X223">
        <v>0</v>
      </c>
      <c r="Y223">
        <v>0</v>
      </c>
      <c r="Z223">
        <v>127428.8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736789.26</v>
      </c>
      <c r="AH223">
        <v>0</v>
      </c>
      <c r="AI223">
        <v>0</v>
      </c>
      <c r="AJ223">
        <v>5496686037.9508896</v>
      </c>
    </row>
    <row r="224" spans="1:36" x14ac:dyDescent="0.25">
      <c r="A224" t="s">
        <v>541</v>
      </c>
      <c r="B224" t="s">
        <v>12</v>
      </c>
      <c r="D224">
        <v>1325.42</v>
      </c>
      <c r="E224">
        <v>464.28</v>
      </c>
      <c r="G224">
        <v>6.9179999999999997E-3</v>
      </c>
      <c r="H224">
        <v>0</v>
      </c>
      <c r="I224">
        <v>11101.71</v>
      </c>
      <c r="J224">
        <v>12134.67</v>
      </c>
      <c r="K224">
        <v>0</v>
      </c>
      <c r="L224">
        <v>29466.65</v>
      </c>
      <c r="M224">
        <v>0</v>
      </c>
      <c r="N224">
        <v>55883.38</v>
      </c>
      <c r="O224">
        <v>3331.25</v>
      </c>
      <c r="P224">
        <v>3172.2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5529.89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4688.04</v>
      </c>
      <c r="AH224">
        <v>0</v>
      </c>
      <c r="AI224">
        <v>0</v>
      </c>
      <c r="AJ224">
        <v>78583372.975707993</v>
      </c>
    </row>
    <row r="225" spans="1:36" x14ac:dyDescent="0.25">
      <c r="A225" t="s">
        <v>542</v>
      </c>
      <c r="B225" t="s">
        <v>13</v>
      </c>
      <c r="C225">
        <v>9403.6</v>
      </c>
      <c r="D225">
        <v>26845.64</v>
      </c>
      <c r="G225">
        <v>0.14011100000000001</v>
      </c>
      <c r="H225">
        <v>0</v>
      </c>
      <c r="I225">
        <v>575825.32999999996</v>
      </c>
      <c r="J225">
        <v>163686.57</v>
      </c>
      <c r="K225">
        <v>0</v>
      </c>
      <c r="L225">
        <v>936314.72</v>
      </c>
      <c r="M225">
        <v>0</v>
      </c>
      <c r="N225">
        <v>230518.04</v>
      </c>
      <c r="O225">
        <v>213318.14</v>
      </c>
      <c r="P225">
        <v>197883.68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232306.83</v>
      </c>
      <c r="W225">
        <v>0</v>
      </c>
      <c r="X225">
        <v>0</v>
      </c>
      <c r="Y225">
        <v>0</v>
      </c>
      <c r="Z225">
        <v>68627.600000000006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484904.26</v>
      </c>
      <c r="AH225">
        <v>0</v>
      </c>
      <c r="AI225">
        <v>0</v>
      </c>
      <c r="AJ225">
        <v>1834350600.0276201</v>
      </c>
    </row>
    <row r="226" spans="1:36" x14ac:dyDescent="0.25">
      <c r="A226" t="s">
        <v>543</v>
      </c>
      <c r="B226" t="s">
        <v>13</v>
      </c>
      <c r="D226">
        <v>26845.64</v>
      </c>
      <c r="E226">
        <v>9403.6</v>
      </c>
      <c r="G226">
        <v>0.14011100000000001</v>
      </c>
      <c r="H226">
        <v>0</v>
      </c>
      <c r="I226">
        <v>313476.95</v>
      </c>
      <c r="J226">
        <v>163686.57</v>
      </c>
      <c r="K226">
        <v>0</v>
      </c>
      <c r="L226">
        <v>936314.72</v>
      </c>
      <c r="M226">
        <v>0</v>
      </c>
      <c r="N226">
        <v>230496.68</v>
      </c>
      <c r="O226">
        <v>177924.02</v>
      </c>
      <c r="P226">
        <v>193800.46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232014.95</v>
      </c>
      <c r="W226">
        <v>0</v>
      </c>
      <c r="X226">
        <v>0</v>
      </c>
      <c r="Y226">
        <v>0</v>
      </c>
      <c r="Z226">
        <v>68627.600000000006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484914.33</v>
      </c>
      <c r="AH226">
        <v>0</v>
      </c>
      <c r="AI226">
        <v>0</v>
      </c>
      <c r="AJ226">
        <v>1570914696.8286099</v>
      </c>
    </row>
    <row r="227" spans="1:36" x14ac:dyDescent="0.25">
      <c r="A227" t="s">
        <v>544</v>
      </c>
      <c r="B227" t="s">
        <v>12</v>
      </c>
      <c r="C227">
        <v>7760.24</v>
      </c>
      <c r="D227">
        <v>22154.13</v>
      </c>
      <c r="G227">
        <v>0.11562500000000001</v>
      </c>
      <c r="H227">
        <v>0</v>
      </c>
      <c r="I227">
        <v>518134.39</v>
      </c>
      <c r="J227">
        <v>394508.4</v>
      </c>
      <c r="K227">
        <v>0</v>
      </c>
      <c r="L227">
        <v>436518</v>
      </c>
      <c r="M227">
        <v>0</v>
      </c>
      <c r="N227">
        <v>196856.32000000001</v>
      </c>
      <c r="O227">
        <v>106691.37</v>
      </c>
      <c r="P227">
        <v>90335.69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750728.11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176958.62</v>
      </c>
      <c r="AH227">
        <v>0</v>
      </c>
      <c r="AI227">
        <v>0</v>
      </c>
      <c r="AJ227">
        <v>2015821444.2890301</v>
      </c>
    </row>
    <row r="228" spans="1:36" x14ac:dyDescent="0.25">
      <c r="A228" t="s">
        <v>545</v>
      </c>
      <c r="B228" t="s">
        <v>12</v>
      </c>
      <c r="D228">
        <v>22154.13</v>
      </c>
      <c r="E228">
        <v>7760.24</v>
      </c>
      <c r="G228">
        <v>0.11562500000000001</v>
      </c>
      <c r="H228">
        <v>0</v>
      </c>
      <c r="I228">
        <v>458077.24</v>
      </c>
      <c r="J228">
        <v>394508.4</v>
      </c>
      <c r="K228">
        <v>0</v>
      </c>
      <c r="L228">
        <v>436518</v>
      </c>
      <c r="M228">
        <v>0</v>
      </c>
      <c r="N228">
        <v>196878.5</v>
      </c>
      <c r="O228">
        <v>91186.38</v>
      </c>
      <c r="P228">
        <v>87977.58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750039.72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176960.2</v>
      </c>
      <c r="AH228">
        <v>0</v>
      </c>
      <c r="AI228">
        <v>0</v>
      </c>
      <c r="AJ228">
        <v>1936861950.5708101</v>
      </c>
    </row>
    <row r="229" spans="1:36" x14ac:dyDescent="0.25">
      <c r="A229" t="s">
        <v>546</v>
      </c>
      <c r="B229" t="s">
        <v>12</v>
      </c>
      <c r="C229">
        <v>464.28</v>
      </c>
      <c r="D229">
        <v>1325.42</v>
      </c>
      <c r="G229">
        <v>6.9179999999999997E-3</v>
      </c>
      <c r="H229">
        <v>0</v>
      </c>
      <c r="I229">
        <v>17458.009999999998</v>
      </c>
      <c r="J229">
        <v>12134.67</v>
      </c>
      <c r="K229">
        <v>0</v>
      </c>
      <c r="L229">
        <v>29466.65</v>
      </c>
      <c r="M229">
        <v>0</v>
      </c>
      <c r="N229">
        <v>55883.38</v>
      </c>
      <c r="O229">
        <v>5012.82</v>
      </c>
      <c r="P229">
        <v>3735.05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5529.88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4688</v>
      </c>
      <c r="AH229">
        <v>0</v>
      </c>
      <c r="AI229">
        <v>0</v>
      </c>
      <c r="AJ229">
        <v>97935180.594457</v>
      </c>
    </row>
    <row r="230" spans="1:36" x14ac:dyDescent="0.25">
      <c r="A230" t="s">
        <v>547</v>
      </c>
      <c r="B230" t="s">
        <v>12</v>
      </c>
      <c r="D230">
        <v>21580.54</v>
      </c>
      <c r="E230">
        <v>7559.32</v>
      </c>
      <c r="G230">
        <v>0.112632</v>
      </c>
      <c r="H230">
        <v>0</v>
      </c>
      <c r="I230">
        <v>476442.57</v>
      </c>
      <c r="J230">
        <v>239542.44</v>
      </c>
      <c r="K230">
        <v>0</v>
      </c>
      <c r="L230">
        <v>831153.37</v>
      </c>
      <c r="M230">
        <v>0</v>
      </c>
      <c r="N230">
        <v>185421.75</v>
      </c>
      <c r="O230">
        <v>141493.12</v>
      </c>
      <c r="P230">
        <v>139866.15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364576.51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115798.96</v>
      </c>
      <c r="AH230">
        <v>0</v>
      </c>
      <c r="AI230">
        <v>0</v>
      </c>
      <c r="AJ230">
        <v>1454834253.2511799</v>
      </c>
    </row>
    <row r="231" spans="1:36" x14ac:dyDescent="0.25">
      <c r="A231" t="s">
        <v>548</v>
      </c>
      <c r="B231" t="s">
        <v>12</v>
      </c>
      <c r="C231">
        <v>7559.32</v>
      </c>
      <c r="D231">
        <v>21580.54</v>
      </c>
      <c r="G231">
        <v>0.112632</v>
      </c>
      <c r="H231">
        <v>0</v>
      </c>
      <c r="I231">
        <v>597854.24</v>
      </c>
      <c r="J231">
        <v>239542.44</v>
      </c>
      <c r="K231">
        <v>0</v>
      </c>
      <c r="L231">
        <v>831153.37</v>
      </c>
      <c r="M231">
        <v>0</v>
      </c>
      <c r="N231">
        <v>185724.11</v>
      </c>
      <c r="O231">
        <v>170088.17</v>
      </c>
      <c r="P231">
        <v>149629.39000000001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362517.84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115795.14</v>
      </c>
      <c r="AH231">
        <v>0</v>
      </c>
      <c r="AI231">
        <v>0</v>
      </c>
      <c r="AJ231">
        <v>1734026611.9686999</v>
      </c>
    </row>
    <row r="232" spans="1:36" x14ac:dyDescent="0.25">
      <c r="A232" t="s">
        <v>549</v>
      </c>
      <c r="B232" t="s">
        <v>12</v>
      </c>
      <c r="C232">
        <v>1322.17</v>
      </c>
      <c r="D232">
        <v>3774.56</v>
      </c>
      <c r="G232">
        <v>1.9699999999999999E-2</v>
      </c>
      <c r="H232">
        <v>0</v>
      </c>
      <c r="I232">
        <v>119979.2</v>
      </c>
      <c r="J232">
        <v>103288.37</v>
      </c>
      <c r="K232">
        <v>0</v>
      </c>
      <c r="L232">
        <v>282049.05</v>
      </c>
      <c r="M232">
        <v>0</v>
      </c>
      <c r="N232">
        <v>72982.210000000006</v>
      </c>
      <c r="O232">
        <v>14533.83</v>
      </c>
      <c r="P232">
        <v>13097.58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107471.87</v>
      </c>
      <c r="W232">
        <v>0</v>
      </c>
      <c r="X232">
        <v>0</v>
      </c>
      <c r="Y232">
        <v>0</v>
      </c>
      <c r="Z232">
        <v>65854.75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126287.52</v>
      </c>
      <c r="AH232">
        <v>0</v>
      </c>
      <c r="AI232">
        <v>0</v>
      </c>
      <c r="AJ232">
        <v>428700192.99947101</v>
      </c>
    </row>
    <row r="233" spans="1:36" x14ac:dyDescent="0.25">
      <c r="A233" t="s">
        <v>550</v>
      </c>
      <c r="B233" t="s">
        <v>12</v>
      </c>
      <c r="D233">
        <v>3774.56</v>
      </c>
      <c r="E233">
        <v>1322.17</v>
      </c>
      <c r="G233">
        <v>1.9699999999999999E-2</v>
      </c>
      <c r="H233">
        <v>0</v>
      </c>
      <c r="I233">
        <v>108966.31</v>
      </c>
      <c r="J233">
        <v>103288.37</v>
      </c>
      <c r="K233">
        <v>0</v>
      </c>
      <c r="L233">
        <v>282049.05</v>
      </c>
      <c r="M233">
        <v>0</v>
      </c>
      <c r="N233">
        <v>72981.05</v>
      </c>
      <c r="O233">
        <v>13111.88</v>
      </c>
      <c r="P233">
        <v>13046.16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107465.64</v>
      </c>
      <c r="W233">
        <v>0</v>
      </c>
      <c r="X233">
        <v>0</v>
      </c>
      <c r="Y233">
        <v>0</v>
      </c>
      <c r="Z233">
        <v>65854.75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126288.53</v>
      </c>
      <c r="AH233">
        <v>0</v>
      </c>
      <c r="AI233">
        <v>0</v>
      </c>
      <c r="AJ233">
        <v>405826899.17097998</v>
      </c>
    </row>
    <row r="234" spans="1:36" x14ac:dyDescent="0.25">
      <c r="A234" t="s">
        <v>551</v>
      </c>
      <c r="B234" t="s">
        <v>12</v>
      </c>
      <c r="D234">
        <v>36860.620000000003</v>
      </c>
      <c r="E234">
        <v>12911.69</v>
      </c>
      <c r="G234">
        <v>0.192381</v>
      </c>
      <c r="H234">
        <v>0</v>
      </c>
      <c r="I234">
        <v>875583.93</v>
      </c>
      <c r="J234">
        <v>626942.71</v>
      </c>
      <c r="K234">
        <v>0</v>
      </c>
      <c r="L234">
        <v>1141299.43</v>
      </c>
      <c r="M234">
        <v>0</v>
      </c>
      <c r="N234">
        <v>347819.43</v>
      </c>
      <c r="O234">
        <v>316416.14</v>
      </c>
      <c r="P234">
        <v>313195.78000000003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1115839.71</v>
      </c>
      <c r="W234">
        <v>0</v>
      </c>
      <c r="X234">
        <v>0</v>
      </c>
      <c r="Y234">
        <v>0</v>
      </c>
      <c r="Z234">
        <v>43737.51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275268.76</v>
      </c>
      <c r="AH234">
        <v>0</v>
      </c>
      <c r="AI234">
        <v>0</v>
      </c>
      <c r="AJ234">
        <v>2941945669.6187901</v>
      </c>
    </row>
    <row r="235" spans="1:36" x14ac:dyDescent="0.25">
      <c r="A235" t="s">
        <v>552</v>
      </c>
      <c r="B235" t="s">
        <v>12</v>
      </c>
      <c r="D235">
        <v>4542.8599999999997</v>
      </c>
      <c r="E235">
        <v>1591.29</v>
      </c>
      <c r="G235">
        <v>2.3709999999999998E-2</v>
      </c>
      <c r="H235">
        <v>0</v>
      </c>
      <c r="I235">
        <v>137232.81</v>
      </c>
      <c r="J235">
        <v>94437.9</v>
      </c>
      <c r="K235">
        <v>0</v>
      </c>
      <c r="L235">
        <v>258328.15</v>
      </c>
      <c r="M235">
        <v>0</v>
      </c>
      <c r="N235">
        <v>344733.92</v>
      </c>
      <c r="O235">
        <v>17000.05</v>
      </c>
      <c r="P235">
        <v>17394.02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203981.25</v>
      </c>
      <c r="W235">
        <v>0</v>
      </c>
      <c r="X235">
        <v>0</v>
      </c>
      <c r="Y235">
        <v>0</v>
      </c>
      <c r="Z235">
        <v>64094.3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232590.38</v>
      </c>
      <c r="AH235">
        <v>0</v>
      </c>
      <c r="AI235">
        <v>0</v>
      </c>
      <c r="AJ235">
        <v>742619776.52304804</v>
      </c>
    </row>
    <row r="236" spans="1:36" x14ac:dyDescent="0.25">
      <c r="A236" t="s">
        <v>553</v>
      </c>
      <c r="B236" t="s">
        <v>12</v>
      </c>
      <c r="C236">
        <v>12911.69</v>
      </c>
      <c r="D236">
        <v>36860.620000000003</v>
      </c>
      <c r="G236">
        <v>0.192381</v>
      </c>
      <c r="H236">
        <v>0</v>
      </c>
      <c r="I236">
        <v>1052972.8700000001</v>
      </c>
      <c r="J236">
        <v>626942.71</v>
      </c>
      <c r="K236">
        <v>0</v>
      </c>
      <c r="L236">
        <v>1141299.43</v>
      </c>
      <c r="M236">
        <v>0</v>
      </c>
      <c r="N236">
        <v>348246.36</v>
      </c>
      <c r="O236">
        <v>378907.12</v>
      </c>
      <c r="P236">
        <v>332088.40999999997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1106906.5900000001</v>
      </c>
      <c r="W236">
        <v>0</v>
      </c>
      <c r="X236">
        <v>0</v>
      </c>
      <c r="Y236">
        <v>0</v>
      </c>
      <c r="Z236">
        <v>43737.51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275264.99</v>
      </c>
      <c r="AH236">
        <v>0</v>
      </c>
      <c r="AI236">
        <v>0</v>
      </c>
      <c r="AJ236">
        <v>2950463892.0782199</v>
      </c>
    </row>
    <row r="237" spans="1:36" x14ac:dyDescent="0.25">
      <c r="A237" t="s">
        <v>554</v>
      </c>
      <c r="B237" t="s">
        <v>12</v>
      </c>
      <c r="C237">
        <v>1591.29</v>
      </c>
      <c r="D237">
        <v>4542.8599999999997</v>
      </c>
      <c r="G237">
        <v>2.3709999999999998E-2</v>
      </c>
      <c r="H237">
        <v>0</v>
      </c>
      <c r="I237">
        <v>151282.29</v>
      </c>
      <c r="J237">
        <v>94437.9</v>
      </c>
      <c r="K237">
        <v>0</v>
      </c>
      <c r="L237">
        <v>258328.15</v>
      </c>
      <c r="M237">
        <v>0</v>
      </c>
      <c r="N237">
        <v>344805.11</v>
      </c>
      <c r="O237">
        <v>19511.990000000002</v>
      </c>
      <c r="P237">
        <v>17574.79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203953.22</v>
      </c>
      <c r="W237">
        <v>0</v>
      </c>
      <c r="X237">
        <v>0</v>
      </c>
      <c r="Y237">
        <v>0</v>
      </c>
      <c r="Z237">
        <v>64094.3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232580.47</v>
      </c>
      <c r="AH237">
        <v>0</v>
      </c>
      <c r="AI237">
        <v>0</v>
      </c>
      <c r="AJ237">
        <v>776182098.41286302</v>
      </c>
    </row>
    <row r="238" spans="1:36" x14ac:dyDescent="0.25">
      <c r="A238" t="s">
        <v>555</v>
      </c>
      <c r="B238" t="s">
        <v>12</v>
      </c>
      <c r="D238">
        <v>28930.86</v>
      </c>
      <c r="E238">
        <v>10134.02</v>
      </c>
      <c r="G238">
        <v>0.15099399999999999</v>
      </c>
      <c r="H238">
        <v>0</v>
      </c>
      <c r="I238">
        <v>496190.62</v>
      </c>
      <c r="J238">
        <v>163686.57</v>
      </c>
      <c r="K238">
        <v>0</v>
      </c>
      <c r="L238">
        <v>936314.72</v>
      </c>
      <c r="M238">
        <v>0</v>
      </c>
      <c r="N238">
        <v>316314.98</v>
      </c>
      <c r="O238">
        <v>180663.95</v>
      </c>
      <c r="P238">
        <v>182085.89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506764.03</v>
      </c>
      <c r="W238">
        <v>0</v>
      </c>
      <c r="X238">
        <v>0</v>
      </c>
      <c r="Y238">
        <v>0</v>
      </c>
      <c r="Z238">
        <v>68627.600000000006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486294.54</v>
      </c>
      <c r="AH238">
        <v>0</v>
      </c>
      <c r="AI238">
        <v>0</v>
      </c>
      <c r="AJ238">
        <v>2181774764.4021301</v>
      </c>
    </row>
    <row r="239" spans="1:36" x14ac:dyDescent="0.25">
      <c r="A239" t="s">
        <v>556</v>
      </c>
      <c r="B239" t="s">
        <v>12</v>
      </c>
      <c r="C239">
        <v>20539.16</v>
      </c>
      <c r="D239">
        <v>58635.73</v>
      </c>
      <c r="G239">
        <v>0.30602800000000002</v>
      </c>
      <c r="H239">
        <v>0</v>
      </c>
      <c r="I239">
        <v>1400498.64</v>
      </c>
      <c r="J239">
        <v>643032.05000000005</v>
      </c>
      <c r="K239">
        <v>0</v>
      </c>
      <c r="L239">
        <v>3553012.2</v>
      </c>
      <c r="M239">
        <v>0</v>
      </c>
      <c r="N239">
        <v>945549.87</v>
      </c>
      <c r="O239">
        <v>240047.69</v>
      </c>
      <c r="P239">
        <v>213968.66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873962.53</v>
      </c>
      <c r="W239">
        <v>0</v>
      </c>
      <c r="X239">
        <v>0</v>
      </c>
      <c r="Y239">
        <v>0</v>
      </c>
      <c r="Z239">
        <v>127428.8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739364.89</v>
      </c>
      <c r="AH239">
        <v>0</v>
      </c>
      <c r="AI239">
        <v>0</v>
      </c>
      <c r="AJ239">
        <v>6174790744.6125097</v>
      </c>
    </row>
    <row r="240" spans="1:36" x14ac:dyDescent="0.25">
      <c r="A240" t="s">
        <v>557</v>
      </c>
      <c r="B240" t="s">
        <v>11</v>
      </c>
      <c r="D240">
        <v>12575.54</v>
      </c>
      <c r="E240">
        <v>4405.01</v>
      </c>
      <c r="G240">
        <v>6.5632999999999997E-2</v>
      </c>
      <c r="H240">
        <v>0</v>
      </c>
      <c r="I240">
        <v>29942.99</v>
      </c>
      <c r="J240">
        <v>394508.4</v>
      </c>
      <c r="K240">
        <v>0</v>
      </c>
      <c r="L240">
        <v>436518</v>
      </c>
      <c r="M240">
        <v>0</v>
      </c>
      <c r="N240">
        <v>108018.98</v>
      </c>
      <c r="O240">
        <v>11863.33</v>
      </c>
      <c r="P240">
        <v>11759.22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321744.62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192555.71</v>
      </c>
      <c r="AH240">
        <v>0</v>
      </c>
      <c r="AI240">
        <v>0</v>
      </c>
      <c r="AJ240">
        <v>932884955.36214995</v>
      </c>
    </row>
    <row r="241" spans="1:36" x14ac:dyDescent="0.25">
      <c r="A241" t="s">
        <v>558</v>
      </c>
      <c r="B241" t="s">
        <v>12</v>
      </c>
      <c r="D241">
        <v>58635.73</v>
      </c>
      <c r="E241">
        <v>20539.16</v>
      </c>
      <c r="G241">
        <v>0.30602800000000002</v>
      </c>
      <c r="H241">
        <v>0</v>
      </c>
      <c r="I241">
        <v>1233683.93</v>
      </c>
      <c r="J241">
        <v>643032.05000000005</v>
      </c>
      <c r="K241">
        <v>0</v>
      </c>
      <c r="L241">
        <v>3553012.2</v>
      </c>
      <c r="M241">
        <v>0</v>
      </c>
      <c r="N241">
        <v>945531.87</v>
      </c>
      <c r="O241">
        <v>209226.3</v>
      </c>
      <c r="P241">
        <v>212234.28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871874.94</v>
      </c>
      <c r="W241">
        <v>0</v>
      </c>
      <c r="X241">
        <v>0</v>
      </c>
      <c r="Y241">
        <v>0</v>
      </c>
      <c r="Z241">
        <v>127428.8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739253.75</v>
      </c>
      <c r="AH241">
        <v>0</v>
      </c>
      <c r="AI241">
        <v>0</v>
      </c>
      <c r="AJ241">
        <v>5821036823.9710302</v>
      </c>
    </row>
    <row r="242" spans="1:36" x14ac:dyDescent="0.25">
      <c r="A242" t="s">
        <v>559</v>
      </c>
      <c r="B242" t="s">
        <v>11</v>
      </c>
      <c r="C242">
        <v>4405.01</v>
      </c>
      <c r="D242">
        <v>12575.54</v>
      </c>
      <c r="G242">
        <v>6.5632999999999997E-2</v>
      </c>
      <c r="H242">
        <v>0</v>
      </c>
      <c r="I242">
        <v>34779.15</v>
      </c>
      <c r="J242">
        <v>394508.4</v>
      </c>
      <c r="K242">
        <v>0</v>
      </c>
      <c r="L242">
        <v>436518</v>
      </c>
      <c r="M242">
        <v>0</v>
      </c>
      <c r="N242">
        <v>108025.12</v>
      </c>
      <c r="O242">
        <v>14420.82</v>
      </c>
      <c r="P242">
        <v>12342.31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322221.96999999997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192558.61</v>
      </c>
      <c r="AH242">
        <v>0</v>
      </c>
      <c r="AI242">
        <v>0</v>
      </c>
      <c r="AJ242">
        <v>941340955.52650905</v>
      </c>
    </row>
    <row r="243" spans="1:36" x14ac:dyDescent="0.25">
      <c r="A243" t="s">
        <v>560</v>
      </c>
      <c r="B243" t="s">
        <v>11</v>
      </c>
      <c r="D243">
        <v>1035.1300000000001</v>
      </c>
      <c r="E243">
        <v>362.59</v>
      </c>
      <c r="G243">
        <v>5.4019999999999997E-3</v>
      </c>
      <c r="H243">
        <v>0</v>
      </c>
      <c r="I243">
        <v>499.83</v>
      </c>
      <c r="J243">
        <v>12134.67</v>
      </c>
      <c r="K243">
        <v>0</v>
      </c>
      <c r="L243">
        <v>29466.65</v>
      </c>
      <c r="M243">
        <v>0</v>
      </c>
      <c r="N243">
        <v>46813.13</v>
      </c>
      <c r="O243">
        <v>1245.73</v>
      </c>
      <c r="P243">
        <v>975.19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11409.76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5049.04</v>
      </c>
      <c r="AH243">
        <v>0</v>
      </c>
      <c r="AI243">
        <v>0</v>
      </c>
      <c r="AJ243">
        <v>42445846.723382503</v>
      </c>
    </row>
    <row r="244" spans="1:36" x14ac:dyDescent="0.25">
      <c r="A244" t="s">
        <v>561</v>
      </c>
      <c r="B244" t="s">
        <v>12</v>
      </c>
      <c r="C244">
        <v>10134.02</v>
      </c>
      <c r="D244">
        <v>28930.86</v>
      </c>
      <c r="G244">
        <v>0.15099399999999999</v>
      </c>
      <c r="H244">
        <v>0</v>
      </c>
      <c r="I244">
        <v>741941.88</v>
      </c>
      <c r="J244">
        <v>163686.57</v>
      </c>
      <c r="K244">
        <v>0</v>
      </c>
      <c r="L244">
        <v>936314.72</v>
      </c>
      <c r="M244">
        <v>0</v>
      </c>
      <c r="N244">
        <v>316365.01</v>
      </c>
      <c r="O244">
        <v>214378.9</v>
      </c>
      <c r="P244">
        <v>190602.58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510256.06</v>
      </c>
      <c r="W244">
        <v>0</v>
      </c>
      <c r="X244">
        <v>0</v>
      </c>
      <c r="Y244">
        <v>0</v>
      </c>
      <c r="Z244">
        <v>68627.600000000006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486274.66</v>
      </c>
      <c r="AH244">
        <v>0</v>
      </c>
      <c r="AI244">
        <v>0</v>
      </c>
      <c r="AJ244">
        <v>2264190347.3940802</v>
      </c>
    </row>
    <row r="245" spans="1:36" x14ac:dyDescent="0.25">
      <c r="A245" t="s">
        <v>562</v>
      </c>
      <c r="B245" t="s">
        <v>11</v>
      </c>
      <c r="C245">
        <v>362.59</v>
      </c>
      <c r="D245">
        <v>1035.1300000000001</v>
      </c>
      <c r="G245">
        <v>5.4019999999999997E-3</v>
      </c>
      <c r="H245">
        <v>0</v>
      </c>
      <c r="I245">
        <v>1002.49</v>
      </c>
      <c r="J245">
        <v>12134.67</v>
      </c>
      <c r="K245">
        <v>0</v>
      </c>
      <c r="L245">
        <v>29466.65</v>
      </c>
      <c r="M245">
        <v>0</v>
      </c>
      <c r="N245">
        <v>46813.13</v>
      </c>
      <c r="O245">
        <v>2449.0100000000002</v>
      </c>
      <c r="P245">
        <v>1676.22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11409.76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5049.04</v>
      </c>
      <c r="AH245">
        <v>0</v>
      </c>
      <c r="AI245">
        <v>0</v>
      </c>
      <c r="AJ245">
        <v>48563112.945520803</v>
      </c>
    </row>
    <row r="246" spans="1:36" x14ac:dyDescent="0.25">
      <c r="A246" t="s">
        <v>563</v>
      </c>
      <c r="B246" t="s">
        <v>11</v>
      </c>
      <c r="D246">
        <v>17290.43</v>
      </c>
      <c r="E246">
        <v>6056.56</v>
      </c>
      <c r="G246">
        <v>9.0241000000000002E-2</v>
      </c>
      <c r="H246">
        <v>0</v>
      </c>
      <c r="I246">
        <v>51990.12</v>
      </c>
      <c r="J246">
        <v>239542.44</v>
      </c>
      <c r="K246">
        <v>0</v>
      </c>
      <c r="L246">
        <v>831153.37</v>
      </c>
      <c r="M246">
        <v>0</v>
      </c>
      <c r="N246">
        <v>135704.76</v>
      </c>
      <c r="O246">
        <v>66615.7</v>
      </c>
      <c r="P246">
        <v>68045.67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324357.65000000002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125996.82</v>
      </c>
      <c r="AH246">
        <v>0</v>
      </c>
      <c r="AI246">
        <v>0</v>
      </c>
      <c r="AJ246">
        <v>1064082517.6688401</v>
      </c>
    </row>
    <row r="247" spans="1:36" x14ac:dyDescent="0.25">
      <c r="A247" t="s">
        <v>564</v>
      </c>
      <c r="B247" t="s">
        <v>11</v>
      </c>
      <c r="C247">
        <v>6056.56</v>
      </c>
      <c r="D247">
        <v>17290.43</v>
      </c>
      <c r="G247">
        <v>9.0241000000000002E-2</v>
      </c>
      <c r="H247">
        <v>0</v>
      </c>
      <c r="I247">
        <v>126585.04</v>
      </c>
      <c r="J247">
        <v>239542.44</v>
      </c>
      <c r="K247">
        <v>0</v>
      </c>
      <c r="L247">
        <v>831153.37</v>
      </c>
      <c r="M247">
        <v>0</v>
      </c>
      <c r="N247">
        <v>136081.10999999999</v>
      </c>
      <c r="O247">
        <v>98117.11</v>
      </c>
      <c r="P247">
        <v>87465.78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323988.64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125996.54</v>
      </c>
      <c r="AH247">
        <v>0</v>
      </c>
      <c r="AI247">
        <v>0</v>
      </c>
      <c r="AJ247">
        <v>1123169177.9403701</v>
      </c>
    </row>
    <row r="248" spans="1:36" x14ac:dyDescent="0.25">
      <c r="A248" t="s">
        <v>565</v>
      </c>
      <c r="B248" t="s">
        <v>11</v>
      </c>
      <c r="D248">
        <v>2932.99</v>
      </c>
      <c r="E248">
        <v>1027.3800000000001</v>
      </c>
      <c r="G248">
        <v>1.5308E-2</v>
      </c>
      <c r="H248">
        <v>0</v>
      </c>
      <c r="I248">
        <v>23444.14</v>
      </c>
      <c r="J248">
        <v>103288.37</v>
      </c>
      <c r="K248">
        <v>0</v>
      </c>
      <c r="L248">
        <v>282049.05</v>
      </c>
      <c r="M248">
        <v>0</v>
      </c>
      <c r="N248">
        <v>57382.26</v>
      </c>
      <c r="O248">
        <v>2950.43</v>
      </c>
      <c r="P248">
        <v>2949.16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137329.44</v>
      </c>
      <c r="W248">
        <v>0</v>
      </c>
      <c r="X248">
        <v>0</v>
      </c>
      <c r="Y248">
        <v>0</v>
      </c>
      <c r="Z248">
        <v>65854.75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137432.03</v>
      </c>
      <c r="AH248">
        <v>0</v>
      </c>
      <c r="AI248">
        <v>0</v>
      </c>
      <c r="AJ248">
        <v>252955568.96309799</v>
      </c>
    </row>
    <row r="249" spans="1:36" x14ac:dyDescent="0.25">
      <c r="A249" t="s">
        <v>566</v>
      </c>
      <c r="B249" t="s">
        <v>11</v>
      </c>
      <c r="C249">
        <v>1027.3800000000001</v>
      </c>
      <c r="D249">
        <v>2932.99</v>
      </c>
      <c r="G249">
        <v>1.5308E-2</v>
      </c>
      <c r="H249">
        <v>0</v>
      </c>
      <c r="I249">
        <v>24023.66</v>
      </c>
      <c r="J249">
        <v>103288.37</v>
      </c>
      <c r="K249">
        <v>0</v>
      </c>
      <c r="L249">
        <v>282049.05</v>
      </c>
      <c r="M249">
        <v>0</v>
      </c>
      <c r="N249">
        <v>57385.14</v>
      </c>
      <c r="O249">
        <v>3299.17</v>
      </c>
      <c r="P249">
        <v>2970.41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137329.1</v>
      </c>
      <c r="W249">
        <v>0</v>
      </c>
      <c r="X249">
        <v>0</v>
      </c>
      <c r="Y249">
        <v>0</v>
      </c>
      <c r="Z249">
        <v>65854.75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137432.10999999999</v>
      </c>
      <c r="AH249">
        <v>0</v>
      </c>
      <c r="AI249">
        <v>0</v>
      </c>
      <c r="AJ249">
        <v>259136210.48829001</v>
      </c>
    </row>
    <row r="250" spans="1:36" x14ac:dyDescent="0.25">
      <c r="A250" t="s">
        <v>567</v>
      </c>
      <c r="B250" t="s">
        <v>11</v>
      </c>
      <c r="D250">
        <v>27392.65</v>
      </c>
      <c r="E250">
        <v>9595.2099999999991</v>
      </c>
      <c r="G250">
        <v>0.14296600000000001</v>
      </c>
      <c r="H250">
        <v>0</v>
      </c>
      <c r="I250">
        <v>123525.88</v>
      </c>
      <c r="J250">
        <v>626942.71</v>
      </c>
      <c r="K250">
        <v>0</v>
      </c>
      <c r="L250">
        <v>1141299.43</v>
      </c>
      <c r="M250">
        <v>0</v>
      </c>
      <c r="N250">
        <v>177911.36</v>
      </c>
      <c r="O250">
        <v>221148.01</v>
      </c>
      <c r="P250">
        <v>241600.12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364745.25</v>
      </c>
      <c r="W250">
        <v>0</v>
      </c>
      <c r="X250">
        <v>0</v>
      </c>
      <c r="Y250">
        <v>0</v>
      </c>
      <c r="Z250">
        <v>43737.51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299628.45</v>
      </c>
      <c r="AH250">
        <v>0</v>
      </c>
      <c r="AI250">
        <v>0</v>
      </c>
      <c r="AJ250">
        <v>1504516782.4800301</v>
      </c>
    </row>
    <row r="251" spans="1:36" x14ac:dyDescent="0.25">
      <c r="A251" t="s">
        <v>568</v>
      </c>
      <c r="B251" t="s">
        <v>11</v>
      </c>
      <c r="C251">
        <v>9595.2099999999991</v>
      </c>
      <c r="D251">
        <v>27392.65</v>
      </c>
      <c r="G251">
        <v>0.14296600000000001</v>
      </c>
      <c r="H251">
        <v>0</v>
      </c>
      <c r="I251">
        <v>291153.12</v>
      </c>
      <c r="J251">
        <v>626942.71</v>
      </c>
      <c r="K251">
        <v>0</v>
      </c>
      <c r="L251">
        <v>1141299.43</v>
      </c>
      <c r="M251">
        <v>0</v>
      </c>
      <c r="N251">
        <v>178118.52</v>
      </c>
      <c r="O251">
        <v>279823.90999999997</v>
      </c>
      <c r="P251">
        <v>254744.95999999999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363245.55</v>
      </c>
      <c r="W251">
        <v>0</v>
      </c>
      <c r="X251">
        <v>0</v>
      </c>
      <c r="Y251">
        <v>0</v>
      </c>
      <c r="Z251">
        <v>43737.51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299611.58</v>
      </c>
      <c r="AH251">
        <v>0</v>
      </c>
      <c r="AI251">
        <v>0</v>
      </c>
      <c r="AJ251">
        <v>1563118196.7704101</v>
      </c>
    </row>
    <row r="252" spans="1:36" x14ac:dyDescent="0.25">
      <c r="A252" t="s">
        <v>569</v>
      </c>
      <c r="B252" t="s">
        <v>11</v>
      </c>
      <c r="C252">
        <v>1106.3599999999999</v>
      </c>
      <c r="D252">
        <v>3158.47</v>
      </c>
      <c r="G252">
        <v>1.6483999999999999E-2</v>
      </c>
      <c r="H252">
        <v>0</v>
      </c>
      <c r="I252">
        <v>22104.23</v>
      </c>
      <c r="J252">
        <v>94437.9</v>
      </c>
      <c r="K252">
        <v>0</v>
      </c>
      <c r="L252">
        <v>258328.15</v>
      </c>
      <c r="M252">
        <v>0</v>
      </c>
      <c r="N252">
        <v>247295.74</v>
      </c>
      <c r="O252">
        <v>3585.59</v>
      </c>
      <c r="P252">
        <v>3283.42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219799.82</v>
      </c>
      <c r="W252">
        <v>0</v>
      </c>
      <c r="X252">
        <v>0</v>
      </c>
      <c r="Y252">
        <v>0</v>
      </c>
      <c r="Z252">
        <v>64094.3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253174.34</v>
      </c>
      <c r="AH252">
        <v>0</v>
      </c>
      <c r="AI252">
        <v>0</v>
      </c>
      <c r="AJ252">
        <v>444027574.75345701</v>
      </c>
    </row>
    <row r="253" spans="1:36" x14ac:dyDescent="0.25">
      <c r="A253" t="s">
        <v>570</v>
      </c>
      <c r="B253" t="s">
        <v>11</v>
      </c>
      <c r="D253">
        <v>3158.47</v>
      </c>
      <c r="E253">
        <v>1106.3599999999999</v>
      </c>
      <c r="G253">
        <v>1.6483999999999999E-2</v>
      </c>
      <c r="H253">
        <v>0</v>
      </c>
      <c r="I253">
        <v>19896.04</v>
      </c>
      <c r="J253">
        <v>94437.9</v>
      </c>
      <c r="K253">
        <v>0</v>
      </c>
      <c r="L253">
        <v>258328.15</v>
      </c>
      <c r="M253">
        <v>0</v>
      </c>
      <c r="N253">
        <v>247293.96</v>
      </c>
      <c r="O253">
        <v>3094.12</v>
      </c>
      <c r="P253">
        <v>3281.21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219813.31</v>
      </c>
      <c r="W253">
        <v>0</v>
      </c>
      <c r="X253">
        <v>0</v>
      </c>
      <c r="Y253">
        <v>0</v>
      </c>
      <c r="Z253">
        <v>64094.3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253172</v>
      </c>
      <c r="AH253">
        <v>0</v>
      </c>
      <c r="AI253">
        <v>0</v>
      </c>
      <c r="AJ253">
        <v>436475026.65783399</v>
      </c>
    </row>
    <row r="254" spans="1:36" x14ac:dyDescent="0.25">
      <c r="A254" t="s">
        <v>571</v>
      </c>
      <c r="B254" t="s">
        <v>11</v>
      </c>
      <c r="D254">
        <v>20765.89</v>
      </c>
      <c r="E254">
        <v>7273.96</v>
      </c>
      <c r="G254">
        <v>0.10838</v>
      </c>
      <c r="H254">
        <v>0</v>
      </c>
      <c r="I254">
        <v>70737.570000000007</v>
      </c>
      <c r="J254">
        <v>163686.57</v>
      </c>
      <c r="K254">
        <v>0</v>
      </c>
      <c r="L254">
        <v>936314.72</v>
      </c>
      <c r="M254">
        <v>0</v>
      </c>
      <c r="N254">
        <v>225087.67</v>
      </c>
      <c r="O254">
        <v>139921.51999999999</v>
      </c>
      <c r="P254">
        <v>155678.21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362774.34</v>
      </c>
      <c r="W254">
        <v>0</v>
      </c>
      <c r="X254">
        <v>0</v>
      </c>
      <c r="Y254">
        <v>0</v>
      </c>
      <c r="Z254">
        <v>68627.600000000006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530179.21</v>
      </c>
      <c r="AH254">
        <v>0</v>
      </c>
      <c r="AI254">
        <v>0</v>
      </c>
      <c r="AJ254">
        <v>1194927377.3452899</v>
      </c>
    </row>
    <row r="255" spans="1:36" x14ac:dyDescent="0.25">
      <c r="A255" t="s">
        <v>572</v>
      </c>
      <c r="B255" t="s">
        <v>11</v>
      </c>
      <c r="D255">
        <v>48798.47</v>
      </c>
      <c r="E255">
        <v>17093.330000000002</v>
      </c>
      <c r="G255">
        <v>0.25468600000000002</v>
      </c>
      <c r="H255">
        <v>0</v>
      </c>
      <c r="I255">
        <v>145733.71</v>
      </c>
      <c r="J255">
        <v>643032.05000000005</v>
      </c>
      <c r="K255">
        <v>0</v>
      </c>
      <c r="L255">
        <v>3553012.2</v>
      </c>
      <c r="M255">
        <v>0</v>
      </c>
      <c r="N255">
        <v>804890.67</v>
      </c>
      <c r="O255">
        <v>38999.82</v>
      </c>
      <c r="P255">
        <v>37432.81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821667.01</v>
      </c>
      <c r="W255">
        <v>0</v>
      </c>
      <c r="X255">
        <v>0</v>
      </c>
      <c r="Y255">
        <v>0</v>
      </c>
      <c r="Z255">
        <v>127428.8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805384.81</v>
      </c>
      <c r="AH255">
        <v>0</v>
      </c>
      <c r="AI255">
        <v>0</v>
      </c>
      <c r="AJ255">
        <v>3984187500.46697</v>
      </c>
    </row>
    <row r="256" spans="1:36" x14ac:dyDescent="0.25">
      <c r="A256" t="s">
        <v>573</v>
      </c>
      <c r="B256" t="s">
        <v>11</v>
      </c>
      <c r="C256">
        <v>17093.330000000002</v>
      </c>
      <c r="D256">
        <v>48798.47</v>
      </c>
      <c r="G256">
        <v>0.25468600000000002</v>
      </c>
      <c r="H256">
        <v>0</v>
      </c>
      <c r="I256">
        <v>168078.04</v>
      </c>
      <c r="J256">
        <v>643032.05000000005</v>
      </c>
      <c r="K256">
        <v>0</v>
      </c>
      <c r="L256">
        <v>3553012.2</v>
      </c>
      <c r="M256">
        <v>0</v>
      </c>
      <c r="N256">
        <v>804898.12</v>
      </c>
      <c r="O256">
        <v>46795.23</v>
      </c>
      <c r="P256">
        <v>38287.629999999997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821560.86</v>
      </c>
      <c r="W256">
        <v>0</v>
      </c>
      <c r="X256">
        <v>0</v>
      </c>
      <c r="Y256">
        <v>0</v>
      </c>
      <c r="Z256">
        <v>127428.8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805384.81</v>
      </c>
      <c r="AH256">
        <v>0</v>
      </c>
      <c r="AI256">
        <v>0</v>
      </c>
      <c r="AJ256">
        <v>4106540016.0195298</v>
      </c>
    </row>
    <row r="257" spans="1:36" x14ac:dyDescent="0.25">
      <c r="A257" t="s">
        <v>574</v>
      </c>
      <c r="B257" t="s">
        <v>11</v>
      </c>
      <c r="C257">
        <v>7273.96</v>
      </c>
      <c r="D257">
        <v>20765.89</v>
      </c>
      <c r="G257">
        <v>0.10838</v>
      </c>
      <c r="H257">
        <v>0</v>
      </c>
      <c r="I257">
        <v>253085.13</v>
      </c>
      <c r="J257">
        <v>163686.57</v>
      </c>
      <c r="K257">
        <v>0</v>
      </c>
      <c r="L257">
        <v>936314.72</v>
      </c>
      <c r="M257">
        <v>0</v>
      </c>
      <c r="N257">
        <v>225586.6</v>
      </c>
      <c r="O257">
        <v>173720.03</v>
      </c>
      <c r="P257">
        <v>160771.15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362798.7</v>
      </c>
      <c r="W257">
        <v>0</v>
      </c>
      <c r="X257">
        <v>0</v>
      </c>
      <c r="Y257">
        <v>0</v>
      </c>
      <c r="Z257">
        <v>68627.600000000006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530225.93999999994</v>
      </c>
      <c r="AH257">
        <v>0</v>
      </c>
      <c r="AI257">
        <v>0</v>
      </c>
      <c r="AJ257">
        <v>1323484030.74508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931CC-E0A3-45B3-ABD2-7FE71D5A6D5D}">
  <dimension ref="A1:AJ33"/>
  <sheetViews>
    <sheetView workbookViewId="0"/>
  </sheetViews>
  <sheetFormatPr defaultRowHeight="15" x14ac:dyDescent="0.25"/>
  <sheetData>
    <row r="1" spans="1:3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</row>
    <row r="2" spans="1:36" x14ac:dyDescent="0.25">
      <c r="A2" t="s">
        <v>575</v>
      </c>
      <c r="B2" t="s">
        <v>26</v>
      </c>
      <c r="C2">
        <v>1556.83</v>
      </c>
      <c r="D2">
        <v>4444.49</v>
      </c>
      <c r="G2">
        <v>2.3196000000000001E-2</v>
      </c>
      <c r="H2">
        <v>0</v>
      </c>
      <c r="I2">
        <v>222981.8</v>
      </c>
      <c r="J2">
        <v>125722.95</v>
      </c>
      <c r="K2">
        <v>0</v>
      </c>
      <c r="L2">
        <v>179632.92</v>
      </c>
      <c r="M2">
        <v>0</v>
      </c>
      <c r="N2">
        <v>102731.31</v>
      </c>
      <c r="O2">
        <v>29039.31</v>
      </c>
      <c r="P2">
        <v>22029.72</v>
      </c>
      <c r="Q2">
        <v>0</v>
      </c>
      <c r="R2">
        <v>0</v>
      </c>
      <c r="S2">
        <v>0</v>
      </c>
      <c r="T2">
        <v>0</v>
      </c>
      <c r="U2">
        <v>0</v>
      </c>
      <c r="V2">
        <v>163901.23000000001</v>
      </c>
      <c r="W2">
        <v>0</v>
      </c>
      <c r="X2">
        <v>0</v>
      </c>
      <c r="Y2">
        <v>0</v>
      </c>
      <c r="Z2">
        <v>25988.9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11819.3</v>
      </c>
      <c r="AH2">
        <v>0</v>
      </c>
      <c r="AI2">
        <v>0</v>
      </c>
      <c r="AJ2">
        <v>627774788.17927301</v>
      </c>
    </row>
    <row r="3" spans="1:36" x14ac:dyDescent="0.25">
      <c r="A3" t="s">
        <v>576</v>
      </c>
      <c r="B3" t="s">
        <v>26</v>
      </c>
      <c r="D3">
        <v>4444.49</v>
      </c>
      <c r="E3">
        <v>1556.83</v>
      </c>
      <c r="G3">
        <v>2.3196000000000001E-2</v>
      </c>
      <c r="H3">
        <v>0</v>
      </c>
      <c r="I3">
        <v>206975.52</v>
      </c>
      <c r="J3">
        <v>125722.95</v>
      </c>
      <c r="K3">
        <v>0</v>
      </c>
      <c r="L3">
        <v>179632.92</v>
      </c>
      <c r="M3">
        <v>0</v>
      </c>
      <c r="N3">
        <v>102720.43</v>
      </c>
      <c r="O3">
        <v>25585.759999999998</v>
      </c>
      <c r="P3">
        <v>21760.25</v>
      </c>
      <c r="Q3">
        <v>0</v>
      </c>
      <c r="R3">
        <v>0</v>
      </c>
      <c r="S3">
        <v>0</v>
      </c>
      <c r="T3">
        <v>0</v>
      </c>
      <c r="U3">
        <v>0</v>
      </c>
      <c r="V3">
        <v>165339.12</v>
      </c>
      <c r="W3">
        <v>0</v>
      </c>
      <c r="X3">
        <v>0</v>
      </c>
      <c r="Y3">
        <v>0</v>
      </c>
      <c r="Z3">
        <v>25988.9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11788.24</v>
      </c>
      <c r="AH3">
        <v>0</v>
      </c>
      <c r="AI3">
        <v>0</v>
      </c>
      <c r="AJ3">
        <v>616209022.06596005</v>
      </c>
    </row>
    <row r="4" spans="1:36" x14ac:dyDescent="0.25">
      <c r="A4" t="s">
        <v>577</v>
      </c>
      <c r="B4" t="s">
        <v>25</v>
      </c>
      <c r="C4">
        <v>1847.44</v>
      </c>
      <c r="D4">
        <v>5274.1</v>
      </c>
      <c r="G4">
        <v>2.7525999999999998E-2</v>
      </c>
      <c r="H4">
        <v>0</v>
      </c>
      <c r="I4">
        <v>460163.45</v>
      </c>
      <c r="J4">
        <v>125722.95</v>
      </c>
      <c r="K4">
        <v>0</v>
      </c>
      <c r="L4">
        <v>179632.92</v>
      </c>
      <c r="M4">
        <v>0</v>
      </c>
      <c r="N4">
        <v>113955.08</v>
      </c>
      <c r="O4">
        <v>41259.96</v>
      </c>
      <c r="P4">
        <v>38463.839999999997</v>
      </c>
      <c r="Q4">
        <v>0</v>
      </c>
      <c r="R4">
        <v>0</v>
      </c>
      <c r="S4">
        <v>0</v>
      </c>
      <c r="T4">
        <v>0</v>
      </c>
      <c r="U4">
        <v>0</v>
      </c>
      <c r="V4">
        <v>131080.57999999999</v>
      </c>
      <c r="W4">
        <v>0</v>
      </c>
      <c r="X4">
        <v>0</v>
      </c>
      <c r="Y4">
        <v>0</v>
      </c>
      <c r="Z4">
        <v>25988.9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9051.49</v>
      </c>
      <c r="AH4">
        <v>0</v>
      </c>
      <c r="AI4">
        <v>0</v>
      </c>
      <c r="AJ4">
        <v>827114020.915869</v>
      </c>
    </row>
    <row r="5" spans="1:36" x14ac:dyDescent="0.25">
      <c r="A5" t="s">
        <v>578</v>
      </c>
      <c r="B5" t="s">
        <v>25</v>
      </c>
      <c r="D5">
        <v>5274.1</v>
      </c>
      <c r="E5">
        <v>1847.44</v>
      </c>
      <c r="G5">
        <v>2.7525999999999998E-2</v>
      </c>
      <c r="H5">
        <v>0</v>
      </c>
      <c r="I5">
        <v>372803.68</v>
      </c>
      <c r="J5">
        <v>125722.95</v>
      </c>
      <c r="K5">
        <v>0</v>
      </c>
      <c r="L5">
        <v>179632.92</v>
      </c>
      <c r="M5">
        <v>0</v>
      </c>
      <c r="N5">
        <v>113951.3</v>
      </c>
      <c r="O5">
        <v>35130.410000000003</v>
      </c>
      <c r="P5">
        <v>38249.57</v>
      </c>
      <c r="Q5">
        <v>0</v>
      </c>
      <c r="R5">
        <v>0</v>
      </c>
      <c r="S5">
        <v>0</v>
      </c>
      <c r="T5">
        <v>0</v>
      </c>
      <c r="U5">
        <v>0</v>
      </c>
      <c r="V5">
        <v>132021.42000000001</v>
      </c>
      <c r="W5">
        <v>0</v>
      </c>
      <c r="X5">
        <v>0</v>
      </c>
      <c r="Y5">
        <v>0</v>
      </c>
      <c r="Z5">
        <v>25988.9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9028.48</v>
      </c>
      <c r="AH5">
        <v>0</v>
      </c>
      <c r="AI5">
        <v>0</v>
      </c>
      <c r="AJ5">
        <v>790513946.93565297</v>
      </c>
    </row>
    <row r="6" spans="1:36" x14ac:dyDescent="0.25">
      <c r="A6" t="s">
        <v>579</v>
      </c>
      <c r="B6" t="s">
        <v>24</v>
      </c>
      <c r="C6">
        <v>1784.58</v>
      </c>
      <c r="D6">
        <v>5094.66</v>
      </c>
      <c r="G6">
        <v>2.6589999999999999E-2</v>
      </c>
      <c r="H6">
        <v>0</v>
      </c>
      <c r="I6">
        <v>327065.45</v>
      </c>
      <c r="J6">
        <v>125722.95</v>
      </c>
      <c r="K6">
        <v>0</v>
      </c>
      <c r="L6">
        <v>179632.92</v>
      </c>
      <c r="M6">
        <v>0</v>
      </c>
      <c r="N6">
        <v>102850.54</v>
      </c>
      <c r="O6">
        <v>34307.22</v>
      </c>
      <c r="P6">
        <v>31084.97</v>
      </c>
      <c r="Q6">
        <v>0</v>
      </c>
      <c r="R6">
        <v>0</v>
      </c>
      <c r="S6">
        <v>0</v>
      </c>
      <c r="T6">
        <v>0</v>
      </c>
      <c r="U6">
        <v>0</v>
      </c>
      <c r="V6">
        <v>111912.84</v>
      </c>
      <c r="W6">
        <v>0</v>
      </c>
      <c r="X6">
        <v>0</v>
      </c>
      <c r="Y6">
        <v>0</v>
      </c>
      <c r="Z6">
        <v>25988.9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10061.32</v>
      </c>
      <c r="AH6">
        <v>0</v>
      </c>
      <c r="AI6">
        <v>0</v>
      </c>
      <c r="AJ6">
        <v>814175516.42428899</v>
      </c>
    </row>
    <row r="7" spans="1:36" x14ac:dyDescent="0.25">
      <c r="A7" t="s">
        <v>580</v>
      </c>
      <c r="B7" t="s">
        <v>24</v>
      </c>
      <c r="D7">
        <v>5094.66</v>
      </c>
      <c r="E7">
        <v>1784.58</v>
      </c>
      <c r="G7">
        <v>2.6589999999999999E-2</v>
      </c>
      <c r="H7">
        <v>0</v>
      </c>
      <c r="I7">
        <v>299614.90999999997</v>
      </c>
      <c r="J7">
        <v>125722.95</v>
      </c>
      <c r="K7">
        <v>0</v>
      </c>
      <c r="L7">
        <v>179632.92</v>
      </c>
      <c r="M7">
        <v>0</v>
      </c>
      <c r="N7">
        <v>102820.75</v>
      </c>
      <c r="O7">
        <v>30463.86</v>
      </c>
      <c r="P7">
        <v>30826.62</v>
      </c>
      <c r="Q7">
        <v>0</v>
      </c>
      <c r="R7">
        <v>0</v>
      </c>
      <c r="S7">
        <v>0</v>
      </c>
      <c r="T7">
        <v>0</v>
      </c>
      <c r="U7">
        <v>0</v>
      </c>
      <c r="V7">
        <v>111852.1</v>
      </c>
      <c r="W7">
        <v>0</v>
      </c>
      <c r="X7">
        <v>0</v>
      </c>
      <c r="Y7">
        <v>0</v>
      </c>
      <c r="Z7">
        <v>25988.9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10025.379999999999</v>
      </c>
      <c r="AH7">
        <v>0</v>
      </c>
      <c r="AI7">
        <v>0</v>
      </c>
      <c r="AJ7">
        <v>821948522.28135097</v>
      </c>
    </row>
    <row r="8" spans="1:36" x14ac:dyDescent="0.25">
      <c r="A8" t="s">
        <v>581</v>
      </c>
      <c r="B8" t="s">
        <v>22</v>
      </c>
      <c r="C8">
        <v>1722.77</v>
      </c>
      <c r="D8">
        <v>4918.2</v>
      </c>
      <c r="G8">
        <v>2.5669000000000001E-2</v>
      </c>
      <c r="H8">
        <v>0</v>
      </c>
      <c r="I8">
        <v>252880.21</v>
      </c>
      <c r="J8">
        <v>125722.95</v>
      </c>
      <c r="K8">
        <v>0</v>
      </c>
      <c r="L8">
        <v>179632.92</v>
      </c>
      <c r="M8">
        <v>0</v>
      </c>
      <c r="N8">
        <v>76392.56</v>
      </c>
      <c r="O8">
        <v>28810.17</v>
      </c>
      <c r="P8">
        <v>25933.119999999999</v>
      </c>
      <c r="Q8">
        <v>0</v>
      </c>
      <c r="R8">
        <v>0</v>
      </c>
      <c r="S8">
        <v>0</v>
      </c>
      <c r="T8">
        <v>0</v>
      </c>
      <c r="U8">
        <v>0</v>
      </c>
      <c r="V8">
        <v>126633.28</v>
      </c>
      <c r="W8">
        <v>0</v>
      </c>
      <c r="X8">
        <v>0</v>
      </c>
      <c r="Y8">
        <v>0</v>
      </c>
      <c r="Z8">
        <v>25988.9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11104.25</v>
      </c>
      <c r="AH8">
        <v>0</v>
      </c>
      <c r="AI8">
        <v>0</v>
      </c>
      <c r="AJ8">
        <v>737120590.280532</v>
      </c>
    </row>
    <row r="9" spans="1:36" x14ac:dyDescent="0.25">
      <c r="A9" t="s">
        <v>582</v>
      </c>
      <c r="B9" t="s">
        <v>23</v>
      </c>
      <c r="D9">
        <v>5150.04</v>
      </c>
      <c r="E9">
        <v>1803.98</v>
      </c>
      <c r="G9">
        <v>2.6879E-2</v>
      </c>
      <c r="H9">
        <v>0</v>
      </c>
      <c r="I9">
        <v>246553.97</v>
      </c>
      <c r="J9">
        <v>125722.95</v>
      </c>
      <c r="K9">
        <v>0</v>
      </c>
      <c r="L9">
        <v>179632.92</v>
      </c>
      <c r="M9">
        <v>0</v>
      </c>
      <c r="N9">
        <v>89902.25</v>
      </c>
      <c r="O9">
        <v>27404.74</v>
      </c>
      <c r="P9">
        <v>28954.85</v>
      </c>
      <c r="Q9">
        <v>0</v>
      </c>
      <c r="R9">
        <v>0</v>
      </c>
      <c r="S9">
        <v>0</v>
      </c>
      <c r="T9">
        <v>0</v>
      </c>
      <c r="U9">
        <v>0</v>
      </c>
      <c r="V9">
        <v>128378.19</v>
      </c>
      <c r="W9">
        <v>0</v>
      </c>
      <c r="X9">
        <v>0</v>
      </c>
      <c r="Y9">
        <v>0</v>
      </c>
      <c r="Z9">
        <v>25988.9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10573.56</v>
      </c>
      <c r="AH9">
        <v>0</v>
      </c>
      <c r="AI9">
        <v>0</v>
      </c>
      <c r="AJ9">
        <v>732573305.16424406</v>
      </c>
    </row>
    <row r="10" spans="1:36" x14ac:dyDescent="0.25">
      <c r="A10" t="s">
        <v>583</v>
      </c>
      <c r="B10" t="s">
        <v>22</v>
      </c>
      <c r="D10">
        <v>4918.2</v>
      </c>
      <c r="E10">
        <v>1722.77</v>
      </c>
      <c r="G10">
        <v>2.5669000000000001E-2</v>
      </c>
      <c r="H10">
        <v>0</v>
      </c>
      <c r="I10">
        <v>194155.98</v>
      </c>
      <c r="J10">
        <v>125722.95</v>
      </c>
      <c r="K10">
        <v>0</v>
      </c>
      <c r="L10">
        <v>179632.92</v>
      </c>
      <c r="M10">
        <v>0</v>
      </c>
      <c r="N10">
        <v>76436.92</v>
      </c>
      <c r="O10">
        <v>24463.27</v>
      </c>
      <c r="P10">
        <v>25535.33</v>
      </c>
      <c r="Q10">
        <v>0</v>
      </c>
      <c r="R10">
        <v>0</v>
      </c>
      <c r="S10">
        <v>0</v>
      </c>
      <c r="T10">
        <v>0</v>
      </c>
      <c r="U10">
        <v>0</v>
      </c>
      <c r="V10">
        <v>127239.53</v>
      </c>
      <c r="W10">
        <v>0</v>
      </c>
      <c r="X10">
        <v>0</v>
      </c>
      <c r="Y10">
        <v>0</v>
      </c>
      <c r="Z10">
        <v>25988.9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11150.86</v>
      </c>
      <c r="AH10">
        <v>0</v>
      </c>
      <c r="AI10">
        <v>0</v>
      </c>
      <c r="AJ10">
        <v>646106244.947914</v>
      </c>
    </row>
    <row r="11" spans="1:36" x14ac:dyDescent="0.25">
      <c r="A11" t="s">
        <v>584</v>
      </c>
      <c r="B11" t="s">
        <v>23</v>
      </c>
      <c r="C11">
        <v>1803.98</v>
      </c>
      <c r="D11">
        <v>5150.04</v>
      </c>
      <c r="G11">
        <v>2.6879E-2</v>
      </c>
      <c r="H11">
        <v>0</v>
      </c>
      <c r="I11">
        <v>314839.34000000003</v>
      </c>
      <c r="J11">
        <v>125722.95</v>
      </c>
      <c r="K11">
        <v>0</v>
      </c>
      <c r="L11">
        <v>179632.92</v>
      </c>
      <c r="M11">
        <v>0</v>
      </c>
      <c r="N11">
        <v>89854.13</v>
      </c>
      <c r="O11">
        <v>32055.55</v>
      </c>
      <c r="P11">
        <v>29266.5</v>
      </c>
      <c r="Q11">
        <v>0</v>
      </c>
      <c r="R11">
        <v>0</v>
      </c>
      <c r="S11">
        <v>0</v>
      </c>
      <c r="T11">
        <v>0</v>
      </c>
      <c r="U11">
        <v>0</v>
      </c>
      <c r="V11">
        <v>127567.56</v>
      </c>
      <c r="W11">
        <v>0</v>
      </c>
      <c r="X11">
        <v>0</v>
      </c>
      <c r="Y11">
        <v>0</v>
      </c>
      <c r="Z11">
        <v>25988.9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10568.12</v>
      </c>
      <c r="AH11">
        <v>0</v>
      </c>
      <c r="AI11">
        <v>0</v>
      </c>
      <c r="AJ11">
        <v>795306813.98017395</v>
      </c>
    </row>
    <row r="12" spans="1:36" x14ac:dyDescent="0.25">
      <c r="A12" t="s">
        <v>585</v>
      </c>
      <c r="B12" t="s">
        <v>21</v>
      </c>
      <c r="D12">
        <v>5085.88</v>
      </c>
      <c r="E12">
        <v>1781.5</v>
      </c>
      <c r="G12">
        <v>2.6544000000000002E-2</v>
      </c>
      <c r="H12">
        <v>0</v>
      </c>
      <c r="I12">
        <v>222030.1</v>
      </c>
      <c r="J12">
        <v>125722.95</v>
      </c>
      <c r="K12">
        <v>0</v>
      </c>
      <c r="L12">
        <v>179632.92</v>
      </c>
      <c r="M12">
        <v>0</v>
      </c>
      <c r="N12">
        <v>88119.679999999993</v>
      </c>
      <c r="O12">
        <v>25564.04</v>
      </c>
      <c r="P12">
        <v>26757.599999999999</v>
      </c>
      <c r="Q12">
        <v>0</v>
      </c>
      <c r="R12">
        <v>0</v>
      </c>
      <c r="S12">
        <v>0</v>
      </c>
      <c r="T12">
        <v>0</v>
      </c>
      <c r="U12">
        <v>0</v>
      </c>
      <c r="V12">
        <v>151728.78</v>
      </c>
      <c r="W12">
        <v>0</v>
      </c>
      <c r="X12">
        <v>0</v>
      </c>
      <c r="Y12">
        <v>0</v>
      </c>
      <c r="Z12">
        <v>25988.9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10785.6</v>
      </c>
      <c r="AH12">
        <v>0</v>
      </c>
      <c r="AI12">
        <v>0</v>
      </c>
      <c r="AJ12">
        <v>698695229.995</v>
      </c>
    </row>
    <row r="13" spans="1:36" x14ac:dyDescent="0.25">
      <c r="A13" t="s">
        <v>586</v>
      </c>
      <c r="B13" t="s">
        <v>21</v>
      </c>
      <c r="C13">
        <v>1781.5</v>
      </c>
      <c r="D13">
        <v>5085.88</v>
      </c>
      <c r="G13">
        <v>2.6544000000000002E-2</v>
      </c>
      <c r="H13">
        <v>0</v>
      </c>
      <c r="I13">
        <v>280072.07</v>
      </c>
      <c r="J13">
        <v>125722.95</v>
      </c>
      <c r="K13">
        <v>0</v>
      </c>
      <c r="L13">
        <v>179632.92</v>
      </c>
      <c r="M13">
        <v>0</v>
      </c>
      <c r="N13">
        <v>88090.44</v>
      </c>
      <c r="O13">
        <v>29906.95</v>
      </c>
      <c r="P13">
        <v>27044.3</v>
      </c>
      <c r="Q13">
        <v>0</v>
      </c>
      <c r="R13">
        <v>0</v>
      </c>
      <c r="S13">
        <v>0</v>
      </c>
      <c r="T13">
        <v>0</v>
      </c>
      <c r="U13">
        <v>0</v>
      </c>
      <c r="V13">
        <v>150379.35999999999</v>
      </c>
      <c r="W13">
        <v>0</v>
      </c>
      <c r="X13">
        <v>0</v>
      </c>
      <c r="Y13">
        <v>0</v>
      </c>
      <c r="Z13">
        <v>25988.9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10784.19</v>
      </c>
      <c r="AH13">
        <v>0</v>
      </c>
      <c r="AI13">
        <v>0</v>
      </c>
      <c r="AJ13">
        <v>770329904.16336501</v>
      </c>
    </row>
    <row r="14" spans="1:36" x14ac:dyDescent="0.25">
      <c r="A14" t="s">
        <v>587</v>
      </c>
      <c r="B14" t="s">
        <v>20</v>
      </c>
      <c r="C14">
        <v>1720.44</v>
      </c>
      <c r="D14">
        <v>4911.5600000000004</v>
      </c>
      <c r="G14">
        <v>2.5634000000000001E-2</v>
      </c>
      <c r="H14">
        <v>0</v>
      </c>
      <c r="I14">
        <v>297674.76</v>
      </c>
      <c r="J14">
        <v>125722.95</v>
      </c>
      <c r="K14">
        <v>0</v>
      </c>
      <c r="L14">
        <v>179632.92</v>
      </c>
      <c r="M14">
        <v>0</v>
      </c>
      <c r="N14">
        <v>85893.14</v>
      </c>
      <c r="O14">
        <v>33206.83</v>
      </c>
      <c r="P14">
        <v>30666.22</v>
      </c>
      <c r="Q14">
        <v>0</v>
      </c>
      <c r="R14">
        <v>0</v>
      </c>
      <c r="S14">
        <v>0</v>
      </c>
      <c r="T14">
        <v>0</v>
      </c>
      <c r="U14">
        <v>0</v>
      </c>
      <c r="V14">
        <v>98561.16</v>
      </c>
      <c r="W14">
        <v>0</v>
      </c>
      <c r="X14">
        <v>0</v>
      </c>
      <c r="Y14">
        <v>0</v>
      </c>
      <c r="Z14">
        <v>25988.9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10585.48</v>
      </c>
      <c r="AH14">
        <v>0</v>
      </c>
      <c r="AI14">
        <v>0</v>
      </c>
      <c r="AJ14">
        <v>710491158.02423203</v>
      </c>
    </row>
    <row r="15" spans="1:36" x14ac:dyDescent="0.25">
      <c r="A15" t="s">
        <v>588</v>
      </c>
      <c r="B15" t="s">
        <v>19</v>
      </c>
      <c r="D15">
        <v>4507.54</v>
      </c>
      <c r="E15">
        <v>1578.92</v>
      </c>
      <c r="G15">
        <v>2.3525000000000001E-2</v>
      </c>
      <c r="H15">
        <v>0</v>
      </c>
      <c r="I15">
        <v>260926.97</v>
      </c>
      <c r="J15">
        <v>125722.95</v>
      </c>
      <c r="K15">
        <v>0</v>
      </c>
      <c r="L15">
        <v>179632.92</v>
      </c>
      <c r="M15">
        <v>0</v>
      </c>
      <c r="N15">
        <v>78313.98</v>
      </c>
      <c r="O15">
        <v>29134.82</v>
      </c>
      <c r="P15">
        <v>30435.93</v>
      </c>
      <c r="Q15">
        <v>0</v>
      </c>
      <c r="R15">
        <v>0</v>
      </c>
      <c r="S15">
        <v>0</v>
      </c>
      <c r="T15">
        <v>0</v>
      </c>
      <c r="U15">
        <v>0</v>
      </c>
      <c r="V15">
        <v>64643.95</v>
      </c>
      <c r="W15">
        <v>0</v>
      </c>
      <c r="X15">
        <v>0</v>
      </c>
      <c r="Y15">
        <v>0</v>
      </c>
      <c r="Z15">
        <v>25988.9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10727.66</v>
      </c>
      <c r="AH15">
        <v>0</v>
      </c>
      <c r="AI15">
        <v>0</v>
      </c>
      <c r="AJ15">
        <v>585631595.65516305</v>
      </c>
    </row>
    <row r="16" spans="1:36" x14ac:dyDescent="0.25">
      <c r="A16" t="s">
        <v>589</v>
      </c>
      <c r="B16" t="s">
        <v>20</v>
      </c>
      <c r="D16">
        <v>4911.5600000000004</v>
      </c>
      <c r="E16">
        <v>1720.44</v>
      </c>
      <c r="G16">
        <v>2.5634000000000001E-2</v>
      </c>
      <c r="H16">
        <v>0</v>
      </c>
      <c r="I16">
        <v>224995.29</v>
      </c>
      <c r="J16">
        <v>125722.95</v>
      </c>
      <c r="K16">
        <v>0</v>
      </c>
      <c r="L16">
        <v>179632.92</v>
      </c>
      <c r="M16">
        <v>0</v>
      </c>
      <c r="N16">
        <v>85986.74</v>
      </c>
      <c r="O16">
        <v>28300.81</v>
      </c>
      <c r="P16">
        <v>30369.200000000001</v>
      </c>
      <c r="Q16">
        <v>0</v>
      </c>
      <c r="R16">
        <v>0</v>
      </c>
      <c r="S16">
        <v>0</v>
      </c>
      <c r="T16">
        <v>0</v>
      </c>
      <c r="U16">
        <v>0</v>
      </c>
      <c r="V16">
        <v>99582.21</v>
      </c>
      <c r="W16">
        <v>0</v>
      </c>
      <c r="X16">
        <v>0</v>
      </c>
      <c r="Y16">
        <v>0</v>
      </c>
      <c r="Z16">
        <v>25988.9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10564.6</v>
      </c>
      <c r="AH16">
        <v>0</v>
      </c>
      <c r="AI16">
        <v>0</v>
      </c>
      <c r="AJ16">
        <v>611048479.00726604</v>
      </c>
    </row>
    <row r="17" spans="1:36" x14ac:dyDescent="0.25">
      <c r="A17" t="s">
        <v>590</v>
      </c>
      <c r="B17" t="s">
        <v>19</v>
      </c>
      <c r="C17">
        <v>1578.92</v>
      </c>
      <c r="D17">
        <v>4507.54</v>
      </c>
      <c r="G17">
        <v>2.3525000000000001E-2</v>
      </c>
      <c r="H17">
        <v>0</v>
      </c>
      <c r="I17">
        <v>276899.93</v>
      </c>
      <c r="J17">
        <v>125722.95</v>
      </c>
      <c r="K17">
        <v>0</v>
      </c>
      <c r="L17">
        <v>179632.92</v>
      </c>
      <c r="M17">
        <v>0</v>
      </c>
      <c r="N17">
        <v>78307.3</v>
      </c>
      <c r="O17">
        <v>32544.58</v>
      </c>
      <c r="P17">
        <v>30543.32</v>
      </c>
      <c r="Q17">
        <v>0</v>
      </c>
      <c r="R17">
        <v>0</v>
      </c>
      <c r="S17">
        <v>0</v>
      </c>
      <c r="T17">
        <v>0</v>
      </c>
      <c r="U17">
        <v>0</v>
      </c>
      <c r="V17">
        <v>65004.959999999999</v>
      </c>
      <c r="W17">
        <v>0</v>
      </c>
      <c r="X17">
        <v>0</v>
      </c>
      <c r="Y17">
        <v>0</v>
      </c>
      <c r="Z17">
        <v>25988.9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10793.7</v>
      </c>
      <c r="AH17">
        <v>0</v>
      </c>
      <c r="AI17">
        <v>0</v>
      </c>
      <c r="AJ17">
        <v>615974957.18231797</v>
      </c>
    </row>
    <row r="18" spans="1:36" x14ac:dyDescent="0.25">
      <c r="A18" t="s">
        <v>591</v>
      </c>
      <c r="B18" t="s">
        <v>18</v>
      </c>
      <c r="D18">
        <v>4498.1400000000003</v>
      </c>
      <c r="E18">
        <v>1575.63</v>
      </c>
      <c r="G18">
        <v>2.3476E-2</v>
      </c>
      <c r="H18">
        <v>0</v>
      </c>
      <c r="I18">
        <v>198907.4</v>
      </c>
      <c r="J18">
        <v>125722.95</v>
      </c>
      <c r="K18">
        <v>0</v>
      </c>
      <c r="L18">
        <v>179632.92</v>
      </c>
      <c r="M18">
        <v>0</v>
      </c>
      <c r="N18">
        <v>71448.89</v>
      </c>
      <c r="O18">
        <v>27360.7</v>
      </c>
      <c r="P18">
        <v>29705.89</v>
      </c>
      <c r="Q18">
        <v>0</v>
      </c>
      <c r="R18">
        <v>0</v>
      </c>
      <c r="S18">
        <v>0</v>
      </c>
      <c r="T18">
        <v>0</v>
      </c>
      <c r="U18">
        <v>0</v>
      </c>
      <c r="V18">
        <v>60055.3</v>
      </c>
      <c r="W18">
        <v>0</v>
      </c>
      <c r="X18">
        <v>0</v>
      </c>
      <c r="Y18">
        <v>0</v>
      </c>
      <c r="Z18">
        <v>25988.9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10836.58</v>
      </c>
      <c r="AH18">
        <v>0</v>
      </c>
      <c r="AI18">
        <v>0</v>
      </c>
      <c r="AJ18">
        <v>499455111.43771797</v>
      </c>
    </row>
    <row r="19" spans="1:36" x14ac:dyDescent="0.25">
      <c r="A19" t="s">
        <v>592</v>
      </c>
      <c r="B19" t="s">
        <v>17</v>
      </c>
      <c r="D19">
        <v>4099.97</v>
      </c>
      <c r="E19">
        <v>1436.16</v>
      </c>
      <c r="G19">
        <v>2.1398E-2</v>
      </c>
      <c r="H19">
        <v>0</v>
      </c>
      <c r="I19">
        <v>222306.07</v>
      </c>
      <c r="J19">
        <v>125722.95</v>
      </c>
      <c r="K19">
        <v>0</v>
      </c>
      <c r="L19">
        <v>179632.92</v>
      </c>
      <c r="M19">
        <v>0</v>
      </c>
      <c r="N19">
        <v>69676.28</v>
      </c>
      <c r="O19">
        <v>27155.73</v>
      </c>
      <c r="P19">
        <v>28349.66</v>
      </c>
      <c r="Q19">
        <v>0</v>
      </c>
      <c r="R19">
        <v>0</v>
      </c>
      <c r="S19">
        <v>0</v>
      </c>
      <c r="T19">
        <v>0</v>
      </c>
      <c r="U19">
        <v>0</v>
      </c>
      <c r="V19">
        <v>46536.7</v>
      </c>
      <c r="W19">
        <v>0</v>
      </c>
      <c r="X19">
        <v>0</v>
      </c>
      <c r="Y19">
        <v>0</v>
      </c>
      <c r="Z19">
        <v>25988.9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10842.76</v>
      </c>
      <c r="AH19">
        <v>0</v>
      </c>
      <c r="AI19">
        <v>0</v>
      </c>
      <c r="AJ19">
        <v>588197497.18910396</v>
      </c>
    </row>
    <row r="20" spans="1:36" x14ac:dyDescent="0.25">
      <c r="A20" t="s">
        <v>593</v>
      </c>
      <c r="B20" t="s">
        <v>17</v>
      </c>
      <c r="C20">
        <v>1436.16</v>
      </c>
      <c r="D20">
        <v>4099.97</v>
      </c>
      <c r="G20">
        <v>2.1398E-2</v>
      </c>
      <c r="H20">
        <v>0</v>
      </c>
      <c r="I20">
        <v>238147.61</v>
      </c>
      <c r="J20">
        <v>125722.95</v>
      </c>
      <c r="K20">
        <v>0</v>
      </c>
      <c r="L20">
        <v>179632.92</v>
      </c>
      <c r="M20">
        <v>0</v>
      </c>
      <c r="N20">
        <v>69666.73</v>
      </c>
      <c r="O20">
        <v>30266.560000000001</v>
      </c>
      <c r="P20">
        <v>28431.94</v>
      </c>
      <c r="Q20">
        <v>0</v>
      </c>
      <c r="R20">
        <v>0</v>
      </c>
      <c r="S20">
        <v>0</v>
      </c>
      <c r="T20">
        <v>0</v>
      </c>
      <c r="U20">
        <v>0</v>
      </c>
      <c r="V20">
        <v>46965.01</v>
      </c>
      <c r="W20">
        <v>0</v>
      </c>
      <c r="X20">
        <v>0</v>
      </c>
      <c r="Y20">
        <v>0</v>
      </c>
      <c r="Z20">
        <v>25988.9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10849.82</v>
      </c>
      <c r="AH20">
        <v>0</v>
      </c>
      <c r="AI20">
        <v>0</v>
      </c>
      <c r="AJ20">
        <v>592590655.75157905</v>
      </c>
    </row>
    <row r="21" spans="1:36" x14ac:dyDescent="0.25">
      <c r="A21" t="s">
        <v>594</v>
      </c>
      <c r="B21" t="s">
        <v>18</v>
      </c>
      <c r="C21">
        <v>1575.63</v>
      </c>
      <c r="D21">
        <v>4498.1400000000003</v>
      </c>
      <c r="G21">
        <v>2.3476E-2</v>
      </c>
      <c r="H21">
        <v>0</v>
      </c>
      <c r="I21">
        <v>258576.06</v>
      </c>
      <c r="J21">
        <v>125722.95</v>
      </c>
      <c r="K21">
        <v>0</v>
      </c>
      <c r="L21">
        <v>179632.92</v>
      </c>
      <c r="M21">
        <v>0</v>
      </c>
      <c r="N21">
        <v>71389.61</v>
      </c>
      <c r="O21">
        <v>31853.08</v>
      </c>
      <c r="P21">
        <v>29827.67</v>
      </c>
      <c r="Q21">
        <v>0</v>
      </c>
      <c r="R21">
        <v>0</v>
      </c>
      <c r="S21">
        <v>0</v>
      </c>
      <c r="T21">
        <v>0</v>
      </c>
      <c r="U21">
        <v>0</v>
      </c>
      <c r="V21">
        <v>59860.47</v>
      </c>
      <c r="W21">
        <v>0</v>
      </c>
      <c r="X21">
        <v>0</v>
      </c>
      <c r="Y21">
        <v>0</v>
      </c>
      <c r="Z21">
        <v>25988.9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10790.14</v>
      </c>
      <c r="AH21">
        <v>0</v>
      </c>
      <c r="AI21">
        <v>0</v>
      </c>
      <c r="AJ21">
        <v>594888085.65891802</v>
      </c>
    </row>
    <row r="22" spans="1:36" x14ac:dyDescent="0.25">
      <c r="A22" t="s">
        <v>595</v>
      </c>
      <c r="B22" t="s">
        <v>16</v>
      </c>
      <c r="C22">
        <v>1408.3</v>
      </c>
      <c r="D22">
        <v>4020.46</v>
      </c>
      <c r="G22">
        <v>2.0983000000000002E-2</v>
      </c>
      <c r="H22">
        <v>0</v>
      </c>
      <c r="I22">
        <v>210983.17</v>
      </c>
      <c r="J22">
        <v>125722.95</v>
      </c>
      <c r="K22">
        <v>0</v>
      </c>
      <c r="L22">
        <v>179632.92</v>
      </c>
      <c r="M22">
        <v>0</v>
      </c>
      <c r="N22">
        <v>59483.27</v>
      </c>
      <c r="O22">
        <v>28529.22</v>
      </c>
      <c r="P22">
        <v>26795.11</v>
      </c>
      <c r="Q22">
        <v>0</v>
      </c>
      <c r="R22">
        <v>0</v>
      </c>
      <c r="S22">
        <v>0</v>
      </c>
      <c r="T22">
        <v>0</v>
      </c>
      <c r="U22">
        <v>0</v>
      </c>
      <c r="V22">
        <v>26211.74</v>
      </c>
      <c r="W22">
        <v>0</v>
      </c>
      <c r="X22">
        <v>0</v>
      </c>
      <c r="Y22">
        <v>0</v>
      </c>
      <c r="Z22">
        <v>25988.9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11000.94</v>
      </c>
      <c r="AH22">
        <v>0</v>
      </c>
      <c r="AI22">
        <v>0</v>
      </c>
      <c r="AJ22">
        <v>516843729.81154799</v>
      </c>
    </row>
    <row r="23" spans="1:36" x14ac:dyDescent="0.25">
      <c r="A23" t="s">
        <v>596</v>
      </c>
      <c r="B23" t="s">
        <v>16</v>
      </c>
      <c r="D23">
        <v>4020.46</v>
      </c>
      <c r="E23">
        <v>1408.3</v>
      </c>
      <c r="G23">
        <v>2.0983000000000002E-2</v>
      </c>
      <c r="H23">
        <v>0</v>
      </c>
      <c r="I23">
        <v>197292.42</v>
      </c>
      <c r="J23">
        <v>125722.95</v>
      </c>
      <c r="K23">
        <v>0</v>
      </c>
      <c r="L23">
        <v>179632.92</v>
      </c>
      <c r="M23">
        <v>0</v>
      </c>
      <c r="N23">
        <v>59483.54</v>
      </c>
      <c r="O23">
        <v>25211.31</v>
      </c>
      <c r="P23">
        <v>26715.58</v>
      </c>
      <c r="Q23">
        <v>0</v>
      </c>
      <c r="R23">
        <v>0</v>
      </c>
      <c r="S23">
        <v>0</v>
      </c>
      <c r="T23">
        <v>0</v>
      </c>
      <c r="U23">
        <v>0</v>
      </c>
      <c r="V23">
        <v>25902.26</v>
      </c>
      <c r="W23">
        <v>0</v>
      </c>
      <c r="X23">
        <v>0</v>
      </c>
      <c r="Y23">
        <v>0</v>
      </c>
      <c r="Z23">
        <v>25988.9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10994.82</v>
      </c>
      <c r="AH23">
        <v>0</v>
      </c>
      <c r="AI23">
        <v>0</v>
      </c>
      <c r="AJ23">
        <v>492493199.71034998</v>
      </c>
    </row>
    <row r="24" spans="1:36" x14ac:dyDescent="0.25">
      <c r="A24" t="s">
        <v>597</v>
      </c>
      <c r="B24" t="s">
        <v>15</v>
      </c>
      <c r="D24">
        <v>3810.92</v>
      </c>
      <c r="E24">
        <v>1334.91</v>
      </c>
      <c r="G24">
        <v>1.9890000000000001E-2</v>
      </c>
      <c r="H24">
        <v>0</v>
      </c>
      <c r="I24">
        <v>114224.86</v>
      </c>
      <c r="J24">
        <v>125722.95</v>
      </c>
      <c r="K24">
        <v>0</v>
      </c>
      <c r="L24">
        <v>179632.92</v>
      </c>
      <c r="M24">
        <v>0</v>
      </c>
      <c r="N24">
        <v>48142.32</v>
      </c>
      <c r="O24">
        <v>15877.19</v>
      </c>
      <c r="P24">
        <v>16397.75</v>
      </c>
      <c r="Q24">
        <v>0</v>
      </c>
      <c r="R24">
        <v>0</v>
      </c>
      <c r="S24">
        <v>0</v>
      </c>
      <c r="T24">
        <v>0</v>
      </c>
      <c r="U24">
        <v>0</v>
      </c>
      <c r="V24">
        <v>43643.69</v>
      </c>
      <c r="W24">
        <v>0</v>
      </c>
      <c r="X24">
        <v>0</v>
      </c>
      <c r="Y24">
        <v>0</v>
      </c>
      <c r="Z24">
        <v>25988.9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11806.95</v>
      </c>
      <c r="AH24">
        <v>0</v>
      </c>
      <c r="AI24">
        <v>0</v>
      </c>
      <c r="AJ24">
        <v>433798728.78504598</v>
      </c>
    </row>
    <row r="25" spans="1:36" x14ac:dyDescent="0.25">
      <c r="A25" t="s">
        <v>598</v>
      </c>
      <c r="B25" t="s">
        <v>15</v>
      </c>
      <c r="C25">
        <v>1334.91</v>
      </c>
      <c r="D25">
        <v>3810.92</v>
      </c>
      <c r="G25">
        <v>1.9890000000000001E-2</v>
      </c>
      <c r="H25">
        <v>0</v>
      </c>
      <c r="I25">
        <v>120782.06</v>
      </c>
      <c r="J25">
        <v>125722.95</v>
      </c>
      <c r="K25">
        <v>0</v>
      </c>
      <c r="L25">
        <v>179632.92</v>
      </c>
      <c r="M25">
        <v>0</v>
      </c>
      <c r="N25">
        <v>48160.81</v>
      </c>
      <c r="O25">
        <v>18263.02</v>
      </c>
      <c r="P25">
        <v>16566.400000000001</v>
      </c>
      <c r="Q25">
        <v>0</v>
      </c>
      <c r="R25">
        <v>0</v>
      </c>
      <c r="S25">
        <v>0</v>
      </c>
      <c r="T25">
        <v>0</v>
      </c>
      <c r="U25">
        <v>0</v>
      </c>
      <c r="V25">
        <v>43669.37</v>
      </c>
      <c r="W25">
        <v>0</v>
      </c>
      <c r="X25">
        <v>0</v>
      </c>
      <c r="Y25">
        <v>0</v>
      </c>
      <c r="Z25">
        <v>25988.9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11835.46</v>
      </c>
      <c r="AH25">
        <v>0</v>
      </c>
      <c r="AI25">
        <v>0</v>
      </c>
      <c r="AJ25">
        <v>446995482.96724701</v>
      </c>
    </row>
    <row r="26" spans="1:36" x14ac:dyDescent="0.25">
      <c r="A26" t="s">
        <v>599</v>
      </c>
      <c r="B26" t="s">
        <v>14</v>
      </c>
      <c r="D26">
        <v>4451.8500000000004</v>
      </c>
      <c r="E26">
        <v>1559.41</v>
      </c>
      <c r="G26">
        <v>2.3234999999999999E-2</v>
      </c>
      <c r="H26">
        <v>0</v>
      </c>
      <c r="I26">
        <v>141555.17000000001</v>
      </c>
      <c r="J26">
        <v>125722.95</v>
      </c>
      <c r="K26">
        <v>0</v>
      </c>
      <c r="L26">
        <v>179632.92</v>
      </c>
      <c r="M26">
        <v>0</v>
      </c>
      <c r="N26">
        <v>59874.77</v>
      </c>
      <c r="O26">
        <v>20301.12</v>
      </c>
      <c r="P26">
        <v>21801.67</v>
      </c>
      <c r="Q26">
        <v>0</v>
      </c>
      <c r="R26">
        <v>0</v>
      </c>
      <c r="S26">
        <v>0</v>
      </c>
      <c r="T26">
        <v>0</v>
      </c>
      <c r="U26">
        <v>0</v>
      </c>
      <c r="V26">
        <v>67205.600000000006</v>
      </c>
      <c r="W26">
        <v>0</v>
      </c>
      <c r="X26">
        <v>0</v>
      </c>
      <c r="Y26">
        <v>0</v>
      </c>
      <c r="Z26">
        <v>25988.9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11507.79</v>
      </c>
      <c r="AH26">
        <v>0</v>
      </c>
      <c r="AI26">
        <v>0</v>
      </c>
      <c r="AJ26">
        <v>587980146.00947201</v>
      </c>
    </row>
    <row r="27" spans="1:36" x14ac:dyDescent="0.25">
      <c r="A27" t="s">
        <v>600</v>
      </c>
      <c r="B27" t="s">
        <v>13</v>
      </c>
      <c r="C27">
        <v>1447.91</v>
      </c>
      <c r="D27">
        <v>4133.54</v>
      </c>
      <c r="G27">
        <v>2.1573999999999999E-2</v>
      </c>
      <c r="H27">
        <v>0</v>
      </c>
      <c r="I27">
        <v>111421.12</v>
      </c>
      <c r="J27">
        <v>125722.95</v>
      </c>
      <c r="K27">
        <v>0</v>
      </c>
      <c r="L27">
        <v>179632.92</v>
      </c>
      <c r="M27">
        <v>0</v>
      </c>
      <c r="N27">
        <v>44489.53</v>
      </c>
      <c r="O27">
        <v>18747.13</v>
      </c>
      <c r="P27">
        <v>17259.12</v>
      </c>
      <c r="Q27">
        <v>0</v>
      </c>
      <c r="R27">
        <v>0</v>
      </c>
      <c r="S27">
        <v>0</v>
      </c>
      <c r="T27">
        <v>0</v>
      </c>
      <c r="U27">
        <v>0</v>
      </c>
      <c r="V27">
        <v>46222.73</v>
      </c>
      <c r="W27">
        <v>0</v>
      </c>
      <c r="X27">
        <v>0</v>
      </c>
      <c r="Y27">
        <v>0</v>
      </c>
      <c r="Z27">
        <v>25988.9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11862.67</v>
      </c>
      <c r="AH27">
        <v>0</v>
      </c>
      <c r="AI27">
        <v>0</v>
      </c>
      <c r="AJ27">
        <v>548153278.18091297</v>
      </c>
    </row>
    <row r="28" spans="1:36" x14ac:dyDescent="0.25">
      <c r="A28" t="s">
        <v>601</v>
      </c>
      <c r="B28" t="s">
        <v>14</v>
      </c>
      <c r="C28">
        <v>1559.41</v>
      </c>
      <c r="D28">
        <v>4451.8500000000004</v>
      </c>
      <c r="G28">
        <v>2.3234999999999999E-2</v>
      </c>
      <c r="H28">
        <v>0</v>
      </c>
      <c r="I28">
        <v>177414.1</v>
      </c>
      <c r="J28">
        <v>125722.95</v>
      </c>
      <c r="K28">
        <v>0</v>
      </c>
      <c r="L28">
        <v>179632.92</v>
      </c>
      <c r="M28">
        <v>0</v>
      </c>
      <c r="N28">
        <v>59851.85</v>
      </c>
      <c r="O28">
        <v>23876.27</v>
      </c>
      <c r="P28">
        <v>21998.080000000002</v>
      </c>
      <c r="Q28">
        <v>0</v>
      </c>
      <c r="R28">
        <v>0</v>
      </c>
      <c r="S28">
        <v>0</v>
      </c>
      <c r="T28">
        <v>0</v>
      </c>
      <c r="U28">
        <v>0</v>
      </c>
      <c r="V28">
        <v>67037.39</v>
      </c>
      <c r="W28">
        <v>0</v>
      </c>
      <c r="X28">
        <v>0</v>
      </c>
      <c r="Y28">
        <v>0</v>
      </c>
      <c r="Z28">
        <v>25988.9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11475.45</v>
      </c>
      <c r="AH28">
        <v>0</v>
      </c>
      <c r="AI28">
        <v>0</v>
      </c>
      <c r="AJ28">
        <v>641026242.99811697</v>
      </c>
    </row>
    <row r="29" spans="1:36" x14ac:dyDescent="0.25">
      <c r="A29" t="s">
        <v>602</v>
      </c>
      <c r="B29" t="s">
        <v>13</v>
      </c>
      <c r="D29">
        <v>4133.54</v>
      </c>
      <c r="E29">
        <v>1447.91</v>
      </c>
      <c r="G29">
        <v>2.1573999999999999E-2</v>
      </c>
      <c r="H29">
        <v>0</v>
      </c>
      <c r="I29">
        <v>103144.33</v>
      </c>
      <c r="J29">
        <v>125722.95</v>
      </c>
      <c r="K29">
        <v>0</v>
      </c>
      <c r="L29">
        <v>179632.92</v>
      </c>
      <c r="M29">
        <v>0</v>
      </c>
      <c r="N29">
        <v>44480.73</v>
      </c>
      <c r="O29">
        <v>16056.21</v>
      </c>
      <c r="P29">
        <v>17110.04</v>
      </c>
      <c r="Q29">
        <v>0</v>
      </c>
      <c r="R29">
        <v>0</v>
      </c>
      <c r="S29">
        <v>0</v>
      </c>
      <c r="T29">
        <v>0</v>
      </c>
      <c r="U29">
        <v>0</v>
      </c>
      <c r="V29">
        <v>46215.92</v>
      </c>
      <c r="W29">
        <v>0</v>
      </c>
      <c r="X29">
        <v>0</v>
      </c>
      <c r="Y29">
        <v>0</v>
      </c>
      <c r="Z29">
        <v>25988.9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11866.86</v>
      </c>
      <c r="AH29">
        <v>0</v>
      </c>
      <c r="AI29">
        <v>0</v>
      </c>
      <c r="AJ29">
        <v>531150202.15147698</v>
      </c>
    </row>
    <row r="30" spans="1:36" x14ac:dyDescent="0.25">
      <c r="A30" t="s">
        <v>603</v>
      </c>
      <c r="B30" t="s">
        <v>12</v>
      </c>
      <c r="D30">
        <v>4390.62</v>
      </c>
      <c r="E30">
        <v>1537.96</v>
      </c>
      <c r="G30">
        <v>2.2915000000000001E-2</v>
      </c>
      <c r="H30">
        <v>0</v>
      </c>
      <c r="I30">
        <v>122303.96</v>
      </c>
      <c r="J30">
        <v>125722.95</v>
      </c>
      <c r="K30">
        <v>0</v>
      </c>
      <c r="L30">
        <v>179632.92</v>
      </c>
      <c r="M30">
        <v>0</v>
      </c>
      <c r="N30">
        <v>57227.08</v>
      </c>
      <c r="O30">
        <v>17913.810000000001</v>
      </c>
      <c r="P30">
        <v>18389.04</v>
      </c>
      <c r="Q30">
        <v>0</v>
      </c>
      <c r="R30">
        <v>0</v>
      </c>
      <c r="S30">
        <v>0</v>
      </c>
      <c r="T30">
        <v>0</v>
      </c>
      <c r="U30">
        <v>0</v>
      </c>
      <c r="V30">
        <v>96024.44</v>
      </c>
      <c r="W30">
        <v>0</v>
      </c>
      <c r="X30">
        <v>0</v>
      </c>
      <c r="Y30">
        <v>0</v>
      </c>
      <c r="Z30">
        <v>25988.9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11934.79</v>
      </c>
      <c r="AH30">
        <v>0</v>
      </c>
      <c r="AI30">
        <v>0</v>
      </c>
      <c r="AJ30">
        <v>542117003.11676598</v>
      </c>
    </row>
    <row r="31" spans="1:36" x14ac:dyDescent="0.25">
      <c r="A31" t="s">
        <v>604</v>
      </c>
      <c r="B31" t="s">
        <v>12</v>
      </c>
      <c r="C31">
        <v>1537.96</v>
      </c>
      <c r="D31">
        <v>4390.62</v>
      </c>
      <c r="G31">
        <v>2.2915000000000001E-2</v>
      </c>
      <c r="H31">
        <v>0</v>
      </c>
      <c r="I31">
        <v>150260.64000000001</v>
      </c>
      <c r="J31">
        <v>125722.95</v>
      </c>
      <c r="K31">
        <v>0</v>
      </c>
      <c r="L31">
        <v>179632.92</v>
      </c>
      <c r="M31">
        <v>0</v>
      </c>
      <c r="N31">
        <v>57206.96</v>
      </c>
      <c r="O31">
        <v>21005.91</v>
      </c>
      <c r="P31">
        <v>18623.27</v>
      </c>
      <c r="Q31">
        <v>0</v>
      </c>
      <c r="R31">
        <v>0</v>
      </c>
      <c r="S31">
        <v>0</v>
      </c>
      <c r="T31">
        <v>0</v>
      </c>
      <c r="U31">
        <v>0</v>
      </c>
      <c r="V31">
        <v>95468.55</v>
      </c>
      <c r="W31">
        <v>0</v>
      </c>
      <c r="X31">
        <v>0</v>
      </c>
      <c r="Y31">
        <v>0</v>
      </c>
      <c r="Z31">
        <v>25988.9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11913.4</v>
      </c>
      <c r="AH31">
        <v>0</v>
      </c>
      <c r="AI31">
        <v>0</v>
      </c>
      <c r="AJ31">
        <v>621713699.906299</v>
      </c>
    </row>
    <row r="32" spans="1:36" x14ac:dyDescent="0.25">
      <c r="A32" t="s">
        <v>605</v>
      </c>
      <c r="B32" t="s">
        <v>11</v>
      </c>
      <c r="D32">
        <v>3285.83</v>
      </c>
      <c r="E32">
        <v>1150.97</v>
      </c>
      <c r="G32">
        <v>1.7149000000000001E-2</v>
      </c>
      <c r="H32">
        <v>0</v>
      </c>
      <c r="I32">
        <v>26206.43</v>
      </c>
      <c r="J32">
        <v>125722.95</v>
      </c>
      <c r="K32">
        <v>0</v>
      </c>
      <c r="L32">
        <v>179632.92</v>
      </c>
      <c r="M32">
        <v>0</v>
      </c>
      <c r="N32">
        <v>39907.85</v>
      </c>
      <c r="O32">
        <v>3207.07</v>
      </c>
      <c r="P32">
        <v>3108.51</v>
      </c>
      <c r="Q32">
        <v>0</v>
      </c>
      <c r="R32">
        <v>0</v>
      </c>
      <c r="S32">
        <v>0</v>
      </c>
      <c r="T32">
        <v>0</v>
      </c>
      <c r="U32">
        <v>0</v>
      </c>
      <c r="V32">
        <v>101686.59</v>
      </c>
      <c r="W32">
        <v>0</v>
      </c>
      <c r="X32">
        <v>0</v>
      </c>
      <c r="Y32">
        <v>0</v>
      </c>
      <c r="Z32">
        <v>25988.9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12884.56</v>
      </c>
      <c r="AH32">
        <v>0</v>
      </c>
      <c r="AI32">
        <v>0</v>
      </c>
      <c r="AJ32">
        <v>362453458.743792</v>
      </c>
    </row>
    <row r="33" spans="1:36" x14ac:dyDescent="0.25">
      <c r="A33" t="s">
        <v>606</v>
      </c>
      <c r="B33" t="s">
        <v>11</v>
      </c>
      <c r="C33">
        <v>1150.97</v>
      </c>
      <c r="D33">
        <v>3285.83</v>
      </c>
      <c r="G33">
        <v>1.7149000000000001E-2</v>
      </c>
      <c r="H33">
        <v>0</v>
      </c>
      <c r="I33">
        <v>27895.759999999998</v>
      </c>
      <c r="J33">
        <v>125722.95</v>
      </c>
      <c r="K33">
        <v>0</v>
      </c>
      <c r="L33">
        <v>179632.92</v>
      </c>
      <c r="M33">
        <v>0</v>
      </c>
      <c r="N33">
        <v>39907.97</v>
      </c>
      <c r="O33">
        <v>3844.21</v>
      </c>
      <c r="P33">
        <v>3199.63</v>
      </c>
      <c r="Q33">
        <v>0</v>
      </c>
      <c r="R33">
        <v>0</v>
      </c>
      <c r="S33">
        <v>0</v>
      </c>
      <c r="T33">
        <v>0</v>
      </c>
      <c r="U33">
        <v>0</v>
      </c>
      <c r="V33">
        <v>101536.01</v>
      </c>
      <c r="W33">
        <v>0</v>
      </c>
      <c r="X33">
        <v>0</v>
      </c>
      <c r="Y33">
        <v>0</v>
      </c>
      <c r="Z33">
        <v>25988.9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12829.71</v>
      </c>
      <c r="AH33">
        <v>0</v>
      </c>
      <c r="AI33">
        <v>0</v>
      </c>
      <c r="AJ33">
        <v>366231263.71515799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C5A3F-B80E-4020-9B05-4BB9F55E2479}">
  <dimension ref="A1:AJ33"/>
  <sheetViews>
    <sheetView workbookViewId="0"/>
  </sheetViews>
  <sheetFormatPr defaultRowHeight="15" x14ac:dyDescent="0.25"/>
  <sheetData>
    <row r="1" spans="1:3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</row>
    <row r="2" spans="1:36" x14ac:dyDescent="0.25">
      <c r="A2" t="s">
        <v>607</v>
      </c>
      <c r="B2" t="s">
        <v>26</v>
      </c>
      <c r="D2">
        <v>3872.59</v>
      </c>
      <c r="E2">
        <v>1356.51</v>
      </c>
      <c r="G2">
        <v>2.0212000000000001E-2</v>
      </c>
      <c r="H2">
        <v>0</v>
      </c>
      <c r="I2">
        <v>167101.57999999999</v>
      </c>
      <c r="J2">
        <v>125722.95</v>
      </c>
      <c r="K2">
        <v>0</v>
      </c>
      <c r="L2">
        <v>179632.92</v>
      </c>
      <c r="M2">
        <v>0</v>
      </c>
      <c r="N2">
        <v>85529.46</v>
      </c>
      <c r="O2">
        <v>21958.82</v>
      </c>
      <c r="P2">
        <v>18679.89</v>
      </c>
      <c r="Q2">
        <v>0</v>
      </c>
      <c r="R2">
        <v>0</v>
      </c>
      <c r="S2">
        <v>0</v>
      </c>
      <c r="T2">
        <v>0</v>
      </c>
      <c r="U2">
        <v>0</v>
      </c>
      <c r="V2">
        <v>140507.20000000001</v>
      </c>
      <c r="W2">
        <v>0</v>
      </c>
      <c r="X2">
        <v>0</v>
      </c>
      <c r="Y2">
        <v>0</v>
      </c>
      <c r="Z2">
        <v>25988.9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11672.67</v>
      </c>
      <c r="AH2">
        <v>0</v>
      </c>
      <c r="AI2">
        <v>0</v>
      </c>
      <c r="AJ2">
        <v>547967956.29374802</v>
      </c>
    </row>
    <row r="3" spans="1:36" x14ac:dyDescent="0.25">
      <c r="A3" t="s">
        <v>608</v>
      </c>
      <c r="B3" t="s">
        <v>26</v>
      </c>
      <c r="C3">
        <v>1356.51</v>
      </c>
      <c r="D3">
        <v>3872.59</v>
      </c>
      <c r="G3">
        <v>2.0212000000000001E-2</v>
      </c>
      <c r="H3">
        <v>0</v>
      </c>
      <c r="I3">
        <v>177328.57</v>
      </c>
      <c r="J3">
        <v>125722.95</v>
      </c>
      <c r="K3">
        <v>0</v>
      </c>
      <c r="L3">
        <v>179632.92</v>
      </c>
      <c r="M3">
        <v>0</v>
      </c>
      <c r="N3">
        <v>85533.759999999995</v>
      </c>
      <c r="O3">
        <v>25002.35</v>
      </c>
      <c r="P3">
        <v>18981.189999999999</v>
      </c>
      <c r="Q3">
        <v>0</v>
      </c>
      <c r="R3">
        <v>0</v>
      </c>
      <c r="S3">
        <v>0</v>
      </c>
      <c r="T3">
        <v>0</v>
      </c>
      <c r="U3">
        <v>0</v>
      </c>
      <c r="V3">
        <v>139043.31</v>
      </c>
      <c r="W3">
        <v>0</v>
      </c>
      <c r="X3">
        <v>0</v>
      </c>
      <c r="Y3">
        <v>0</v>
      </c>
      <c r="Z3">
        <v>25988.9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11733.56</v>
      </c>
      <c r="AH3">
        <v>0</v>
      </c>
      <c r="AI3">
        <v>0</v>
      </c>
      <c r="AJ3">
        <v>545895568.74265599</v>
      </c>
    </row>
    <row r="4" spans="1:36" x14ac:dyDescent="0.25">
      <c r="A4" t="s">
        <v>609</v>
      </c>
      <c r="B4" t="s">
        <v>25</v>
      </c>
      <c r="D4">
        <v>4678.63</v>
      </c>
      <c r="E4">
        <v>1638.85</v>
      </c>
      <c r="G4">
        <v>2.4417999999999999E-2</v>
      </c>
      <c r="H4">
        <v>0</v>
      </c>
      <c r="I4">
        <v>308378.55</v>
      </c>
      <c r="J4">
        <v>125722.95</v>
      </c>
      <c r="K4">
        <v>0</v>
      </c>
      <c r="L4">
        <v>179632.92</v>
      </c>
      <c r="M4">
        <v>0</v>
      </c>
      <c r="N4">
        <v>94833.34</v>
      </c>
      <c r="O4">
        <v>30956.82</v>
      </c>
      <c r="P4">
        <v>33884.9</v>
      </c>
      <c r="Q4">
        <v>0</v>
      </c>
      <c r="R4">
        <v>0</v>
      </c>
      <c r="S4">
        <v>0</v>
      </c>
      <c r="T4">
        <v>0</v>
      </c>
      <c r="U4">
        <v>0</v>
      </c>
      <c r="V4">
        <v>126384.18</v>
      </c>
      <c r="W4">
        <v>0</v>
      </c>
      <c r="X4">
        <v>0</v>
      </c>
      <c r="Y4">
        <v>0</v>
      </c>
      <c r="Z4">
        <v>25988.9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9025.39</v>
      </c>
      <c r="AH4">
        <v>0</v>
      </c>
      <c r="AI4">
        <v>0</v>
      </c>
      <c r="AJ4">
        <v>683402726.19143498</v>
      </c>
    </row>
    <row r="5" spans="1:36" x14ac:dyDescent="0.25">
      <c r="A5" t="s">
        <v>610</v>
      </c>
      <c r="B5" t="s">
        <v>25</v>
      </c>
      <c r="C5">
        <v>1638.85</v>
      </c>
      <c r="D5">
        <v>4678.63</v>
      </c>
      <c r="G5">
        <v>2.4417999999999999E-2</v>
      </c>
      <c r="H5">
        <v>0</v>
      </c>
      <c r="I5">
        <v>382912.15</v>
      </c>
      <c r="J5">
        <v>125722.95</v>
      </c>
      <c r="K5">
        <v>0</v>
      </c>
      <c r="L5">
        <v>179632.92</v>
      </c>
      <c r="M5">
        <v>0</v>
      </c>
      <c r="N5">
        <v>94837.84</v>
      </c>
      <c r="O5">
        <v>36593.43</v>
      </c>
      <c r="P5">
        <v>34096.11</v>
      </c>
      <c r="Q5">
        <v>0</v>
      </c>
      <c r="R5">
        <v>0</v>
      </c>
      <c r="S5">
        <v>0</v>
      </c>
      <c r="T5">
        <v>0</v>
      </c>
      <c r="U5">
        <v>0</v>
      </c>
      <c r="V5">
        <v>126345.02</v>
      </c>
      <c r="W5">
        <v>0</v>
      </c>
      <c r="X5">
        <v>0</v>
      </c>
      <c r="Y5">
        <v>0</v>
      </c>
      <c r="Z5">
        <v>25988.9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9031.5499999999993</v>
      </c>
      <c r="AH5">
        <v>0</v>
      </c>
      <c r="AI5">
        <v>0</v>
      </c>
      <c r="AJ5">
        <v>712673989.05169106</v>
      </c>
    </row>
    <row r="6" spans="1:36" x14ac:dyDescent="0.25">
      <c r="A6" t="s">
        <v>611</v>
      </c>
      <c r="B6" t="s">
        <v>24</v>
      </c>
      <c r="D6">
        <v>4541.03</v>
      </c>
      <c r="E6">
        <v>1590.65</v>
      </c>
      <c r="G6">
        <v>2.3699999999999999E-2</v>
      </c>
      <c r="H6">
        <v>0</v>
      </c>
      <c r="I6">
        <v>247032.05</v>
      </c>
      <c r="J6">
        <v>125722.95</v>
      </c>
      <c r="K6">
        <v>0</v>
      </c>
      <c r="L6">
        <v>179632.92</v>
      </c>
      <c r="M6">
        <v>0</v>
      </c>
      <c r="N6">
        <v>86266.02</v>
      </c>
      <c r="O6">
        <v>27124.01</v>
      </c>
      <c r="P6">
        <v>27417.41</v>
      </c>
      <c r="Q6">
        <v>0</v>
      </c>
      <c r="R6">
        <v>0</v>
      </c>
      <c r="S6">
        <v>0</v>
      </c>
      <c r="T6">
        <v>0</v>
      </c>
      <c r="U6">
        <v>0</v>
      </c>
      <c r="V6">
        <v>106898.38</v>
      </c>
      <c r="W6">
        <v>0</v>
      </c>
      <c r="X6">
        <v>0</v>
      </c>
      <c r="Y6">
        <v>0</v>
      </c>
      <c r="Z6">
        <v>25988.9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10040.52</v>
      </c>
      <c r="AH6">
        <v>0</v>
      </c>
      <c r="AI6">
        <v>0</v>
      </c>
      <c r="AJ6">
        <v>705188573.83920205</v>
      </c>
    </row>
    <row r="7" spans="1:36" x14ac:dyDescent="0.25">
      <c r="A7" t="s">
        <v>612</v>
      </c>
      <c r="B7" t="s">
        <v>23</v>
      </c>
      <c r="D7">
        <v>4521.82</v>
      </c>
      <c r="E7">
        <v>1583.92</v>
      </c>
      <c r="G7">
        <v>2.3599999999999999E-2</v>
      </c>
      <c r="H7">
        <v>0</v>
      </c>
      <c r="I7">
        <v>195080.51</v>
      </c>
      <c r="J7">
        <v>125722.95</v>
      </c>
      <c r="K7">
        <v>0</v>
      </c>
      <c r="L7">
        <v>179632.92</v>
      </c>
      <c r="M7">
        <v>0</v>
      </c>
      <c r="N7">
        <v>74775.539999999994</v>
      </c>
      <c r="O7">
        <v>23804.46</v>
      </c>
      <c r="P7">
        <v>25296.84</v>
      </c>
      <c r="Q7">
        <v>0</v>
      </c>
      <c r="R7">
        <v>0</v>
      </c>
      <c r="S7">
        <v>0</v>
      </c>
      <c r="T7">
        <v>0</v>
      </c>
      <c r="U7">
        <v>0</v>
      </c>
      <c r="V7">
        <v>112889.15</v>
      </c>
      <c r="W7">
        <v>0</v>
      </c>
      <c r="X7">
        <v>0</v>
      </c>
      <c r="Y7">
        <v>0</v>
      </c>
      <c r="Z7">
        <v>25988.9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10563.33</v>
      </c>
      <c r="AH7">
        <v>0</v>
      </c>
      <c r="AI7">
        <v>0</v>
      </c>
      <c r="AJ7">
        <v>613110395.49066806</v>
      </c>
    </row>
    <row r="8" spans="1:36" x14ac:dyDescent="0.25">
      <c r="A8" t="s">
        <v>613</v>
      </c>
      <c r="B8" t="s">
        <v>24</v>
      </c>
      <c r="C8">
        <v>1590.65</v>
      </c>
      <c r="D8">
        <v>4541.03</v>
      </c>
      <c r="G8">
        <v>2.3699999999999999E-2</v>
      </c>
      <c r="H8">
        <v>0</v>
      </c>
      <c r="I8">
        <v>270749.40999999997</v>
      </c>
      <c r="J8">
        <v>125722.95</v>
      </c>
      <c r="K8">
        <v>0</v>
      </c>
      <c r="L8">
        <v>179632.92</v>
      </c>
      <c r="M8">
        <v>0</v>
      </c>
      <c r="N8">
        <v>86274.32</v>
      </c>
      <c r="O8">
        <v>30550.37</v>
      </c>
      <c r="P8">
        <v>27678.25</v>
      </c>
      <c r="Q8">
        <v>0</v>
      </c>
      <c r="R8">
        <v>0</v>
      </c>
      <c r="S8">
        <v>0</v>
      </c>
      <c r="T8">
        <v>0</v>
      </c>
      <c r="U8">
        <v>0</v>
      </c>
      <c r="V8">
        <v>106881.05</v>
      </c>
      <c r="W8">
        <v>0</v>
      </c>
      <c r="X8">
        <v>0</v>
      </c>
      <c r="Y8">
        <v>0</v>
      </c>
      <c r="Z8">
        <v>25988.9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10008.469999999999</v>
      </c>
      <c r="AH8">
        <v>0</v>
      </c>
      <c r="AI8">
        <v>0</v>
      </c>
      <c r="AJ8">
        <v>696725166.22914195</v>
      </c>
    </row>
    <row r="9" spans="1:36" x14ac:dyDescent="0.25">
      <c r="A9" t="s">
        <v>614</v>
      </c>
      <c r="B9" t="s">
        <v>23</v>
      </c>
      <c r="C9">
        <v>1583.92</v>
      </c>
      <c r="D9">
        <v>4521.82</v>
      </c>
      <c r="G9">
        <v>2.3599999999999999E-2</v>
      </c>
      <c r="H9">
        <v>0</v>
      </c>
      <c r="I9">
        <v>257903.84</v>
      </c>
      <c r="J9">
        <v>125722.95</v>
      </c>
      <c r="K9">
        <v>0</v>
      </c>
      <c r="L9">
        <v>179632.92</v>
      </c>
      <c r="M9">
        <v>0</v>
      </c>
      <c r="N9">
        <v>74757.41</v>
      </c>
      <c r="O9">
        <v>28081.25</v>
      </c>
      <c r="P9">
        <v>25624.14</v>
      </c>
      <c r="Q9">
        <v>0</v>
      </c>
      <c r="R9">
        <v>0</v>
      </c>
      <c r="S9">
        <v>0</v>
      </c>
      <c r="T9">
        <v>0</v>
      </c>
      <c r="U9">
        <v>0</v>
      </c>
      <c r="V9">
        <v>112613.94</v>
      </c>
      <c r="W9">
        <v>0</v>
      </c>
      <c r="X9">
        <v>0</v>
      </c>
      <c r="Y9">
        <v>0</v>
      </c>
      <c r="Z9">
        <v>25988.9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10534.92</v>
      </c>
      <c r="AH9">
        <v>0</v>
      </c>
      <c r="AI9">
        <v>0</v>
      </c>
      <c r="AJ9">
        <v>676485940.14308596</v>
      </c>
    </row>
    <row r="10" spans="1:36" x14ac:dyDescent="0.25">
      <c r="A10" t="s">
        <v>615</v>
      </c>
      <c r="B10" t="s">
        <v>22</v>
      </c>
      <c r="D10">
        <v>4334.04</v>
      </c>
      <c r="E10">
        <v>1518.14</v>
      </c>
      <c r="G10">
        <v>2.2620000000000001E-2</v>
      </c>
      <c r="H10">
        <v>0</v>
      </c>
      <c r="I10">
        <v>157860.14000000001</v>
      </c>
      <c r="J10">
        <v>125722.95</v>
      </c>
      <c r="K10">
        <v>0</v>
      </c>
      <c r="L10">
        <v>179632.92</v>
      </c>
      <c r="M10">
        <v>0</v>
      </c>
      <c r="N10">
        <v>65352.47</v>
      </c>
      <c r="O10">
        <v>21370.7</v>
      </c>
      <c r="P10">
        <v>22367.98</v>
      </c>
      <c r="Q10">
        <v>0</v>
      </c>
      <c r="R10">
        <v>0</v>
      </c>
      <c r="S10">
        <v>0</v>
      </c>
      <c r="T10">
        <v>0</v>
      </c>
      <c r="U10">
        <v>0</v>
      </c>
      <c r="V10">
        <v>105830.31</v>
      </c>
      <c r="W10">
        <v>0</v>
      </c>
      <c r="X10">
        <v>0</v>
      </c>
      <c r="Y10">
        <v>0</v>
      </c>
      <c r="Z10">
        <v>25988.9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11107.26</v>
      </c>
      <c r="AH10">
        <v>0</v>
      </c>
      <c r="AI10">
        <v>0</v>
      </c>
      <c r="AJ10">
        <v>549629082.63043201</v>
      </c>
    </row>
    <row r="11" spans="1:36" x14ac:dyDescent="0.25">
      <c r="A11" t="s">
        <v>616</v>
      </c>
      <c r="B11" t="s">
        <v>21</v>
      </c>
      <c r="D11">
        <v>4396.07</v>
      </c>
      <c r="E11">
        <v>1539.87</v>
      </c>
      <c r="G11">
        <v>2.2943999999999999E-2</v>
      </c>
      <c r="H11">
        <v>0</v>
      </c>
      <c r="I11">
        <v>175161.43</v>
      </c>
      <c r="J11">
        <v>125722.95</v>
      </c>
      <c r="K11">
        <v>0</v>
      </c>
      <c r="L11">
        <v>179632.92</v>
      </c>
      <c r="M11">
        <v>0</v>
      </c>
      <c r="N11">
        <v>72999.17</v>
      </c>
      <c r="O11">
        <v>21853.93</v>
      </c>
      <c r="P11">
        <v>22994.54</v>
      </c>
      <c r="Q11">
        <v>0</v>
      </c>
      <c r="R11">
        <v>0</v>
      </c>
      <c r="S11">
        <v>0</v>
      </c>
      <c r="T11">
        <v>0</v>
      </c>
      <c r="U11">
        <v>0</v>
      </c>
      <c r="V11">
        <v>122213.14</v>
      </c>
      <c r="W11">
        <v>0</v>
      </c>
      <c r="X11">
        <v>0</v>
      </c>
      <c r="Y11">
        <v>0</v>
      </c>
      <c r="Z11">
        <v>25988.9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10772.89</v>
      </c>
      <c r="AH11">
        <v>0</v>
      </c>
      <c r="AI11">
        <v>0</v>
      </c>
      <c r="AJ11">
        <v>586560541.95787597</v>
      </c>
    </row>
    <row r="12" spans="1:36" x14ac:dyDescent="0.25">
      <c r="A12" t="s">
        <v>617</v>
      </c>
      <c r="B12" t="s">
        <v>22</v>
      </c>
      <c r="C12">
        <v>1518.14</v>
      </c>
      <c r="D12">
        <v>4334.04</v>
      </c>
      <c r="G12">
        <v>2.2620000000000001E-2</v>
      </c>
      <c r="H12">
        <v>0</v>
      </c>
      <c r="I12">
        <v>211539.83</v>
      </c>
      <c r="J12">
        <v>125722.95</v>
      </c>
      <c r="K12">
        <v>0</v>
      </c>
      <c r="L12">
        <v>179632.92</v>
      </c>
      <c r="M12">
        <v>0</v>
      </c>
      <c r="N12">
        <v>65351.18</v>
      </c>
      <c r="O12">
        <v>25366.03</v>
      </c>
      <c r="P12">
        <v>22778.06</v>
      </c>
      <c r="Q12">
        <v>0</v>
      </c>
      <c r="R12">
        <v>0</v>
      </c>
      <c r="S12">
        <v>0</v>
      </c>
      <c r="T12">
        <v>0</v>
      </c>
      <c r="U12">
        <v>0</v>
      </c>
      <c r="V12">
        <v>105754</v>
      </c>
      <c r="W12">
        <v>0</v>
      </c>
      <c r="X12">
        <v>0</v>
      </c>
      <c r="Y12">
        <v>0</v>
      </c>
      <c r="Z12">
        <v>25988.9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11096.96</v>
      </c>
      <c r="AH12">
        <v>0</v>
      </c>
      <c r="AI12">
        <v>0</v>
      </c>
      <c r="AJ12">
        <v>636203404.38372898</v>
      </c>
    </row>
    <row r="13" spans="1:36" x14ac:dyDescent="0.25">
      <c r="A13" t="s">
        <v>618</v>
      </c>
      <c r="B13" t="s">
        <v>21</v>
      </c>
      <c r="C13">
        <v>1539.87</v>
      </c>
      <c r="D13">
        <v>4396.07</v>
      </c>
      <c r="G13">
        <v>2.2943999999999999E-2</v>
      </c>
      <c r="H13">
        <v>0</v>
      </c>
      <c r="I13">
        <v>226967.71</v>
      </c>
      <c r="J13">
        <v>125722.95</v>
      </c>
      <c r="K13">
        <v>0</v>
      </c>
      <c r="L13">
        <v>179632.92</v>
      </c>
      <c r="M13">
        <v>0</v>
      </c>
      <c r="N13">
        <v>72990.399999999994</v>
      </c>
      <c r="O13">
        <v>25815.360000000001</v>
      </c>
      <c r="P13">
        <v>23303.4</v>
      </c>
      <c r="Q13">
        <v>0</v>
      </c>
      <c r="R13">
        <v>0</v>
      </c>
      <c r="S13">
        <v>0</v>
      </c>
      <c r="T13">
        <v>0</v>
      </c>
      <c r="U13">
        <v>0</v>
      </c>
      <c r="V13">
        <v>121791.8</v>
      </c>
      <c r="W13">
        <v>0</v>
      </c>
      <c r="X13">
        <v>0</v>
      </c>
      <c r="Y13">
        <v>0</v>
      </c>
      <c r="Z13">
        <v>25988.9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10763.43</v>
      </c>
      <c r="AH13">
        <v>0</v>
      </c>
      <c r="AI13">
        <v>0</v>
      </c>
      <c r="AJ13">
        <v>647966531.08955801</v>
      </c>
    </row>
    <row r="14" spans="1:36" x14ac:dyDescent="0.25">
      <c r="A14" t="s">
        <v>619</v>
      </c>
      <c r="B14" t="s">
        <v>20</v>
      </c>
      <c r="D14">
        <v>4342.93</v>
      </c>
      <c r="E14">
        <v>1521.26</v>
      </c>
      <c r="G14">
        <v>2.2665999999999999E-2</v>
      </c>
      <c r="H14">
        <v>0</v>
      </c>
      <c r="I14">
        <v>185199.94</v>
      </c>
      <c r="J14">
        <v>125722.95</v>
      </c>
      <c r="K14">
        <v>0</v>
      </c>
      <c r="L14">
        <v>179632.92</v>
      </c>
      <c r="M14">
        <v>0</v>
      </c>
      <c r="N14">
        <v>72472.08</v>
      </c>
      <c r="O14">
        <v>24964.76</v>
      </c>
      <c r="P14">
        <v>26772.52</v>
      </c>
      <c r="Q14">
        <v>0</v>
      </c>
      <c r="R14">
        <v>0</v>
      </c>
      <c r="S14">
        <v>0</v>
      </c>
      <c r="T14">
        <v>0</v>
      </c>
      <c r="U14">
        <v>0</v>
      </c>
      <c r="V14">
        <v>92058.240000000005</v>
      </c>
      <c r="W14">
        <v>0</v>
      </c>
      <c r="X14">
        <v>0</v>
      </c>
      <c r="Y14">
        <v>0</v>
      </c>
      <c r="Z14">
        <v>25988.9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10618.45</v>
      </c>
      <c r="AH14">
        <v>0</v>
      </c>
      <c r="AI14">
        <v>0</v>
      </c>
      <c r="AJ14">
        <v>535981187.22831798</v>
      </c>
    </row>
    <row r="15" spans="1:36" x14ac:dyDescent="0.25">
      <c r="A15" t="s">
        <v>620</v>
      </c>
      <c r="B15" t="s">
        <v>20</v>
      </c>
      <c r="C15">
        <v>1521.26</v>
      </c>
      <c r="D15">
        <v>4342.93</v>
      </c>
      <c r="G15">
        <v>2.2665999999999999E-2</v>
      </c>
      <c r="H15">
        <v>0</v>
      </c>
      <c r="I15">
        <v>249178.1</v>
      </c>
      <c r="J15">
        <v>125722.95</v>
      </c>
      <c r="K15">
        <v>0</v>
      </c>
      <c r="L15">
        <v>179632.92</v>
      </c>
      <c r="M15">
        <v>0</v>
      </c>
      <c r="N15">
        <v>72376.240000000005</v>
      </c>
      <c r="O15">
        <v>29348.240000000002</v>
      </c>
      <c r="P15">
        <v>27052.41</v>
      </c>
      <c r="Q15">
        <v>0</v>
      </c>
      <c r="R15">
        <v>0</v>
      </c>
      <c r="S15">
        <v>0</v>
      </c>
      <c r="T15">
        <v>0</v>
      </c>
      <c r="U15">
        <v>0</v>
      </c>
      <c r="V15">
        <v>91607.8</v>
      </c>
      <c r="W15">
        <v>0</v>
      </c>
      <c r="X15">
        <v>0</v>
      </c>
      <c r="Y15">
        <v>0</v>
      </c>
      <c r="Z15">
        <v>25988.9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10589.37</v>
      </c>
      <c r="AH15">
        <v>0</v>
      </c>
      <c r="AI15">
        <v>0</v>
      </c>
      <c r="AJ15">
        <v>622785635.65801597</v>
      </c>
    </row>
    <row r="16" spans="1:36" x14ac:dyDescent="0.25">
      <c r="A16" t="s">
        <v>621</v>
      </c>
      <c r="B16" t="s">
        <v>19</v>
      </c>
      <c r="D16">
        <v>3872.42</v>
      </c>
      <c r="E16">
        <v>1356.45</v>
      </c>
      <c r="G16">
        <v>2.0211E-2</v>
      </c>
      <c r="H16">
        <v>0</v>
      </c>
      <c r="I16">
        <v>171983.59</v>
      </c>
      <c r="J16">
        <v>125722.95</v>
      </c>
      <c r="K16">
        <v>0</v>
      </c>
      <c r="L16">
        <v>179632.92</v>
      </c>
      <c r="M16">
        <v>0</v>
      </c>
      <c r="N16">
        <v>63567.32</v>
      </c>
      <c r="O16">
        <v>24019.24</v>
      </c>
      <c r="P16">
        <v>26095.18</v>
      </c>
      <c r="Q16">
        <v>0</v>
      </c>
      <c r="R16">
        <v>0</v>
      </c>
      <c r="S16">
        <v>0</v>
      </c>
      <c r="T16">
        <v>0</v>
      </c>
      <c r="U16">
        <v>0</v>
      </c>
      <c r="V16">
        <v>65582.649999999994</v>
      </c>
      <c r="W16">
        <v>0</v>
      </c>
      <c r="X16">
        <v>0</v>
      </c>
      <c r="Y16">
        <v>0</v>
      </c>
      <c r="Z16">
        <v>25988.9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10690.75</v>
      </c>
      <c r="AH16">
        <v>0</v>
      </c>
      <c r="AI16">
        <v>0</v>
      </c>
      <c r="AJ16">
        <v>449551053.58283901</v>
      </c>
    </row>
    <row r="17" spans="1:36" x14ac:dyDescent="0.25">
      <c r="A17" t="s">
        <v>622</v>
      </c>
      <c r="B17" t="s">
        <v>19</v>
      </c>
      <c r="C17">
        <v>1356.45</v>
      </c>
      <c r="D17">
        <v>3872.42</v>
      </c>
      <c r="G17">
        <v>2.0211E-2</v>
      </c>
      <c r="H17">
        <v>0</v>
      </c>
      <c r="I17">
        <v>225211.53</v>
      </c>
      <c r="J17">
        <v>125722.95</v>
      </c>
      <c r="K17">
        <v>0</v>
      </c>
      <c r="L17">
        <v>179632.92</v>
      </c>
      <c r="M17">
        <v>0</v>
      </c>
      <c r="N17">
        <v>63533.01</v>
      </c>
      <c r="O17">
        <v>27920.73</v>
      </c>
      <c r="P17">
        <v>26194.51</v>
      </c>
      <c r="Q17">
        <v>0</v>
      </c>
      <c r="R17">
        <v>0</v>
      </c>
      <c r="S17">
        <v>0</v>
      </c>
      <c r="T17">
        <v>0</v>
      </c>
      <c r="U17">
        <v>0</v>
      </c>
      <c r="V17">
        <v>65489.85</v>
      </c>
      <c r="W17">
        <v>0</v>
      </c>
      <c r="X17">
        <v>0</v>
      </c>
      <c r="Y17">
        <v>0</v>
      </c>
      <c r="Z17">
        <v>25988.9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10687.59</v>
      </c>
      <c r="AH17">
        <v>0</v>
      </c>
      <c r="AI17">
        <v>0</v>
      </c>
      <c r="AJ17">
        <v>535089192.52543998</v>
      </c>
    </row>
    <row r="18" spans="1:36" x14ac:dyDescent="0.25">
      <c r="A18" t="s">
        <v>623</v>
      </c>
      <c r="B18" t="s">
        <v>18</v>
      </c>
      <c r="D18">
        <v>3901.66</v>
      </c>
      <c r="E18">
        <v>1366.69</v>
      </c>
      <c r="G18">
        <v>2.0362999999999999E-2</v>
      </c>
      <c r="H18">
        <v>0</v>
      </c>
      <c r="I18">
        <v>160500.51999999999</v>
      </c>
      <c r="J18">
        <v>125722.95</v>
      </c>
      <c r="K18">
        <v>0</v>
      </c>
      <c r="L18">
        <v>179632.92</v>
      </c>
      <c r="M18">
        <v>0</v>
      </c>
      <c r="N18">
        <v>58715.74</v>
      </c>
      <c r="O18">
        <v>23654.22</v>
      </c>
      <c r="P18">
        <v>25693.51</v>
      </c>
      <c r="Q18">
        <v>0</v>
      </c>
      <c r="R18">
        <v>0</v>
      </c>
      <c r="S18">
        <v>0</v>
      </c>
      <c r="T18">
        <v>0</v>
      </c>
      <c r="U18">
        <v>0</v>
      </c>
      <c r="V18">
        <v>58945.85</v>
      </c>
      <c r="W18">
        <v>0</v>
      </c>
      <c r="X18">
        <v>0</v>
      </c>
      <c r="Y18">
        <v>0</v>
      </c>
      <c r="Z18">
        <v>25988.9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10835.57</v>
      </c>
      <c r="AH18">
        <v>0</v>
      </c>
      <c r="AI18">
        <v>0</v>
      </c>
      <c r="AJ18">
        <v>438847636.80552202</v>
      </c>
    </row>
    <row r="19" spans="1:36" x14ac:dyDescent="0.25">
      <c r="A19" t="s">
        <v>624</v>
      </c>
      <c r="B19" t="s">
        <v>18</v>
      </c>
      <c r="C19">
        <v>1366.69</v>
      </c>
      <c r="D19">
        <v>3901.66</v>
      </c>
      <c r="G19">
        <v>2.0362999999999999E-2</v>
      </c>
      <c r="H19">
        <v>0</v>
      </c>
      <c r="I19">
        <v>211188.9</v>
      </c>
      <c r="J19">
        <v>125722.95</v>
      </c>
      <c r="K19">
        <v>0</v>
      </c>
      <c r="L19">
        <v>179632.92</v>
      </c>
      <c r="M19">
        <v>0</v>
      </c>
      <c r="N19">
        <v>58675.46</v>
      </c>
      <c r="O19">
        <v>27571.17</v>
      </c>
      <c r="P19">
        <v>25808.42</v>
      </c>
      <c r="Q19">
        <v>0</v>
      </c>
      <c r="R19">
        <v>0</v>
      </c>
      <c r="S19">
        <v>0</v>
      </c>
      <c r="T19">
        <v>0</v>
      </c>
      <c r="U19">
        <v>0</v>
      </c>
      <c r="V19">
        <v>58901.65</v>
      </c>
      <c r="W19">
        <v>0</v>
      </c>
      <c r="X19">
        <v>0</v>
      </c>
      <c r="Y19">
        <v>0</v>
      </c>
      <c r="Z19">
        <v>25988.9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10794.59</v>
      </c>
      <c r="AH19">
        <v>0</v>
      </c>
      <c r="AI19">
        <v>0</v>
      </c>
      <c r="AJ19">
        <v>521502247.82627898</v>
      </c>
    </row>
    <row r="20" spans="1:36" x14ac:dyDescent="0.25">
      <c r="A20" t="s">
        <v>625</v>
      </c>
      <c r="B20" t="s">
        <v>17</v>
      </c>
      <c r="D20">
        <v>3686.5</v>
      </c>
      <c r="E20">
        <v>1291.32</v>
      </c>
      <c r="G20">
        <v>1.924E-2</v>
      </c>
      <c r="H20">
        <v>0</v>
      </c>
      <c r="I20">
        <v>187715.78</v>
      </c>
      <c r="J20">
        <v>125722.95</v>
      </c>
      <c r="K20">
        <v>0</v>
      </c>
      <c r="L20">
        <v>179632.92</v>
      </c>
      <c r="M20">
        <v>0</v>
      </c>
      <c r="N20">
        <v>59379.11</v>
      </c>
      <c r="O20">
        <v>24385.93</v>
      </c>
      <c r="P20">
        <v>25449.14</v>
      </c>
      <c r="Q20">
        <v>0</v>
      </c>
      <c r="R20">
        <v>0</v>
      </c>
      <c r="S20">
        <v>0</v>
      </c>
      <c r="T20">
        <v>0</v>
      </c>
      <c r="U20">
        <v>0</v>
      </c>
      <c r="V20">
        <v>49679.86</v>
      </c>
      <c r="W20">
        <v>0</v>
      </c>
      <c r="X20">
        <v>0</v>
      </c>
      <c r="Y20">
        <v>0</v>
      </c>
      <c r="Z20">
        <v>25988.9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10925.34</v>
      </c>
      <c r="AH20">
        <v>0</v>
      </c>
      <c r="AI20">
        <v>0</v>
      </c>
      <c r="AJ20">
        <v>537187993.65304506</v>
      </c>
    </row>
    <row r="21" spans="1:36" x14ac:dyDescent="0.25">
      <c r="A21" t="s">
        <v>626</v>
      </c>
      <c r="B21" t="s">
        <v>17</v>
      </c>
      <c r="C21">
        <v>1291.32</v>
      </c>
      <c r="D21">
        <v>3686.5</v>
      </c>
      <c r="G21">
        <v>1.924E-2</v>
      </c>
      <c r="H21">
        <v>0</v>
      </c>
      <c r="I21">
        <v>201694.49</v>
      </c>
      <c r="J21">
        <v>125722.95</v>
      </c>
      <c r="K21">
        <v>0</v>
      </c>
      <c r="L21">
        <v>179632.92</v>
      </c>
      <c r="M21">
        <v>0</v>
      </c>
      <c r="N21">
        <v>59367.33</v>
      </c>
      <c r="O21">
        <v>27188.35</v>
      </c>
      <c r="P21">
        <v>25533.75</v>
      </c>
      <c r="Q21">
        <v>0</v>
      </c>
      <c r="R21">
        <v>0</v>
      </c>
      <c r="S21">
        <v>0</v>
      </c>
      <c r="T21">
        <v>0</v>
      </c>
      <c r="U21">
        <v>0</v>
      </c>
      <c r="V21">
        <v>50064.89</v>
      </c>
      <c r="W21">
        <v>0</v>
      </c>
      <c r="X21">
        <v>0</v>
      </c>
      <c r="Y21">
        <v>0</v>
      </c>
      <c r="Z21">
        <v>25988.9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10840.41</v>
      </c>
      <c r="AH21">
        <v>0</v>
      </c>
      <c r="AI21">
        <v>0</v>
      </c>
      <c r="AJ21">
        <v>538471669.48312902</v>
      </c>
    </row>
    <row r="22" spans="1:36" x14ac:dyDescent="0.25">
      <c r="A22" t="s">
        <v>627</v>
      </c>
      <c r="B22" t="s">
        <v>16</v>
      </c>
      <c r="D22">
        <v>3508.11</v>
      </c>
      <c r="E22">
        <v>1228.83</v>
      </c>
      <c r="G22">
        <v>1.8308999999999999E-2</v>
      </c>
      <c r="H22">
        <v>0</v>
      </c>
      <c r="I22">
        <v>161701.9</v>
      </c>
      <c r="J22">
        <v>125722.95</v>
      </c>
      <c r="K22">
        <v>0</v>
      </c>
      <c r="L22">
        <v>179632.92</v>
      </c>
      <c r="M22">
        <v>0</v>
      </c>
      <c r="N22">
        <v>49154.93</v>
      </c>
      <c r="O22">
        <v>21924.240000000002</v>
      </c>
      <c r="P22">
        <v>23209.18</v>
      </c>
      <c r="Q22">
        <v>0</v>
      </c>
      <c r="R22">
        <v>0</v>
      </c>
      <c r="S22">
        <v>0</v>
      </c>
      <c r="T22">
        <v>0</v>
      </c>
      <c r="U22">
        <v>0</v>
      </c>
      <c r="V22">
        <v>27445.06</v>
      </c>
      <c r="W22">
        <v>0</v>
      </c>
      <c r="X22">
        <v>0</v>
      </c>
      <c r="Y22">
        <v>0</v>
      </c>
      <c r="Z22">
        <v>25988.9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10970.72</v>
      </c>
      <c r="AH22">
        <v>0</v>
      </c>
      <c r="AI22">
        <v>0</v>
      </c>
      <c r="AJ22">
        <v>443121999.10603303</v>
      </c>
    </row>
    <row r="23" spans="1:36" x14ac:dyDescent="0.25">
      <c r="A23" t="s">
        <v>628</v>
      </c>
      <c r="B23" t="s">
        <v>15</v>
      </c>
      <c r="D23">
        <v>3309.58</v>
      </c>
      <c r="E23">
        <v>1159.29</v>
      </c>
      <c r="G23">
        <v>1.7273E-2</v>
      </c>
      <c r="H23">
        <v>0</v>
      </c>
      <c r="I23">
        <v>92667.87</v>
      </c>
      <c r="J23">
        <v>125722.95</v>
      </c>
      <c r="K23">
        <v>0</v>
      </c>
      <c r="L23">
        <v>179632.92</v>
      </c>
      <c r="M23">
        <v>0</v>
      </c>
      <c r="N23">
        <v>41583.21</v>
      </c>
      <c r="O23">
        <v>13746.97</v>
      </c>
      <c r="P23">
        <v>14169.02</v>
      </c>
      <c r="Q23">
        <v>0</v>
      </c>
      <c r="R23">
        <v>0</v>
      </c>
      <c r="S23">
        <v>0</v>
      </c>
      <c r="T23">
        <v>0</v>
      </c>
      <c r="U23">
        <v>0</v>
      </c>
      <c r="V23">
        <v>43288.74</v>
      </c>
      <c r="W23">
        <v>0</v>
      </c>
      <c r="X23">
        <v>0</v>
      </c>
      <c r="Y23">
        <v>0</v>
      </c>
      <c r="Z23">
        <v>25988.9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11782.85</v>
      </c>
      <c r="AH23">
        <v>0</v>
      </c>
      <c r="AI23">
        <v>0</v>
      </c>
      <c r="AJ23">
        <v>388712520.00018901</v>
      </c>
    </row>
    <row r="24" spans="1:36" x14ac:dyDescent="0.25">
      <c r="A24" t="s">
        <v>629</v>
      </c>
      <c r="B24" t="s">
        <v>16</v>
      </c>
      <c r="C24">
        <v>1228.83</v>
      </c>
      <c r="D24">
        <v>3508.11</v>
      </c>
      <c r="G24">
        <v>1.8308999999999999E-2</v>
      </c>
      <c r="H24">
        <v>0</v>
      </c>
      <c r="I24">
        <v>173183.75</v>
      </c>
      <c r="J24">
        <v>125722.95</v>
      </c>
      <c r="K24">
        <v>0</v>
      </c>
      <c r="L24">
        <v>179632.92</v>
      </c>
      <c r="M24">
        <v>0</v>
      </c>
      <c r="N24">
        <v>49156.69</v>
      </c>
      <c r="O24">
        <v>24801.75</v>
      </c>
      <c r="P24">
        <v>23284.27</v>
      </c>
      <c r="Q24">
        <v>0</v>
      </c>
      <c r="R24">
        <v>0</v>
      </c>
      <c r="S24">
        <v>0</v>
      </c>
      <c r="T24">
        <v>0</v>
      </c>
      <c r="U24">
        <v>0</v>
      </c>
      <c r="V24">
        <v>27627.14</v>
      </c>
      <c r="W24">
        <v>0</v>
      </c>
      <c r="X24">
        <v>0</v>
      </c>
      <c r="Y24">
        <v>0</v>
      </c>
      <c r="Z24">
        <v>25988.9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10966.54</v>
      </c>
      <c r="AH24">
        <v>0</v>
      </c>
      <c r="AI24">
        <v>0</v>
      </c>
      <c r="AJ24">
        <v>462171163.30797303</v>
      </c>
    </row>
    <row r="25" spans="1:36" x14ac:dyDescent="0.25">
      <c r="A25" t="s">
        <v>630</v>
      </c>
      <c r="B25" t="s">
        <v>15</v>
      </c>
      <c r="C25">
        <v>1159.29</v>
      </c>
      <c r="D25">
        <v>3309.58</v>
      </c>
      <c r="G25">
        <v>1.7273E-2</v>
      </c>
      <c r="H25">
        <v>0</v>
      </c>
      <c r="I25">
        <v>98000.93</v>
      </c>
      <c r="J25">
        <v>125722.95</v>
      </c>
      <c r="K25">
        <v>0</v>
      </c>
      <c r="L25">
        <v>179632.92</v>
      </c>
      <c r="M25">
        <v>0</v>
      </c>
      <c r="N25">
        <v>41582.080000000002</v>
      </c>
      <c r="O25">
        <v>15770.53</v>
      </c>
      <c r="P25">
        <v>14307.86</v>
      </c>
      <c r="Q25">
        <v>0</v>
      </c>
      <c r="R25">
        <v>0</v>
      </c>
      <c r="S25">
        <v>0</v>
      </c>
      <c r="T25">
        <v>0</v>
      </c>
      <c r="U25">
        <v>0</v>
      </c>
      <c r="V25">
        <v>43477.22</v>
      </c>
      <c r="W25">
        <v>0</v>
      </c>
      <c r="X25">
        <v>0</v>
      </c>
      <c r="Y25">
        <v>0</v>
      </c>
      <c r="Z25">
        <v>25988.9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11807.17</v>
      </c>
      <c r="AH25">
        <v>0</v>
      </c>
      <c r="AI25">
        <v>0</v>
      </c>
      <c r="AJ25">
        <v>400161779.14640301</v>
      </c>
    </row>
    <row r="26" spans="1:36" x14ac:dyDescent="0.25">
      <c r="A26" t="s">
        <v>631</v>
      </c>
      <c r="B26" t="s">
        <v>14</v>
      </c>
      <c r="D26">
        <v>3836.12</v>
      </c>
      <c r="E26">
        <v>1343.73</v>
      </c>
      <c r="G26">
        <v>2.0021000000000001E-2</v>
      </c>
      <c r="H26">
        <v>0</v>
      </c>
      <c r="I26">
        <v>114010.17</v>
      </c>
      <c r="J26">
        <v>125722.95</v>
      </c>
      <c r="K26">
        <v>0</v>
      </c>
      <c r="L26">
        <v>179632.92</v>
      </c>
      <c r="M26">
        <v>0</v>
      </c>
      <c r="N26">
        <v>50331.89</v>
      </c>
      <c r="O26">
        <v>17439.07</v>
      </c>
      <c r="P26">
        <v>18719.830000000002</v>
      </c>
      <c r="Q26">
        <v>0</v>
      </c>
      <c r="R26">
        <v>0</v>
      </c>
      <c r="S26">
        <v>0</v>
      </c>
      <c r="T26">
        <v>0</v>
      </c>
      <c r="U26">
        <v>0</v>
      </c>
      <c r="V26">
        <v>59981.93</v>
      </c>
      <c r="W26">
        <v>0</v>
      </c>
      <c r="X26">
        <v>0</v>
      </c>
      <c r="Y26">
        <v>0</v>
      </c>
      <c r="Z26">
        <v>25988.9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11512.23</v>
      </c>
      <c r="AH26">
        <v>0</v>
      </c>
      <c r="AI26">
        <v>0</v>
      </c>
      <c r="AJ26">
        <v>508962401.733042</v>
      </c>
    </row>
    <row r="27" spans="1:36" x14ac:dyDescent="0.25">
      <c r="A27" t="s">
        <v>632</v>
      </c>
      <c r="B27" t="s">
        <v>14</v>
      </c>
      <c r="C27">
        <v>1343.73</v>
      </c>
      <c r="D27">
        <v>3836.12</v>
      </c>
      <c r="G27">
        <v>2.0021000000000001E-2</v>
      </c>
      <c r="H27">
        <v>0</v>
      </c>
      <c r="I27">
        <v>144273.88</v>
      </c>
      <c r="J27">
        <v>125722.95</v>
      </c>
      <c r="K27">
        <v>0</v>
      </c>
      <c r="L27">
        <v>179632.92</v>
      </c>
      <c r="M27">
        <v>0</v>
      </c>
      <c r="N27">
        <v>50318.29</v>
      </c>
      <c r="O27">
        <v>20536.580000000002</v>
      </c>
      <c r="P27">
        <v>18905.22</v>
      </c>
      <c r="Q27">
        <v>0</v>
      </c>
      <c r="R27">
        <v>0</v>
      </c>
      <c r="S27">
        <v>0</v>
      </c>
      <c r="T27">
        <v>0</v>
      </c>
      <c r="U27">
        <v>0</v>
      </c>
      <c r="V27">
        <v>59922.33</v>
      </c>
      <c r="W27">
        <v>0</v>
      </c>
      <c r="X27">
        <v>0</v>
      </c>
      <c r="Y27">
        <v>0</v>
      </c>
      <c r="Z27">
        <v>25988.9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11484.59</v>
      </c>
      <c r="AH27">
        <v>0</v>
      </c>
      <c r="AI27">
        <v>0</v>
      </c>
      <c r="AJ27">
        <v>552095033.56440401</v>
      </c>
    </row>
    <row r="28" spans="1:36" x14ac:dyDescent="0.25">
      <c r="A28" t="s">
        <v>633</v>
      </c>
      <c r="B28" t="s">
        <v>13</v>
      </c>
      <c r="D28">
        <v>3567.31</v>
      </c>
      <c r="E28">
        <v>1249.57</v>
      </c>
      <c r="G28">
        <v>1.8617999999999999E-2</v>
      </c>
      <c r="H28">
        <v>0</v>
      </c>
      <c r="I28">
        <v>83588.33</v>
      </c>
      <c r="J28">
        <v>125722.95</v>
      </c>
      <c r="K28">
        <v>0</v>
      </c>
      <c r="L28">
        <v>179632.92</v>
      </c>
      <c r="M28">
        <v>0</v>
      </c>
      <c r="N28">
        <v>38092.68</v>
      </c>
      <c r="O28">
        <v>13797.3</v>
      </c>
      <c r="P28">
        <v>14680.47</v>
      </c>
      <c r="Q28">
        <v>0</v>
      </c>
      <c r="R28">
        <v>0</v>
      </c>
      <c r="S28">
        <v>0</v>
      </c>
      <c r="T28">
        <v>0</v>
      </c>
      <c r="U28">
        <v>0</v>
      </c>
      <c r="V28">
        <v>39558.03</v>
      </c>
      <c r="W28">
        <v>0</v>
      </c>
      <c r="X28">
        <v>0</v>
      </c>
      <c r="Y28">
        <v>0</v>
      </c>
      <c r="Z28">
        <v>25988.9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11857.17</v>
      </c>
      <c r="AH28">
        <v>0</v>
      </c>
      <c r="AI28">
        <v>0</v>
      </c>
      <c r="AJ28">
        <v>467593367.75358599</v>
      </c>
    </row>
    <row r="29" spans="1:36" x14ac:dyDescent="0.25">
      <c r="A29" t="s">
        <v>634</v>
      </c>
      <c r="B29" t="s">
        <v>13</v>
      </c>
      <c r="C29">
        <v>1249.57</v>
      </c>
      <c r="D29">
        <v>3567.31</v>
      </c>
      <c r="G29">
        <v>1.8617999999999999E-2</v>
      </c>
      <c r="H29">
        <v>0</v>
      </c>
      <c r="I29">
        <v>90354.16</v>
      </c>
      <c r="J29">
        <v>125722.95</v>
      </c>
      <c r="K29">
        <v>0</v>
      </c>
      <c r="L29">
        <v>179632.92</v>
      </c>
      <c r="M29">
        <v>0</v>
      </c>
      <c r="N29">
        <v>38096.21</v>
      </c>
      <c r="O29">
        <v>16090.93</v>
      </c>
      <c r="P29">
        <v>14811.85</v>
      </c>
      <c r="Q29">
        <v>0</v>
      </c>
      <c r="R29">
        <v>0</v>
      </c>
      <c r="S29">
        <v>0</v>
      </c>
      <c r="T29">
        <v>0</v>
      </c>
      <c r="U29">
        <v>0</v>
      </c>
      <c r="V29">
        <v>39621.19</v>
      </c>
      <c r="W29">
        <v>0</v>
      </c>
      <c r="X29">
        <v>0</v>
      </c>
      <c r="Y29">
        <v>0</v>
      </c>
      <c r="Z29">
        <v>25988.9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11781.22</v>
      </c>
      <c r="AH29">
        <v>0</v>
      </c>
      <c r="AI29">
        <v>0</v>
      </c>
      <c r="AJ29">
        <v>481338408.37987399</v>
      </c>
    </row>
    <row r="30" spans="1:36" x14ac:dyDescent="0.25">
      <c r="A30" t="s">
        <v>635</v>
      </c>
      <c r="B30" t="s">
        <v>12</v>
      </c>
      <c r="D30">
        <v>3783.79</v>
      </c>
      <c r="E30">
        <v>1325.4</v>
      </c>
      <c r="G30">
        <v>1.9748000000000002E-2</v>
      </c>
      <c r="H30">
        <v>0</v>
      </c>
      <c r="I30">
        <v>99435.6</v>
      </c>
      <c r="J30">
        <v>125722.95</v>
      </c>
      <c r="K30">
        <v>0</v>
      </c>
      <c r="L30">
        <v>179632.92</v>
      </c>
      <c r="M30">
        <v>0</v>
      </c>
      <c r="N30">
        <v>48995.6</v>
      </c>
      <c r="O30">
        <v>15332.69</v>
      </c>
      <c r="P30">
        <v>15712.94</v>
      </c>
      <c r="Q30">
        <v>0</v>
      </c>
      <c r="R30">
        <v>0</v>
      </c>
      <c r="S30">
        <v>0</v>
      </c>
      <c r="T30">
        <v>0</v>
      </c>
      <c r="U30">
        <v>0</v>
      </c>
      <c r="V30">
        <v>75972.73</v>
      </c>
      <c r="W30">
        <v>0</v>
      </c>
      <c r="X30">
        <v>0</v>
      </c>
      <c r="Y30">
        <v>0</v>
      </c>
      <c r="Z30">
        <v>25988.9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11862.59</v>
      </c>
      <c r="AH30">
        <v>0</v>
      </c>
      <c r="AI30">
        <v>0</v>
      </c>
      <c r="AJ30">
        <v>471315139.834957</v>
      </c>
    </row>
    <row r="31" spans="1:36" x14ac:dyDescent="0.25">
      <c r="A31" t="s">
        <v>636</v>
      </c>
      <c r="B31" t="s">
        <v>12</v>
      </c>
      <c r="C31">
        <v>1325.4</v>
      </c>
      <c r="D31">
        <v>3783.79</v>
      </c>
      <c r="G31">
        <v>1.9748000000000002E-2</v>
      </c>
      <c r="H31">
        <v>0</v>
      </c>
      <c r="I31">
        <v>122942.73</v>
      </c>
      <c r="J31">
        <v>125722.95</v>
      </c>
      <c r="K31">
        <v>0</v>
      </c>
      <c r="L31">
        <v>179632.92</v>
      </c>
      <c r="M31">
        <v>0</v>
      </c>
      <c r="N31">
        <v>48978.1</v>
      </c>
      <c r="O31">
        <v>17993.41</v>
      </c>
      <c r="P31">
        <v>15933.01</v>
      </c>
      <c r="Q31">
        <v>0</v>
      </c>
      <c r="R31">
        <v>0</v>
      </c>
      <c r="S31">
        <v>0</v>
      </c>
      <c r="T31">
        <v>0</v>
      </c>
      <c r="U31">
        <v>0</v>
      </c>
      <c r="V31">
        <v>75658.149999999994</v>
      </c>
      <c r="W31">
        <v>0</v>
      </c>
      <c r="X31">
        <v>0</v>
      </c>
      <c r="Y31">
        <v>0</v>
      </c>
      <c r="Z31">
        <v>25988.9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11832.92</v>
      </c>
      <c r="AH31">
        <v>0</v>
      </c>
      <c r="AI31">
        <v>0</v>
      </c>
      <c r="AJ31">
        <v>539537028.85584199</v>
      </c>
    </row>
    <row r="32" spans="1:36" x14ac:dyDescent="0.25">
      <c r="A32" t="s">
        <v>637</v>
      </c>
      <c r="B32" t="s">
        <v>11</v>
      </c>
      <c r="C32">
        <v>1015.09</v>
      </c>
      <c r="D32">
        <v>2897.91</v>
      </c>
      <c r="G32">
        <v>1.5125E-2</v>
      </c>
      <c r="H32">
        <v>0</v>
      </c>
      <c r="I32">
        <v>21744.45</v>
      </c>
      <c r="J32">
        <v>125722.95</v>
      </c>
      <c r="K32">
        <v>0</v>
      </c>
      <c r="L32">
        <v>179632.92</v>
      </c>
      <c r="M32">
        <v>0</v>
      </c>
      <c r="N32">
        <v>37639.49</v>
      </c>
      <c r="O32">
        <v>3347.89</v>
      </c>
      <c r="P32">
        <v>2769.64</v>
      </c>
      <c r="Q32">
        <v>0</v>
      </c>
      <c r="R32">
        <v>0</v>
      </c>
      <c r="S32">
        <v>0</v>
      </c>
      <c r="T32">
        <v>0</v>
      </c>
      <c r="U32">
        <v>0</v>
      </c>
      <c r="V32">
        <v>82492.23</v>
      </c>
      <c r="W32">
        <v>0</v>
      </c>
      <c r="X32">
        <v>0</v>
      </c>
      <c r="Y32">
        <v>0</v>
      </c>
      <c r="Z32">
        <v>25988.9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12885.23</v>
      </c>
      <c r="AH32">
        <v>0</v>
      </c>
      <c r="AI32">
        <v>0</v>
      </c>
      <c r="AJ32">
        <v>335013837.44376498</v>
      </c>
    </row>
    <row r="33" spans="1:36" x14ac:dyDescent="0.25">
      <c r="A33" t="s">
        <v>638</v>
      </c>
      <c r="B33" t="s">
        <v>11</v>
      </c>
      <c r="D33">
        <v>2897.91</v>
      </c>
      <c r="E33">
        <v>1015.09</v>
      </c>
      <c r="G33">
        <v>1.5125E-2</v>
      </c>
      <c r="H33">
        <v>0</v>
      </c>
      <c r="I33">
        <v>20274.689999999999</v>
      </c>
      <c r="J33">
        <v>125722.95</v>
      </c>
      <c r="K33">
        <v>0</v>
      </c>
      <c r="L33">
        <v>179632.92</v>
      </c>
      <c r="M33">
        <v>0</v>
      </c>
      <c r="N33">
        <v>37639.300000000003</v>
      </c>
      <c r="O33">
        <v>2783.3</v>
      </c>
      <c r="P33">
        <v>2673.61</v>
      </c>
      <c r="Q33">
        <v>0</v>
      </c>
      <c r="R33">
        <v>0</v>
      </c>
      <c r="S33">
        <v>0</v>
      </c>
      <c r="T33">
        <v>0</v>
      </c>
      <c r="U33">
        <v>0</v>
      </c>
      <c r="V33">
        <v>82545.789999999994</v>
      </c>
      <c r="W33">
        <v>0</v>
      </c>
      <c r="X33">
        <v>0</v>
      </c>
      <c r="Y33">
        <v>0</v>
      </c>
      <c r="Z33">
        <v>25988.9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12862.43</v>
      </c>
      <c r="AH33">
        <v>0</v>
      </c>
      <c r="AI33">
        <v>0</v>
      </c>
      <c r="AJ33">
        <v>331924549.52334797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6A9EB7EB4E4F489A4515111482199D" ma:contentTypeVersion="17" ma:contentTypeDescription="Create a new document." ma:contentTypeScope="" ma:versionID="4741c410b77d531f721fb7b90932bdeb">
  <xsd:schema xmlns:xsd="http://www.w3.org/2001/XMLSchema" xmlns:xs="http://www.w3.org/2001/XMLSchema" xmlns:p="http://schemas.microsoft.com/office/2006/metadata/properties" xmlns:ns2="977ed3b4-dc53-4ccd-91b7-93b67a0eba97" xmlns:ns3="63e8c1f7-1787-49b1-80e5-dcc3ae9ab6e9" targetNamespace="http://schemas.microsoft.com/office/2006/metadata/properties" ma:root="true" ma:fieldsID="0252bddf945198c778e7fd3f872e9b39" ns2:_="" ns3:_="">
    <xsd:import namespace="977ed3b4-dc53-4ccd-91b7-93b67a0eba97"/>
    <xsd:import namespace="63e8c1f7-1787-49b1-80e5-dcc3ae9ab6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ed3b4-dc53-4ccd-91b7-93b67a0eba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95426fa-e547-4e42-90d0-e39dca5083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8c1f7-1787-49b1-80e5-dcc3ae9ab6e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474a4609-41f4-4e06-875c-5b66bd3cec7e}" ma:internalName="TaxCatchAll" ma:showField="CatchAllData" ma:web="63e8c1f7-1787-49b1-80e5-dcc3ae9ab6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ed3b4-dc53-4ccd-91b7-93b67a0eba97">
      <Terms xmlns="http://schemas.microsoft.com/office/infopath/2007/PartnerControls"/>
    </lcf76f155ced4ddcb4097134ff3c332f>
    <TaxCatchAll xmlns="63e8c1f7-1787-49b1-80e5-dcc3ae9ab6e9" xsi:nil="true"/>
  </documentManagement>
</p:properties>
</file>

<file path=customXml/itemProps1.xml><?xml version="1.0" encoding="utf-8"?>
<ds:datastoreItem xmlns:ds="http://schemas.openxmlformats.org/officeDocument/2006/customXml" ds:itemID="{429C53BD-3F1B-47FF-8FF6-4A0B771541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BD64CB-30EA-4415-8C1A-4DBBA498C2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7ed3b4-dc53-4ccd-91b7-93b67a0eba97"/>
    <ds:schemaRef ds:uri="63e8c1f7-1787-49b1-80e5-dcc3ae9ab6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B689094-C9F2-43D7-826F-1E867600988F}">
  <ds:schemaRefs>
    <ds:schemaRef ds:uri="977ed3b4-dc53-4ccd-91b7-93b67a0eba97"/>
    <ds:schemaRef ds:uri="http://purl.org/dc/dcmitype/"/>
    <ds:schemaRef ds:uri="http://purl.org/dc/elements/1.1/"/>
    <ds:schemaRef ds:uri="http://purl.org/dc/terms/"/>
    <ds:schemaRef ds:uri="http://schemas.microsoft.com/office/2006/metadata/properties"/>
    <ds:schemaRef ds:uri="63e8c1f7-1787-49b1-80e5-dcc3ae9ab6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Design flow rate</vt:lpstr>
      <vt:lpstr>Min flow rate</vt:lpstr>
      <vt:lpstr>Combined Runs</vt:lpstr>
      <vt:lpstr>Central Plant_Ex</vt:lpstr>
      <vt:lpstr>Central Plant_New</vt:lpstr>
      <vt:lpstr>Central Plant_Htl_Ex</vt:lpstr>
      <vt:lpstr>Central Plant_Htl_New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Janik Somaiya</dc:creator>
  <cp:lastModifiedBy>Behzad Rizi</cp:lastModifiedBy>
  <dcterms:created xsi:type="dcterms:W3CDTF">2025-11-17T18:11:04Z</dcterms:created>
  <dcterms:modified xsi:type="dcterms:W3CDTF">2025-12-13T00:37:22Z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0x010100366A9EB7EB4E4F489A4515111482199D</vt:lpwstr>
  </property>
  <property fmtid="{D5CDD505-2E9C-101B-9397-08002B2CF9AE}" pid="3" name="MediaServiceImageTags">
    <vt:lpwstr/>
  </property>
</Properties>
</file>