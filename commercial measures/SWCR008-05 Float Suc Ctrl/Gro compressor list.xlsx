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ER2026\SWCR008\commercial measures\SWCR008-05 Float Suc Ctrl\"/>
    </mc:Choice>
  </mc:AlternateContent>
  <xr:revisionPtr revIDLastSave="0" documentId="13_ncr:1_{F92C3B6B-1B41-4ADA-B88E-F7518726BCB7}" xr6:coauthVersionLast="47" xr6:coauthVersionMax="47" xr10:uidLastSave="{00000000-0000-0000-0000-000000000000}"/>
  <bookViews>
    <workbookView xWindow="-4425" yWindow="-16320" windowWidth="29040" windowHeight="15720" xr2:uid="{F6753ECA-2173-46CE-8728-AAC9C753B28D}"/>
  </bookViews>
  <sheets>
    <sheet name="Gro compressor list" sheetId="1" r:id="rId1"/>
  </sheets>
  <externalReferences>
    <externalReference r:id="rId2"/>
  </externalReferences>
  <definedNames>
    <definedName name="kWh_per_Joule">[1]simdata!$AS$2</definedName>
    <definedName name="TechIDs">_xlfn.ANCHORARRAY('[1]EnergyPlus tech defn matrix'!$M$20)</definedName>
    <definedName name="therm_per_kwh">[1]simdata!$AR$2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tc={BCD7F2A7-EA70-48CF-849A-6B8B3DADC6F3}</author>
  </authors>
  <commentList>
    <comment ref="C2" authorId="0" shapeId="0" xr:uid="{BCD7F2A7-EA70-48CF-849A-6B8B3DADC6F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comment line in ref-sys-comp.txt. For greater certainty, gather curve coefficients and evaluate at design conditions.</t>
      </text>
    </comment>
  </commentList>
</comments>
</file>

<file path=xl/sharedStrings.xml><?xml version="1.0" encoding="utf-8"?>
<sst xmlns="http://schemas.openxmlformats.org/spreadsheetml/2006/main" count="43" uniqueCount="32">
  <si>
    <t>Total LT + MT</t>
  </si>
  <si>
    <t>Copeland_R507_Med_3DS3150ETFE</t>
  </si>
  <si>
    <t>MT_Compressor8</t>
  </si>
  <si>
    <t>MT_Compressor7</t>
  </si>
  <si>
    <t>MT_Compressor6</t>
  </si>
  <si>
    <t>MT_Compressor5</t>
  </si>
  <si>
    <t>MT_Compressor4</t>
  </si>
  <si>
    <t>Copeland_R507_Med_3db3100e</t>
  </si>
  <si>
    <t>MT_Compressor3</t>
  </si>
  <si>
    <t>Copeland_R507_Med_2da3075e</t>
  </si>
  <si>
    <t>MT_Compressor2</t>
  </si>
  <si>
    <t>MT_Compressor1</t>
  </si>
  <si>
    <t>Copeland_R507_Low_3DS3100E</t>
  </si>
  <si>
    <t>LT_Compressor9</t>
  </si>
  <si>
    <t>LT_Compressor8</t>
  </si>
  <si>
    <t>LT_Compressor7</t>
  </si>
  <si>
    <t>LT_Compressor6</t>
  </si>
  <si>
    <t>LT_Compressor5</t>
  </si>
  <si>
    <t>LT_Compressor4</t>
  </si>
  <si>
    <t>LT_Compressor3</t>
  </si>
  <si>
    <t>Copeland_R507_Low_4dl3150e</t>
  </si>
  <si>
    <t>LT_Compressor2</t>
  </si>
  <si>
    <t>Copeland_R507_Low_3db30750</t>
  </si>
  <si>
    <t>LT_Compressor1</t>
  </si>
  <si>
    <t>Compressor capacity (tons)</t>
  </si>
  <si>
    <t>Compressor Capacity Curve nominal capacity (Btu/h)</t>
  </si>
  <si>
    <t>comp_curves_source</t>
  </si>
  <si>
    <t>Compressor name</t>
  </si>
  <si>
    <t>Compressor capacity per comment line</t>
  </si>
  <si>
    <t>MT compressors mapping</t>
  </si>
  <si>
    <t>LT compressors mapping</t>
  </si>
  <si>
    <t>DEER Prototypes in EnergyPlus / Gro prototype refrigeration compressors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</si>
</sst>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2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571500</xdr:rowOff>
    </xdr:from>
    <xdr:ext cx="6782747" cy="7116168"/>
    <xdr:pic>
      <xdr:nvPicPr>
        <xdr:cNvPr id="3" name="Picture 2">
          <a:extLst>
            <a:ext uri="{FF2B5EF4-FFF2-40B4-BE49-F238E27FC236}">
              <a16:creationId xmlns:a16="http://schemas.microsoft.com/office/drawing/2014/main" id="{FF91AC56-ACA3-4384-9B55-7C8724D45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381000"/>
          <a:ext cx="6782747" cy="711616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6</xdr:col>
      <xdr:colOff>0</xdr:colOff>
      <xdr:row>40</xdr:row>
      <xdr:rowOff>0</xdr:rowOff>
    </xdr:from>
    <xdr:ext cx="5096586" cy="6611273"/>
    <xdr:pic>
      <xdr:nvPicPr>
        <xdr:cNvPr id="4" name="Picture 3">
          <a:extLst>
            <a:ext uri="{FF2B5EF4-FFF2-40B4-BE49-F238E27FC236}">
              <a16:creationId xmlns:a16="http://schemas.microsoft.com/office/drawing/2014/main" id="{159AB4E1-957F-4A42-9B66-E90A4E3F5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7620000"/>
          <a:ext cx="5096586" cy="66112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18</xdr:col>
      <xdr:colOff>0</xdr:colOff>
      <xdr:row>2</xdr:row>
      <xdr:rowOff>0</xdr:rowOff>
    </xdr:from>
    <xdr:ext cx="6697010" cy="5915851"/>
    <xdr:pic>
      <xdr:nvPicPr>
        <xdr:cNvPr id="5" name="Picture 4">
          <a:extLst>
            <a:ext uri="{FF2B5EF4-FFF2-40B4-BE49-F238E27FC236}">
              <a16:creationId xmlns:a16="http://schemas.microsoft.com/office/drawing/2014/main" id="{CC8B0FDC-4ED2-46A6-AFFA-5583ED0F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381000"/>
          <a:ext cx="6697010" cy="591585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oneCellAnchor>
    <xdr:from>
      <xdr:col>18</xdr:col>
      <xdr:colOff>0</xdr:colOff>
      <xdr:row>39</xdr:row>
      <xdr:rowOff>0</xdr:rowOff>
    </xdr:from>
    <xdr:ext cx="5344271" cy="5801535"/>
    <xdr:pic>
      <xdr:nvPicPr>
        <xdr:cNvPr id="6" name="Picture 5">
          <a:extLst>
            <a:ext uri="{FF2B5EF4-FFF2-40B4-BE49-F238E27FC236}">
              <a16:creationId xmlns:a16="http://schemas.microsoft.com/office/drawing/2014/main" id="{1C61448B-AB5C-4CD9-9068-5B80CAFA8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7429500"/>
          <a:ext cx="5344271" cy="5801535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2</xdr:row>
      <xdr:rowOff>0</xdr:rowOff>
    </xdr:from>
    <xdr:ext cx="6115904" cy="6773220"/>
    <xdr:pic>
      <xdr:nvPicPr>
        <xdr:cNvPr id="7" name="Picture 6">
          <a:extLst>
            <a:ext uri="{FF2B5EF4-FFF2-40B4-BE49-F238E27FC236}">
              <a16:creationId xmlns:a16="http://schemas.microsoft.com/office/drawing/2014/main" id="{F5BBAB79-9E8C-4960-9890-4EFE5204B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55200" y="381000"/>
          <a:ext cx="6115904" cy="67732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cusinc.sharepoint.com/sites/Deemedmeasuredev/Shared%20Documents/PGE%20SWCR007-04/SWCR007-05%20References/SWCR007-05%20Energy%20Savings%20Calculations_2025-11-12.xlsm" TargetMode="External"/><Relationship Id="rId1" Type="http://schemas.openxmlformats.org/officeDocument/2006/relationships/externalLinkPath" Target="https://lincusinc.sharepoint.com/sites/Deemedmeasuredev/Shared%20Documents/PGE%20SWCR007-04/SWCR007-05%20References/SWCR007-05%20Energy%20Savings%20Calculations_2025-11-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Plus tech defn matrix"/>
      <sheetName val="Annual Unit Energy Savings"/>
      <sheetName val="Sensitivity"/>
      <sheetName val="normunit"/>
      <sheetName val="simdata"/>
      <sheetName val="PivotTable"/>
      <sheetName val="current_msr_mat"/>
      <sheetName val="permutations_SWCR007-04"/>
    </sheetNames>
    <sheetDataSet>
      <sheetData sheetId="0">
        <row r="20">
          <cell r="M20" t="str">
            <v>NE-Ref_Storage-RefControl-FixCondTemp-AirCool-80</v>
          </cell>
        </row>
      </sheetData>
      <sheetData sheetId="1" refreshError="1"/>
      <sheetData sheetId="2" refreshError="1"/>
      <sheetData sheetId="3" refreshError="1"/>
      <sheetData sheetId="4">
        <row r="2">
          <cell r="AR2">
            <v>3.4129692832764506E-2</v>
          </cell>
          <cell r="AS2">
            <v>2.7777777777777776E-7</v>
          </cell>
        </row>
      </sheetData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cholas Fette" id="{78163D5F-B402-44E1-9E37-CE83635ECA3E}" userId="S::nfette@solaris-technical.com::17f1301c-3be6-43a2-b1ce-afff31c102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1-12T22:17:31.28" personId="{78163D5F-B402-44E1-9E37-CE83635ECA3E}" id="{BCD7F2A7-EA70-48CF-849A-6B8B3DADC6F3}">
    <text>Based on comment line in ref-sys-comp.txt. For greater certainty, gather curve coefficients and evaluate at design conditions.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7FFD-7207-4324-ACD5-C4D7A0ECA0B6}">
  <sheetPr codeName="Sheet6"/>
  <dimension ref="A1:AE20"/>
  <sheetViews>
    <sheetView tabSelected="1" workbookViewId="0">
      <selection activeCell="B28" sqref="B28"/>
    </sheetView>
  </sheetViews>
  <sheetFormatPr defaultRowHeight="15" x14ac:dyDescent="0.25"/>
  <cols>
    <col min="1" max="1" width="22.5703125" customWidth="1"/>
    <col min="2" max="2" width="32.7109375" customWidth="1"/>
    <col min="3" max="3" width="21.140625" customWidth="1"/>
    <col min="4" max="4" width="14.42578125" customWidth="1"/>
  </cols>
  <sheetData>
    <row r="1" spans="1:31" x14ac:dyDescent="0.25">
      <c r="A1" t="s">
        <v>31</v>
      </c>
      <c r="G1" t="s">
        <v>30</v>
      </c>
      <c r="S1" t="s">
        <v>29</v>
      </c>
      <c r="AE1" t="s">
        <v>28</v>
      </c>
    </row>
    <row r="2" spans="1:31" ht="45" x14ac:dyDescent="0.25">
      <c r="A2" s="2" t="s">
        <v>27</v>
      </c>
      <c r="B2" s="5" t="s">
        <v>26</v>
      </c>
      <c r="C2" s="5" t="s">
        <v>25</v>
      </c>
      <c r="D2" s="5" t="s">
        <v>24</v>
      </c>
    </row>
    <row r="3" spans="1:31" x14ac:dyDescent="0.25">
      <c r="A3" s="5" t="s">
        <v>23</v>
      </c>
      <c r="B3" s="2" t="s">
        <v>22</v>
      </c>
      <c r="C3" s="2">
        <v>84800</v>
      </c>
      <c r="D3" s="4">
        <f>C3/12000</f>
        <v>7.0666666666666664</v>
      </c>
    </row>
    <row r="4" spans="1:31" x14ac:dyDescent="0.25">
      <c r="A4" s="5" t="s">
        <v>21</v>
      </c>
      <c r="B4" s="2" t="s">
        <v>20</v>
      </c>
      <c r="C4" s="2">
        <v>65100</v>
      </c>
      <c r="D4" s="4">
        <f>C4/12000</f>
        <v>5.4249999999999998</v>
      </c>
    </row>
    <row r="5" spans="1:31" x14ac:dyDescent="0.25">
      <c r="A5" s="5" t="s">
        <v>19</v>
      </c>
      <c r="B5" s="2" t="s">
        <v>12</v>
      </c>
      <c r="C5" s="2">
        <v>84800</v>
      </c>
      <c r="D5" s="4">
        <f>C5/12000</f>
        <v>7.0666666666666664</v>
      </c>
    </row>
    <row r="6" spans="1:31" x14ac:dyDescent="0.25">
      <c r="A6" s="5" t="s">
        <v>18</v>
      </c>
      <c r="B6" s="2" t="s">
        <v>12</v>
      </c>
      <c r="C6" s="2">
        <v>84800</v>
      </c>
      <c r="D6" s="4">
        <f>C6/12000</f>
        <v>7.0666666666666664</v>
      </c>
    </row>
    <row r="7" spans="1:31" x14ac:dyDescent="0.25">
      <c r="A7" s="5" t="s">
        <v>17</v>
      </c>
      <c r="B7" s="2" t="s">
        <v>12</v>
      </c>
      <c r="C7" s="2">
        <v>84800</v>
      </c>
      <c r="D7" s="4">
        <f>C7/12000</f>
        <v>7.0666666666666664</v>
      </c>
    </row>
    <row r="8" spans="1:31" x14ac:dyDescent="0.25">
      <c r="A8" s="5" t="s">
        <v>16</v>
      </c>
      <c r="B8" s="2" t="s">
        <v>12</v>
      </c>
      <c r="C8" s="2">
        <v>84800</v>
      </c>
      <c r="D8" s="4">
        <f>C8/12000</f>
        <v>7.0666666666666664</v>
      </c>
    </row>
    <row r="9" spans="1:31" x14ac:dyDescent="0.25">
      <c r="A9" s="5" t="s">
        <v>15</v>
      </c>
      <c r="B9" s="2" t="s">
        <v>12</v>
      </c>
      <c r="C9" s="2">
        <v>84800</v>
      </c>
      <c r="D9" s="4">
        <f>C9/12000</f>
        <v>7.0666666666666664</v>
      </c>
    </row>
    <row r="10" spans="1:31" x14ac:dyDescent="0.25">
      <c r="A10" s="5" t="s">
        <v>14</v>
      </c>
      <c r="B10" s="2" t="s">
        <v>12</v>
      </c>
      <c r="C10" s="2">
        <v>84800</v>
      </c>
      <c r="D10" s="4">
        <f>C10/12000</f>
        <v>7.0666666666666664</v>
      </c>
    </row>
    <row r="11" spans="1:31" x14ac:dyDescent="0.25">
      <c r="A11" s="5" t="s">
        <v>13</v>
      </c>
      <c r="B11" s="2" t="s">
        <v>12</v>
      </c>
      <c r="C11" s="2">
        <v>84800</v>
      </c>
      <c r="D11" s="4">
        <f>C11/12000</f>
        <v>7.0666666666666664</v>
      </c>
    </row>
    <row r="12" spans="1:31" x14ac:dyDescent="0.25">
      <c r="A12" s="5" t="s">
        <v>11</v>
      </c>
      <c r="B12" s="2" t="s">
        <v>1</v>
      </c>
      <c r="C12" s="2">
        <v>116000</v>
      </c>
      <c r="D12" s="4">
        <f>C12/12000</f>
        <v>9.6666666666666661</v>
      </c>
    </row>
    <row r="13" spans="1:31" x14ac:dyDescent="0.25">
      <c r="A13" s="5" t="s">
        <v>10</v>
      </c>
      <c r="B13" s="2" t="s">
        <v>9</v>
      </c>
      <c r="C13" s="2">
        <v>61900</v>
      </c>
      <c r="D13" s="4">
        <f>C13/12000</f>
        <v>5.1583333333333332</v>
      </c>
    </row>
    <row r="14" spans="1:31" x14ac:dyDescent="0.25">
      <c r="A14" s="5" t="s">
        <v>8</v>
      </c>
      <c r="B14" s="2" t="s">
        <v>7</v>
      </c>
      <c r="C14" s="2">
        <v>87300</v>
      </c>
      <c r="D14" s="4">
        <f>C14/12000</f>
        <v>7.2750000000000004</v>
      </c>
    </row>
    <row r="15" spans="1:31" x14ac:dyDescent="0.25">
      <c r="A15" s="5" t="s">
        <v>6</v>
      </c>
      <c r="B15" s="2" t="s">
        <v>1</v>
      </c>
      <c r="C15" s="2">
        <v>116000</v>
      </c>
      <c r="D15" s="4">
        <f>C15/12000</f>
        <v>9.6666666666666661</v>
      </c>
    </row>
    <row r="16" spans="1:31" x14ac:dyDescent="0.25">
      <c r="A16" s="5" t="s">
        <v>5</v>
      </c>
      <c r="B16" s="2" t="s">
        <v>1</v>
      </c>
      <c r="C16" s="2">
        <v>116000</v>
      </c>
      <c r="D16" s="4">
        <f>C16/12000</f>
        <v>9.6666666666666661</v>
      </c>
    </row>
    <row r="17" spans="1:4" x14ac:dyDescent="0.25">
      <c r="A17" s="5" t="s">
        <v>4</v>
      </c>
      <c r="B17" s="2" t="s">
        <v>1</v>
      </c>
      <c r="C17" s="2">
        <v>116000</v>
      </c>
      <c r="D17" s="4">
        <f>C17/12000</f>
        <v>9.6666666666666661</v>
      </c>
    </row>
    <row r="18" spans="1:4" x14ac:dyDescent="0.25">
      <c r="A18" s="5" t="s">
        <v>3</v>
      </c>
      <c r="B18" s="2" t="s">
        <v>1</v>
      </c>
      <c r="C18" s="2">
        <v>116000</v>
      </c>
      <c r="D18" s="4">
        <f>C18/12000</f>
        <v>9.6666666666666661</v>
      </c>
    </row>
    <row r="19" spans="1:4" x14ac:dyDescent="0.25">
      <c r="A19" s="5" t="s">
        <v>2</v>
      </c>
      <c r="B19" s="2" t="s">
        <v>1</v>
      </c>
      <c r="C19" s="2">
        <v>116000</v>
      </c>
      <c r="D19" s="4">
        <f>C19/12000</f>
        <v>9.6666666666666661</v>
      </c>
    </row>
    <row r="20" spans="1:4" x14ac:dyDescent="0.25">
      <c r="A20" s="3" t="s">
        <v>0</v>
      </c>
      <c r="B20" s="2"/>
      <c r="C20" s="2"/>
      <c r="D20" s="1">
        <f>SUM(D3:D19)</f>
        <v>132.39166666666668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 compressor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Fette</dc:creator>
  <cp:lastModifiedBy>Nicholas Fette</cp:lastModifiedBy>
  <dcterms:created xsi:type="dcterms:W3CDTF">2025-12-18T00:45:20Z</dcterms:created>
  <dcterms:modified xsi:type="dcterms:W3CDTF">2025-12-18T00:53:25Z</dcterms:modified>
</cp:coreProperties>
</file>